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Dashboard_Entraineur" sheetId="1" state="visible" r:id="rId1"/>
    <sheet xmlns:r="http://schemas.openxmlformats.org/officeDocument/2006/relationships" name="00_Lisez-moi" sheetId="2" state="visible" r:id="rId2"/>
    <sheet xmlns:r="http://schemas.openxmlformats.org/officeDocument/2006/relationships" name="RAW_Athletes" sheetId="3" state="visible" r:id="rId3"/>
    <sheet xmlns:r="http://schemas.openxmlformats.org/officeDocument/2006/relationships" name="RAW_Seances" sheetId="4" state="visible" r:id="rId4"/>
    <sheet xmlns:r="http://schemas.openxmlformats.org/officeDocument/2006/relationships" name="RAW_Bien-etre" sheetId="5" state="visible" r:id="rId5"/>
    <sheet xmlns:r="http://schemas.openxmlformats.org/officeDocument/2006/relationships" name="RAW_Tests" sheetId="6" state="visible" r:id="rId6"/>
    <sheet xmlns:r="http://schemas.openxmlformats.org/officeDocument/2006/relationships" name="RAW_Competitions" sheetId="7" state="visible" r:id="rId7"/>
    <sheet xmlns:r="http://schemas.openxmlformats.org/officeDocument/2006/relationships" name="Reference_seances" sheetId="8" state="visible" r:id="rId8"/>
    <sheet xmlns:r="http://schemas.openxmlformats.org/officeDocument/2006/relationships" name="02_Calculs_Charges_ACWR" sheetId="9" state="visible" r:id="rId9"/>
    <sheet xmlns:r="http://schemas.openxmlformats.org/officeDocument/2006/relationships" name="05_Tests_Physiques_PrePost" sheetId="10" state="visible" r:id="rId10"/>
    <sheet xmlns:r="http://schemas.openxmlformats.org/officeDocument/2006/relationships" name="06_Prototype_App_Mobile" sheetId="11" state="visible" r:id="rId11"/>
  </sheets>
  <definedNames>
    <definedName name="_xlnm._FilterDatabase" localSheetId="1" hidden="1">'00_Lisez-moi'!$A$1:$A$10</definedName>
    <definedName name="_xlnm._FilterDatabase" localSheetId="2" hidden="1">'RAW_Athletes'!$A$1:$H$13</definedName>
    <definedName name="_xlnm._FilterDatabase" localSheetId="3" hidden="1">'RAW_Seances'!$A$1:$L$218</definedName>
    <definedName name="_xlnm._FilterDatabase" localSheetId="4" hidden="1">'RAW_Bien-etre'!$A$1:$I$505</definedName>
    <definedName name="_xlnm._FilterDatabase" localSheetId="5" hidden="1">'RAW_Tests'!$A$1:$H$25</definedName>
    <definedName name="_xlnm._FilterDatabase" localSheetId="6" hidden="1">'RAW_Competitions'!$A$1:$I$19</definedName>
    <definedName name="_xlnm._FilterDatabase" localSheetId="7" hidden="1">'Reference_seances'!$A$1:$B$5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 h:mm:ss"/>
    <numFmt numFmtId="166" formatCode="+0.0%;-0.0%;0.0%"/>
    <numFmt numFmtId="167" formatCode="0.0"/>
    <numFmt numFmtId="168" formatCode="+0.0%"/>
  </numFmts>
  <fonts count="13">
    <font>
      <name val="Calibri"/>
      <family val="2"/>
      <color theme="1"/>
      <sz val="11"/>
      <scheme val="minor"/>
    </font>
    <font>
      <b val="1"/>
    </font>
    <font>
      <name val="Calibri"/>
      <b val="1"/>
      <color rgb="001E3A8A"/>
      <sz val="15"/>
    </font>
    <font>
      <name val="Calibri"/>
      <i val="1"/>
      <color rgb="00475569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64748B"/>
      <sz val="10"/>
    </font>
    <font>
      <name val="Calibri"/>
      <b val="1"/>
      <color rgb="001E3A8A"/>
      <sz val="16"/>
    </font>
    <font>
      <name val="Calibri"/>
      <b val="1"/>
      <color rgb="001E3A8A"/>
      <sz val="12"/>
    </font>
    <font>
      <name val="Calibri"/>
      <b val="1"/>
      <color rgb="00991B1B"/>
      <sz val="11"/>
    </font>
    <font>
      <name val="Calibri"/>
      <b val="1"/>
      <color rgb="0092400E"/>
      <sz val="11"/>
    </font>
    <font>
      <name val="Calibri"/>
      <b val="1"/>
      <color rgb="00065F46"/>
      <sz val="11"/>
    </font>
    <font>
      <name val="Calibri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1F5F9"/>
        <bgColor rgb="00F1F5F9"/>
      </patternFill>
    </fill>
    <fill>
      <patternFill patternType="solid">
        <fgColor rgb="00FEE2E2"/>
        <bgColor rgb="00FEE2E2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1E3A8A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3" borderId="3" pivotButton="0" quotePrefix="0" xfId="0"/>
    <xf numFmtId="0" fontId="0" fillId="3" borderId="3" pivotButton="0" quotePrefix="0" xfId="0"/>
    <xf numFmtId="0" fontId="7" fillId="3" borderId="3" pivotButton="0" quotePrefix="0" xfId="0"/>
    <xf numFmtId="168" fontId="7" fillId="3" borderId="3" pivotButton="0" quotePrefix="0" xfId="0"/>
    <xf numFmtId="1" fontId="7" fillId="3" borderId="3" pivotButton="0" quotePrefix="0" xfId="0"/>
    <xf numFmtId="0" fontId="8" fillId="0" borderId="0" pivotButton="0" quotePrefix="0" xfId="0"/>
    <xf numFmtId="0" fontId="4" fillId="2" borderId="2" applyAlignment="1" pivotButton="0" quotePrefix="0" xfId="0">
      <alignment horizontal="center"/>
    </xf>
    <xf numFmtId="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center"/>
    </xf>
    <xf numFmtId="0" fontId="9" fillId="4" borderId="3" applyAlignment="1" pivotButton="0" quotePrefix="0" xfId="0">
      <alignment horizontal="center"/>
    </xf>
    <xf numFmtId="0" fontId="10" fillId="5" borderId="3" applyAlignment="1" pivotButton="0" quotePrefix="0" xfId="0">
      <alignment horizontal="center"/>
    </xf>
    <xf numFmtId="0" fontId="11" fillId="6" borderId="3" applyAlignment="1" pivotButton="0" quotePrefix="0" xfId="0">
      <alignment horizontal="center"/>
    </xf>
    <xf numFmtId="0" fontId="12" fillId="0" borderId="0" pivotButton="0" quotePrefix="0" xfId="0"/>
    <xf numFmtId="0" fontId="4" fillId="2" borderId="2" applyAlignment="1" pivotButton="0" quotePrefix="0" xfId="0">
      <alignment horizontal="center" vertical="center" wrapText="1"/>
    </xf>
    <xf numFmtId="165" fontId="0" fillId="0" borderId="3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1" fontId="0" fillId="0" borderId="3" applyAlignment="1" pivotButton="0" quotePrefix="0" xfId="0">
      <alignment horizontal="center"/>
    </xf>
    <xf numFmtId="2" fontId="5" fillId="0" borderId="3" applyAlignment="1" pivotButton="0" quotePrefix="0" xfId="0">
      <alignment horizontal="center"/>
    </xf>
    <xf numFmtId="166" fontId="5" fillId="0" borderId="3" applyAlignment="1" pivotButton="0" quotePrefix="0" xfId="0">
      <alignment horizontal="center"/>
    </xf>
    <xf numFmtId="166" fontId="0" fillId="0" borderId="3" applyAlignment="1" pivotButton="0" quotePrefix="0" xfId="0">
      <alignment horizontal="center"/>
    </xf>
    <xf numFmtId="0" fontId="5" fillId="0" borderId="0" pivotButton="0" quotePrefix="0" xfId="0"/>
    <xf numFmtId="167" fontId="5" fillId="0" borderId="2" applyAlignment="1" pivotButton="0" quotePrefix="0" xfId="0">
      <alignment horizontal="center"/>
    </xf>
    <xf numFmtId="168" fontId="5" fillId="0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1" workbookViewId="0">
      <selection activeCell="A1" sqref="A1"/>
    </sheetView>
  </sheetViews>
  <sheetFormatPr baseColWidth="8" defaultRowHeight="15"/>
  <cols>
    <col width="237" customWidth="1" min="1" max="1"/>
    <col width="14" customWidth="1" min="2" max="2"/>
    <col width="35" customWidth="1" min="3" max="3"/>
    <col width="37" customWidth="1" min="4" max="4"/>
    <col width="20" customWidth="1" min="5" max="5"/>
    <col width="77" customWidth="1" min="6" max="6"/>
    <col width="37" customWidth="1" min="7" max="7"/>
    <col width="14" customWidth="1" min="8" max="8"/>
    <col width="14" customWidth="1" min="9" max="9"/>
    <col width="37" customWidth="1" min="10" max="10"/>
    <col width="14" customWidth="1" min="11" max="11"/>
    <col width="14" customWidth="1" min="12" max="12"/>
    <col width="53" customWidth="1" min="13" max="13"/>
    <col width="14" customWidth="1" min="14" max="14"/>
  </cols>
  <sheetData>
    <row r="1">
      <c r="A1" s="5" t="inlineStr">
        <is>
          <t>TABLEAU DE BORD EXÉCUTIF DU PRÉPARATEUR PHYSIQUE — BILAN 6 SEMAINES</t>
        </is>
      </c>
    </row>
    <row r="2">
      <c r="A2" s="6" t="inlineStr">
        <is>
          <t>Aide à la décision staff : Charge globale, Modélisation ACWR, Fatigue &amp; Tests physiques</t>
        </is>
      </c>
    </row>
    <row r="3"/>
    <row r="4">
      <c r="A4" s="7" t="inlineStr">
        <is>
          <t>👥 Effectif Actif</t>
        </is>
      </c>
      <c r="B4" s="8" t="n"/>
      <c r="D4" s="7" t="inlineStr">
        <is>
          <t>⚡ Gain Yo-Yo Moyen</t>
        </is>
      </c>
      <c r="E4" s="8" t="n"/>
      <c r="G4" s="7" t="inlineStr">
        <is>
          <t>🚀 Gain Vitesse 10m</t>
        </is>
      </c>
      <c r="H4" s="8" t="n"/>
      <c r="J4" s="7" t="inlineStr">
        <is>
          <t>📈 Gain Détente CMJ</t>
        </is>
      </c>
      <c r="K4" s="8" t="n"/>
      <c r="M4" s="7" t="inlineStr">
        <is>
          <t>⚠️ Alertes ACWR (&gt;1.5)</t>
        </is>
      </c>
      <c r="N4" s="8" t="n"/>
    </row>
    <row r="5">
      <c r="A5" s="9" t="inlineStr">
        <is>
          <t>12 Joueurs</t>
        </is>
      </c>
      <c r="B5" s="8" t="n"/>
      <c r="D5" s="10">
        <f> '05_Tests_Physiques_PrePost'!O17</f>
        <v/>
      </c>
      <c r="E5" s="8" t="n"/>
      <c r="G5" s="10">
        <f> '05_Tests_Physiques_PrePost'!G17</f>
        <v/>
      </c>
      <c r="H5" s="8" t="n"/>
      <c r="J5" s="10">
        <f> '05_Tests_Physiques_PrePost'!K17</f>
        <v/>
      </c>
      <c r="K5" s="8" t="n"/>
      <c r="M5" s="11">
        <f>NB.SI('02_Calculs_Charges_ACWR'!L5:L222; "&gt;=1.5")</f>
        <v/>
      </c>
      <c r="N5" s="8" t="n"/>
    </row>
    <row r="6"/>
    <row r="7"/>
    <row r="8">
      <c r="A8" s="12" t="inlineStr">
        <is>
          <t>MATRICE DES ALERTES DÉCISIONNELLES PRIORITAIRES (STAFF TECHNIQUE)</t>
        </is>
      </c>
    </row>
    <row r="9"/>
    <row r="10">
      <c r="A10" s="13" t="inlineStr">
        <is>
          <t>Athlète</t>
        </is>
      </c>
      <c r="B10" s="13" t="inlineStr">
        <is>
          <t>Poste</t>
        </is>
      </c>
      <c r="C10" s="13" t="inlineStr">
        <is>
          <t>Indicateur Alerte</t>
        </is>
      </c>
      <c r="D10" s="13" t="inlineStr">
        <is>
          <t>Valeur Observée</t>
        </is>
      </c>
      <c r="E10" s="13" t="inlineStr">
        <is>
          <t>Niveau d'Urgence</t>
        </is>
      </c>
      <c r="F10" s="13" t="inlineStr">
        <is>
          <t>Décision Préparateur Recommandée</t>
        </is>
      </c>
    </row>
    <row r="11">
      <c r="A11" s="14" t="inlineStr">
        <is>
          <t>Ethan Simon (ATH04)</t>
        </is>
      </c>
      <c r="B11" s="15" t="inlineStr">
        <is>
          <t>Défenseur</t>
        </is>
      </c>
      <c r="C11" s="14" t="inlineStr">
        <is>
          <t>Pic de charge S4 + Sommeil &lt; 6h</t>
        </is>
      </c>
      <c r="D11" s="15" t="inlineStr">
        <is>
          <t>ACWR 1.62 / Fatigue 7/8</t>
        </is>
      </c>
      <c r="E11" s="16" t="inlineStr">
        <is>
          <t>CRITIQUE (Rouge)</t>
        </is>
      </c>
      <c r="F11" s="14" t="inlineStr">
        <is>
          <t>Allègement séance tactique de 50%, bilan médical préventif ischio-jambiers</t>
        </is>
      </c>
    </row>
    <row r="12">
      <c r="A12" s="14" t="inlineStr">
        <is>
          <t>Arthur Michel (ATH07)</t>
        </is>
      </c>
      <c r="B12" s="15" t="inlineStr">
        <is>
          <t>Milieu</t>
        </is>
      </c>
      <c r="C12" s="14" t="inlineStr">
        <is>
          <t>Courbatures persistantes 6/8</t>
        </is>
      </c>
      <c r="D12" s="15" t="inlineStr">
        <is>
          <t>Douleur signalée (Oui)</t>
        </is>
      </c>
      <c r="E12" s="17" t="inlineStr">
        <is>
          <t>ÉLEVÉ (Orange)</t>
        </is>
      </c>
      <c r="F12" s="14" t="inlineStr">
        <is>
          <t>Repos complet sur l'intermittent à haute intensité, soins kiné</t>
        </is>
      </c>
    </row>
    <row r="13">
      <c r="A13" s="14" t="inlineStr">
        <is>
          <t>Nathan Dupont (ATH02)</t>
        </is>
      </c>
      <c r="B13" s="15" t="inlineStr">
        <is>
          <t>Défenseur</t>
        </is>
      </c>
      <c r="C13" s="14" t="inlineStr">
        <is>
          <t>Temps de jeu élevé (Championnat)</t>
        </is>
      </c>
      <c r="D13" s="15" t="inlineStr">
        <is>
          <t>Charge S3 &gt; 2400 u.a.</t>
        </is>
      </c>
      <c r="E13" s="17" t="inlineStr">
        <is>
          <t>VIGILANCE (Jaune)</t>
        </is>
      </c>
      <c r="F13" s="14" t="inlineStr">
        <is>
          <t>Favoriser régénération aquatique et étirements posturo-respiratoires</t>
        </is>
      </c>
    </row>
    <row r="14">
      <c r="A14" s="14" t="inlineStr">
        <is>
          <t>Lucas Martin (ATH01)</t>
        </is>
      </c>
      <c r="B14" s="15" t="inlineStr">
        <is>
          <t>Gardien</t>
        </is>
      </c>
      <c r="C14" s="14" t="inlineStr">
        <is>
          <t>Progression CMJ et Yo-Yo</t>
        </is>
      </c>
      <c r="D14" s="15" t="inlineStr">
        <is>
          <t>+7.4% CMJ / +14.4% YoYo</t>
        </is>
      </c>
      <c r="E14" s="18" t="inlineStr">
        <is>
          <t>OPTIMAL (Vert)</t>
        </is>
      </c>
      <c r="F14" s="14" t="inlineStr">
        <is>
          <t>Poursuivre la programmation en puissance neuromusculaire</t>
        </is>
      </c>
    </row>
    <row r="15">
      <c r="A15" s="14" t="inlineStr">
        <is>
          <t>Louis Laurent (ATH05)</t>
        </is>
      </c>
      <c r="B15" s="15" t="inlineStr">
        <is>
          <t>Milieu</t>
        </is>
      </c>
      <c r="C15" s="14" t="inlineStr">
        <is>
          <t>Progression Vitesse &amp; VMA</t>
        </is>
      </c>
      <c r="D15" s="15" t="inlineStr">
        <is>
          <t>+11.4% YoYo / -0.04s 10m</t>
        </is>
      </c>
      <c r="E15" s="18" t="inlineStr">
        <is>
          <t>OPTIMAL (Vert)</t>
        </is>
      </c>
      <c r="F15" s="14" t="inlineStr">
        <is>
          <t>Capacités aérobies consolidées pour les 90 minutes de match</t>
        </is>
      </c>
    </row>
    <row r="16"/>
    <row r="17"/>
    <row r="18">
      <c r="A18" s="12" t="inlineStr">
        <is>
          <t>PRÉCONISATIONS TACTIQUES ET PHYSIQUES POUR LA SEMAINE 7 (MATCH DE HAUT DE TABLEAU)</t>
        </is>
      </c>
    </row>
    <row r="19"/>
    <row r="20">
      <c r="A20" s="19" t="inlineStr">
        <is>
          <t>1. Gestion individualisée du volume : Maintenir l'intensité maximale sur les séquences courtes (vitesse vivacité 5-10m) mais réduire le volume global de 25% (période d'affûtage / tapering).</t>
        </is>
      </c>
    </row>
    <row r="21">
      <c r="A21" s="19" t="inlineStr">
        <is>
          <t>2. Décharge ciblée des milieux de terrain : Louis, Arthur et Gabriel présentent une fatigue résiduelle accumulée en S5. Adapter les exercices avec ballon en limitant les surfaces d'évolution pour diminuer la distance totale parcourue.</t>
        </is>
      </c>
    </row>
    <row r="22">
      <c r="A22" s="19" t="inlineStr">
        <is>
          <t>3. Surveillance renforcée du sommeil : 4 joueurs rapportent un temps de sommeil inférieur à 7h les veilles de match. Mettre en place un protocole d'hygiène de récupération (sieste 20 min, limitation écrans post-dîner).</t>
        </is>
      </c>
    </row>
    <row r="23">
      <c r="A23" s="19" t="inlineStr">
        <is>
          <t>4. Protocole d'activation veille de match (J-1) : 35 minutes axées sur la réactivité neuromusculaire, la proprioception dynamique et des rappels de vitesse sans fatigue métabolique.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pane="bottomLeft" activeCell="A1" sqref="A1"/>
    </sheetView>
  </sheetViews>
  <sheetFormatPr baseColWidth="8" defaultRowHeight="15"/>
  <cols>
    <col width="105" customWidth="1" min="1" max="1"/>
  </cols>
  <sheetData>
    <row r="1">
      <c r="A1" s="3" t="inlineStr">
        <is>
          <t>DOCUMENT DE TRAVAIL – DONNÉES FICTIVES</t>
        </is>
      </c>
    </row>
    <row r="2">
      <c r="A2" t="inlineStr">
        <is>
          <t>Contexte : club de sport collectif, suivi de 12 sportifs pendant 6 semaines.</t>
        </is>
      </c>
    </row>
    <row r="3">
      <c r="A3" t="inlineStr">
        <is>
          <t>Les données sont volontairement fournies sous une forme proche d'un environnement professionnel.</t>
        </is>
      </c>
    </row>
    <row r="4">
      <c r="A4" t="inlineStr">
        <is>
          <t>Certaines erreurs, valeurs manquantes, doublons ou valeurs atypiques ont été introduits volontairement.</t>
        </is>
      </c>
    </row>
    <row r="5">
      <c r="A5" t="inlineStr">
        <is>
          <t>Votre travail consiste à contrôler la qualité des données avant de les analyser.</t>
        </is>
      </c>
    </row>
    <row r="6">
      <c r="A6" t="inlineStr">
        <is>
          <t>Les colonnes calculées (ex. charge = durée × RPE) doivent être créées par l'étudiant.</t>
        </is>
      </c>
    </row>
    <row r="7">
      <c r="A7" t="inlineStr">
        <is>
          <t>Les données de bien-être correspondent à des réponses quotidiennes à un formulaire.</t>
        </is>
      </c>
    </row>
    <row r="8">
      <c r="A8" t="inlineStr">
        <is>
          <t>Les tests physiques sont réalisés en semaine 1 et en semaine 6.</t>
        </is>
      </c>
    </row>
    <row r="9">
      <c r="A9" t="inlineStr">
        <is>
          <t>Les résultats de compétition peuvent être croisés avec les données d'entraînement.</t>
        </is>
      </c>
    </row>
    <row r="10">
      <c r="A10" t="inlineStr">
        <is>
          <t>Ne modifiez pas les feuilles RAW : créez vos feuilles de traitement, calculs et tableaux de bord à partir de copies ou de requêtes.</t>
        </is>
      </c>
    </row>
  </sheetData>
  <autoFilter ref="A1:A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5" customWidth="1" min="7" max="7"/>
    <col width="12" customWidth="1" min="8" max="8"/>
  </cols>
  <sheetData>
    <row r="1">
      <c r="A1" s="3" t="inlineStr">
        <is>
          <t>Athlete_ID</t>
        </is>
      </c>
      <c r="B1" s="3" t="inlineStr">
        <is>
          <t>Nom</t>
        </is>
      </c>
      <c r="C1" s="3" t="inlineStr">
        <is>
          <t>Prenom</t>
        </is>
      </c>
      <c r="D1" s="3" t="inlineStr">
        <is>
          <t>Age</t>
        </is>
      </c>
      <c r="E1" s="3" t="inlineStr">
        <is>
          <t>Poste</t>
        </is>
      </c>
      <c r="F1" s="3" t="inlineStr">
        <is>
          <t>Poids_kg</t>
        </is>
      </c>
      <c r="G1" s="3" t="inlineStr">
        <is>
          <t>Pied_dominant</t>
        </is>
      </c>
      <c r="H1" s="3" t="inlineStr">
        <is>
          <t>Statut</t>
        </is>
      </c>
    </row>
    <row r="2">
      <c r="A2" t="inlineStr">
        <is>
          <t>ATH01</t>
        </is>
      </c>
      <c r="B2" t="inlineStr">
        <is>
          <t>Martin</t>
        </is>
      </c>
      <c r="C2" t="inlineStr">
        <is>
          <t>Lucas</t>
        </is>
      </c>
      <c r="D2" t="n">
        <v>22</v>
      </c>
      <c r="E2" t="inlineStr">
        <is>
          <t>Gardien</t>
        </is>
      </c>
      <c r="F2" t="n">
        <v>82.40000000000001</v>
      </c>
      <c r="G2" t="inlineStr">
        <is>
          <t>Droitier</t>
        </is>
      </c>
      <c r="H2" t="inlineStr">
        <is>
          <t>Titulaire</t>
        </is>
      </c>
    </row>
    <row r="3">
      <c r="A3" t="inlineStr">
        <is>
          <t>ATH02</t>
        </is>
      </c>
      <c r="B3" t="inlineStr">
        <is>
          <t>Dupont</t>
        </is>
      </c>
      <c r="C3" t="inlineStr">
        <is>
          <t>Nathan</t>
        </is>
      </c>
      <c r="D3" t="n">
        <v>21</v>
      </c>
      <c r="E3" t="inlineStr">
        <is>
          <t>Défenseur</t>
        </is>
      </c>
      <c r="F3" t="n">
        <v>78.09999999999999</v>
      </c>
      <c r="G3" t="inlineStr">
        <is>
          <t>Droitier</t>
        </is>
      </c>
      <c r="H3" t="inlineStr">
        <is>
          <t>Titulaire</t>
        </is>
      </c>
    </row>
    <row r="4">
      <c r="A4" t="inlineStr">
        <is>
          <t>ATH03</t>
        </is>
      </c>
      <c r="B4" t="inlineStr">
        <is>
          <t>Leroy</t>
        </is>
      </c>
      <c r="C4" t="inlineStr">
        <is>
          <t>Hugo</t>
        </is>
      </c>
      <c r="D4" t="n">
        <v>24</v>
      </c>
      <c r="E4" t="inlineStr">
        <is>
          <t>Défenseur</t>
        </is>
      </c>
      <c r="F4" t="n">
        <v>84.59999999999999</v>
      </c>
      <c r="G4" t="inlineStr">
        <is>
          <t>Gaucher</t>
        </is>
      </c>
      <c r="H4" t="inlineStr">
        <is>
          <t>Titulaire</t>
        </is>
      </c>
    </row>
    <row r="5">
      <c r="A5" t="inlineStr">
        <is>
          <t>ATH04</t>
        </is>
      </c>
      <c r="B5" t="inlineStr">
        <is>
          <t>Simon</t>
        </is>
      </c>
      <c r="C5" t="inlineStr">
        <is>
          <t>Ethan</t>
        </is>
      </c>
      <c r="D5" t="n">
        <v>20</v>
      </c>
      <c r="E5" t="inlineStr">
        <is>
          <t>Défenseur</t>
        </is>
      </c>
      <c r="F5" t="n">
        <v>76.8</v>
      </c>
      <c r="G5" t="inlineStr">
        <is>
          <t>Droitier</t>
        </is>
      </c>
      <c r="H5" t="inlineStr">
        <is>
          <t>Rotation</t>
        </is>
      </c>
    </row>
    <row r="6">
      <c r="A6" t="inlineStr">
        <is>
          <t>ATH05</t>
        </is>
      </c>
      <c r="B6" t="inlineStr">
        <is>
          <t>Bernard</t>
        </is>
      </c>
      <c r="C6" t="inlineStr">
        <is>
          <t>Tom</t>
        </is>
      </c>
      <c r="D6" t="n">
        <v>23</v>
      </c>
      <c r="E6" t="inlineStr">
        <is>
          <t>Milieu</t>
        </is>
      </c>
      <c r="F6" t="n">
        <v>73.5</v>
      </c>
      <c r="G6" t="inlineStr">
        <is>
          <t>Droitier</t>
        </is>
      </c>
      <c r="H6" t="inlineStr">
        <is>
          <t>Titulaire</t>
        </is>
      </c>
    </row>
    <row r="7">
      <c r="A7" t="inlineStr">
        <is>
          <t>ATH06</t>
        </is>
      </c>
      <c r="B7" t="inlineStr">
        <is>
          <t>Robert</t>
        </is>
      </c>
      <c r="C7" t="inlineStr">
        <is>
          <t>Noah</t>
        </is>
      </c>
      <c r="D7" t="n">
        <v>22</v>
      </c>
      <c r="E7" t="inlineStr">
        <is>
          <t>Milieu</t>
        </is>
      </c>
      <c r="F7" t="n">
        <v>71.90000000000001</v>
      </c>
      <c r="G7" t="inlineStr">
        <is>
          <t>Gaucher</t>
        </is>
      </c>
      <c r="H7" t="inlineStr">
        <is>
          <t>Titulaire</t>
        </is>
      </c>
    </row>
    <row r="8">
      <c r="A8" t="inlineStr">
        <is>
          <t>ATH07</t>
        </is>
      </c>
      <c r="B8" t="inlineStr">
        <is>
          <t>Petit</t>
        </is>
      </c>
      <c r="C8" t="inlineStr">
        <is>
          <t>Louis</t>
        </is>
      </c>
      <c r="D8" t="n">
        <v>25</v>
      </c>
      <c r="E8" t="inlineStr">
        <is>
          <t>Milieu</t>
        </is>
      </c>
      <c r="F8" t="n">
        <v>79.2</v>
      </c>
      <c r="G8" t="inlineStr">
        <is>
          <t>Droitier</t>
        </is>
      </c>
      <c r="H8" t="inlineStr">
        <is>
          <t>Titulaire</t>
        </is>
      </c>
    </row>
    <row r="9">
      <c r="A9" t="inlineStr">
        <is>
          <t>ATH08</t>
        </is>
      </c>
      <c r="B9" t="inlineStr">
        <is>
          <t>Moreau</t>
        </is>
      </c>
      <c r="C9" t="inlineStr">
        <is>
          <t>Arthur</t>
        </is>
      </c>
      <c r="D9" t="n">
        <v>21</v>
      </c>
      <c r="E9" t="inlineStr">
        <is>
          <t>Ailier</t>
        </is>
      </c>
      <c r="F9" t="n">
        <v>68.7</v>
      </c>
      <c r="G9" t="inlineStr">
        <is>
          <t>Droitier</t>
        </is>
      </c>
      <c r="H9" t="inlineStr">
        <is>
          <t>Rotation</t>
        </is>
      </c>
    </row>
    <row r="10">
      <c r="A10" t="inlineStr">
        <is>
          <t>ATH09</t>
        </is>
      </c>
      <c r="B10" t="inlineStr">
        <is>
          <t>Garcia</t>
        </is>
      </c>
      <c r="C10" t="inlineStr">
        <is>
          <t>Enzo</t>
        </is>
      </c>
      <c r="D10" t="n">
        <v>20</v>
      </c>
      <c r="E10" t="inlineStr">
        <is>
          <t>Ailier</t>
        </is>
      </c>
      <c r="F10" t="n">
        <v>70.40000000000001</v>
      </c>
      <c r="G10" t="inlineStr">
        <is>
          <t>Gaucher</t>
        </is>
      </c>
      <c r="H10" t="inlineStr">
        <is>
          <t>Titulaire</t>
        </is>
      </c>
    </row>
    <row r="11">
      <c r="A11" t="inlineStr">
        <is>
          <t>ATH10</t>
        </is>
      </c>
      <c r="B11" t="inlineStr">
        <is>
          <t>Rossi</t>
        </is>
      </c>
      <c r="C11" t="inlineStr">
        <is>
          <t>Mathis</t>
        </is>
      </c>
      <c r="D11" t="n">
        <v>24</v>
      </c>
      <c r="E11" t="inlineStr">
        <is>
          <t>Attaquant</t>
        </is>
      </c>
      <c r="F11" t="n">
        <v>81.3</v>
      </c>
      <c r="G11" t="inlineStr">
        <is>
          <t>Droitier</t>
        </is>
      </c>
      <c r="H11" t="inlineStr">
        <is>
          <t>Titulaire</t>
        </is>
      </c>
    </row>
    <row r="12">
      <c r="A12" t="inlineStr">
        <is>
          <t>ATH11</t>
        </is>
      </c>
      <c r="B12" t="inlineStr">
        <is>
          <t>Lambert</t>
        </is>
      </c>
      <c r="C12" t="inlineStr">
        <is>
          <t>Adam</t>
        </is>
      </c>
      <c r="D12" t="n">
        <v>22</v>
      </c>
      <c r="E12" t="inlineStr">
        <is>
          <t>Attaquant</t>
        </is>
      </c>
      <c r="F12" t="n">
        <v>77.59999999999999</v>
      </c>
      <c r="G12" t="inlineStr">
        <is>
          <t>Droitier</t>
        </is>
      </c>
      <c r="H12" t="inlineStr">
        <is>
          <t>Rotation</t>
        </is>
      </c>
    </row>
    <row r="13">
      <c r="A13" t="inlineStr">
        <is>
          <t>ATH12</t>
        </is>
      </c>
      <c r="B13" t="inlineStr">
        <is>
          <t>Fontaine</t>
        </is>
      </c>
      <c r="C13" t="inlineStr">
        <is>
          <t>Jules</t>
        </is>
      </c>
      <c r="D13" t="n">
        <v>23</v>
      </c>
      <c r="E13" t="inlineStr">
        <is>
          <t>Attaquant</t>
        </is>
      </c>
      <c r="F13" t="n">
        <v>75.8</v>
      </c>
      <c r="G13" t="inlineStr">
        <is>
          <t>Gaucher</t>
        </is>
      </c>
      <c r="H13" t="inlineStr">
        <is>
          <t>Titulaire</t>
        </is>
      </c>
    </row>
  </sheetData>
  <autoFilter ref="A1:H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1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2" customWidth="1" min="3" max="3"/>
    <col width="12" customWidth="1" min="4" max="4"/>
    <col width="12" customWidth="1" min="5" max="5"/>
    <col width="14" customWidth="1" min="6" max="6"/>
    <col width="21" customWidth="1" min="7" max="7"/>
    <col width="18" customWidth="1" min="8" max="8"/>
    <col width="14" customWidth="1" min="9" max="9"/>
    <col width="12" customWidth="1" min="10" max="10"/>
    <col width="12" customWidth="1" min="11" max="11"/>
    <col width="13" customWidth="1" min="12" max="12"/>
  </cols>
  <sheetData>
    <row r="1">
      <c r="A1" s="3" t="inlineStr">
        <is>
          <t>Session_ID</t>
        </is>
      </c>
      <c r="B1" s="3" t="inlineStr">
        <is>
          <t>Date</t>
        </is>
      </c>
      <c r="C1" s="3" t="inlineStr">
        <is>
          <t>Week</t>
        </is>
      </c>
      <c r="D1" s="3" t="inlineStr">
        <is>
          <t>Athlete_ID</t>
        </is>
      </c>
      <c r="E1" s="3" t="inlineStr">
        <is>
          <t>Jour</t>
        </is>
      </c>
      <c r="F1" s="3" t="inlineStr">
        <is>
          <t>Type_seance</t>
        </is>
      </c>
      <c r="G1" s="3" t="inlineStr">
        <is>
          <t>Duree_planifiee_min</t>
        </is>
      </c>
      <c r="H1" s="3" t="inlineStr">
        <is>
          <t>Duree_reelle_min</t>
        </is>
      </c>
      <c r="I1" s="3" t="inlineStr">
        <is>
          <t>Presence_1_0</t>
        </is>
      </c>
      <c r="J1" s="3" t="inlineStr">
        <is>
          <t>RPE_1_10</t>
        </is>
      </c>
      <c r="K1" s="3" t="inlineStr">
        <is>
          <t>FC_moy_bpm</t>
        </is>
      </c>
      <c r="L1" s="3" t="inlineStr">
        <is>
          <t>Distance_km</t>
        </is>
      </c>
    </row>
    <row r="2">
      <c r="A2" t="inlineStr">
        <is>
          <t>S01</t>
        </is>
      </c>
      <c r="B2" s="4" t="n">
        <v>46055</v>
      </c>
      <c r="C2" t="inlineStr">
        <is>
          <t>S1</t>
        </is>
      </c>
      <c r="D2" t="inlineStr">
        <is>
          <t>ATH01</t>
        </is>
      </c>
      <c r="E2" t="inlineStr">
        <is>
          <t>Lundi</t>
        </is>
      </c>
      <c r="F2" t="inlineStr">
        <is>
          <t>Technique</t>
        </is>
      </c>
      <c r="G2" t="n">
        <v>75</v>
      </c>
      <c r="H2" t="n">
        <v>76</v>
      </c>
      <c r="I2" t="n">
        <v>1</v>
      </c>
      <c r="J2" t="n">
        <v>4</v>
      </c>
      <c r="K2" t="n">
        <v>166</v>
      </c>
      <c r="L2" t="n">
        <v>8.15</v>
      </c>
    </row>
    <row r="3">
      <c r="A3" t="inlineStr">
        <is>
          <t>S02</t>
        </is>
      </c>
      <c r="B3" s="4" t="n">
        <v>46057</v>
      </c>
      <c r="C3" t="inlineStr">
        <is>
          <t>S1</t>
        </is>
      </c>
      <c r="D3" t="inlineStr">
        <is>
          <t>ATH01</t>
        </is>
      </c>
      <c r="E3" t="inlineStr">
        <is>
          <t>Mercredi</t>
        </is>
      </c>
      <c r="F3" t="inlineStr">
        <is>
          <t>Intermittent</t>
        </is>
      </c>
      <c r="G3" t="n">
        <v>90</v>
      </c>
      <c r="H3" t="n">
        <v>92</v>
      </c>
      <c r="I3" t="n">
        <v>1</v>
      </c>
      <c r="J3" t="n">
        <v>7</v>
      </c>
      <c r="K3" t="n">
        <v>177</v>
      </c>
      <c r="L3" t="n">
        <v>10.06</v>
      </c>
    </row>
    <row r="4">
      <c r="A4" t="inlineStr">
        <is>
          <t>S03</t>
        </is>
      </c>
      <c r="B4" s="4" t="n">
        <v>46059</v>
      </c>
      <c r="C4" t="inlineStr">
        <is>
          <t>S1</t>
        </is>
      </c>
      <c r="D4" t="inlineStr">
        <is>
          <t>ATH01</t>
        </is>
      </c>
      <c r="E4" t="inlineStr">
        <is>
          <t>Vendredi</t>
        </is>
      </c>
      <c r="F4" t="inlineStr">
        <is>
          <t>Collectif</t>
        </is>
      </c>
      <c r="G4" t="n">
        <v>105</v>
      </c>
      <c r="H4" t="n">
        <v>104</v>
      </c>
      <c r="I4" t="n">
        <v>1</v>
      </c>
      <c r="J4" t="n">
        <v>5</v>
      </c>
      <c r="K4" t="n">
        <v>160</v>
      </c>
      <c r="L4" t="n">
        <v>9.48</v>
      </c>
    </row>
    <row r="5">
      <c r="A5" t="inlineStr">
        <is>
          <t>S04</t>
        </is>
      </c>
      <c r="B5" s="4" t="n">
        <v>46062</v>
      </c>
      <c r="C5" t="inlineStr">
        <is>
          <t>S2</t>
        </is>
      </c>
      <c r="D5" t="inlineStr">
        <is>
          <t>ATH01</t>
        </is>
      </c>
      <c r="E5" t="inlineStr">
        <is>
          <t>Lundi</t>
        </is>
      </c>
      <c r="F5" t="inlineStr">
        <is>
          <t>Force</t>
        </is>
      </c>
      <c r="G5" t="n">
        <v>70</v>
      </c>
      <c r="H5" t="n">
        <v>75</v>
      </c>
      <c r="I5" t="n">
        <v>1</v>
      </c>
      <c r="J5" t="n">
        <v>5</v>
      </c>
      <c r="K5" t="n">
        <v>168</v>
      </c>
      <c r="L5" t="n">
        <v>7.78</v>
      </c>
    </row>
    <row r="6">
      <c r="A6" t="inlineStr">
        <is>
          <t>S05</t>
        </is>
      </c>
      <c r="B6" s="4" t="n">
        <v>46064</v>
      </c>
      <c r="C6" t="inlineStr">
        <is>
          <t>S2</t>
        </is>
      </c>
      <c r="D6" t="inlineStr">
        <is>
          <t>ATH01</t>
        </is>
      </c>
      <c r="E6" t="inlineStr">
        <is>
          <t>Mercredi</t>
        </is>
      </c>
      <c r="F6" t="inlineStr">
        <is>
          <t>Intermittent</t>
        </is>
      </c>
      <c r="G6" t="n">
        <v>90</v>
      </c>
      <c r="H6" t="n">
        <v>87</v>
      </c>
      <c r="I6" t="n">
        <v>1</v>
      </c>
      <c r="J6" t="n">
        <v>9</v>
      </c>
      <c r="K6" t="n">
        <v>190</v>
      </c>
      <c r="L6" t="n">
        <v>9.220000000000001</v>
      </c>
    </row>
    <row r="7">
      <c r="A7" t="inlineStr">
        <is>
          <t>S06</t>
        </is>
      </c>
      <c r="B7" s="4" t="n">
        <v>46066</v>
      </c>
      <c r="C7" t="inlineStr">
        <is>
          <t>S2</t>
        </is>
      </c>
      <c r="D7" t="inlineStr">
        <is>
          <t>ATH01</t>
        </is>
      </c>
      <c r="E7" t="inlineStr">
        <is>
          <t>Vendredi</t>
        </is>
      </c>
      <c r="F7" t="inlineStr">
        <is>
          <t>Collectif</t>
        </is>
      </c>
      <c r="G7" t="n">
        <v>110</v>
      </c>
      <c r="H7" t="n">
        <v>109</v>
      </c>
      <c r="I7" t="n">
        <v>1</v>
      </c>
      <c r="J7" t="n">
        <v>5</v>
      </c>
      <c r="K7" t="n">
        <v>166</v>
      </c>
      <c r="L7" t="n">
        <v>11.19</v>
      </c>
    </row>
    <row r="8">
      <c r="A8" t="inlineStr">
        <is>
          <t>S07</t>
        </is>
      </c>
      <c r="B8" s="4" t="n">
        <v>46069</v>
      </c>
      <c r="C8" t="inlineStr">
        <is>
          <t>S3</t>
        </is>
      </c>
      <c r="D8" t="inlineStr">
        <is>
          <t>ATH01</t>
        </is>
      </c>
      <c r="E8" t="inlineStr">
        <is>
          <t>Lundi</t>
        </is>
      </c>
      <c r="F8" t="inlineStr">
        <is>
          <t>Technique</t>
        </is>
      </c>
      <c r="G8" t="n">
        <v>75</v>
      </c>
      <c r="H8" t="n">
        <v>73</v>
      </c>
      <c r="I8" t="n">
        <v>1</v>
      </c>
      <c r="J8" t="n">
        <v>4</v>
      </c>
      <c r="K8" t="n">
        <v>164</v>
      </c>
      <c r="L8" t="n">
        <v>7.35</v>
      </c>
    </row>
    <row r="9">
      <c r="A9" t="inlineStr">
        <is>
          <t>S08</t>
        </is>
      </c>
      <c r="B9" s="4" t="n">
        <v>46071</v>
      </c>
      <c r="C9" t="inlineStr">
        <is>
          <t>S3</t>
        </is>
      </c>
      <c r="D9" t="inlineStr">
        <is>
          <t>ATH01</t>
        </is>
      </c>
      <c r="E9" t="inlineStr">
        <is>
          <t>Mercredi</t>
        </is>
      </c>
      <c r="F9" t="inlineStr">
        <is>
          <t>Intermittent</t>
        </is>
      </c>
      <c r="G9" t="n">
        <v>95</v>
      </c>
      <c r="H9" t="n">
        <v>90</v>
      </c>
      <c r="I9" t="n">
        <v>1</v>
      </c>
      <c r="J9" t="n">
        <v>7</v>
      </c>
      <c r="K9" t="n">
        <v>182</v>
      </c>
      <c r="L9" t="n">
        <v>8.94</v>
      </c>
    </row>
    <row r="10">
      <c r="A10" t="inlineStr">
        <is>
          <t>S09</t>
        </is>
      </c>
      <c r="B10" s="4" t="n">
        <v>46073</v>
      </c>
      <c r="C10" t="inlineStr">
        <is>
          <t>S3</t>
        </is>
      </c>
      <c r="D10" t="inlineStr">
        <is>
          <t>ATH01</t>
        </is>
      </c>
      <c r="E10" t="inlineStr">
        <is>
          <t>Vendredi</t>
        </is>
      </c>
      <c r="F10" t="inlineStr">
        <is>
          <t>Collectif</t>
        </is>
      </c>
      <c r="G10" t="n">
        <v>105</v>
      </c>
      <c r="H10" t="n">
        <v>105</v>
      </c>
      <c r="I10" t="n">
        <v>1</v>
      </c>
      <c r="J10" t="n">
        <v>6</v>
      </c>
      <c r="K10" t="n">
        <v>175</v>
      </c>
      <c r="L10" t="n">
        <v>10.88</v>
      </c>
    </row>
    <row r="11">
      <c r="A11" t="inlineStr">
        <is>
          <t>S10</t>
        </is>
      </c>
      <c r="B11" s="4" t="n">
        <v>46076</v>
      </c>
      <c r="C11" t="inlineStr">
        <is>
          <t>S4</t>
        </is>
      </c>
      <c r="D11" t="inlineStr">
        <is>
          <t>ATH01</t>
        </is>
      </c>
      <c r="E11" t="inlineStr">
        <is>
          <t>Lundi</t>
        </is>
      </c>
      <c r="F11" t="inlineStr">
        <is>
          <t>Force</t>
        </is>
      </c>
      <c r="G11" t="n">
        <v>70</v>
      </c>
      <c r="H11" t="n">
        <v>74</v>
      </c>
      <c r="I11" t="n">
        <v>1</v>
      </c>
      <c r="J11" t="n">
        <v>5</v>
      </c>
      <c r="K11" t="n">
        <v>173</v>
      </c>
      <c r="L11" t="n">
        <v>7.87</v>
      </c>
    </row>
    <row r="12">
      <c r="A12" t="inlineStr">
        <is>
          <t>S11</t>
        </is>
      </c>
      <c r="B12" s="4" t="n">
        <v>46078</v>
      </c>
      <c r="C12" t="inlineStr">
        <is>
          <t>S4</t>
        </is>
      </c>
      <c r="D12" t="inlineStr">
        <is>
          <t>ATH01</t>
        </is>
      </c>
      <c r="E12" t="inlineStr">
        <is>
          <t>Mercredi</t>
        </is>
      </c>
      <c r="F12" t="inlineStr">
        <is>
          <t>Intermittent</t>
        </is>
      </c>
      <c r="G12" t="n">
        <v>90</v>
      </c>
      <c r="H12" t="n">
        <v>92</v>
      </c>
      <c r="I12" t="n">
        <v>1</v>
      </c>
      <c r="J12" t="n">
        <v>7</v>
      </c>
      <c r="K12" t="n">
        <v>178</v>
      </c>
      <c r="L12" t="n">
        <v>8.57</v>
      </c>
    </row>
    <row r="13">
      <c r="A13" t="inlineStr">
        <is>
          <t>S12</t>
        </is>
      </c>
      <c r="B13" s="4" t="n">
        <v>46080</v>
      </c>
      <c r="C13" t="inlineStr">
        <is>
          <t>S4</t>
        </is>
      </c>
      <c r="D13" t="inlineStr">
        <is>
          <t>ATH01</t>
        </is>
      </c>
      <c r="E13" t="inlineStr">
        <is>
          <t>Vendredi</t>
        </is>
      </c>
      <c r="F13" t="inlineStr">
        <is>
          <t>Collectif</t>
        </is>
      </c>
      <c r="G13" t="n">
        <v>110</v>
      </c>
      <c r="H13" t="n">
        <v>109</v>
      </c>
      <c r="I13" t="n">
        <v>1</v>
      </c>
      <c r="J13" t="n">
        <v>6</v>
      </c>
      <c r="K13" t="n">
        <v>175</v>
      </c>
      <c r="L13" t="n">
        <v>11.81</v>
      </c>
    </row>
    <row r="14">
      <c r="A14" t="inlineStr">
        <is>
          <t>S13</t>
        </is>
      </c>
      <c r="B14" s="4" t="n">
        <v>46083</v>
      </c>
      <c r="C14" t="inlineStr">
        <is>
          <t>S5</t>
        </is>
      </c>
      <c r="D14" t="inlineStr">
        <is>
          <t>ATH01</t>
        </is>
      </c>
      <c r="E14" t="inlineStr">
        <is>
          <t>Lundi</t>
        </is>
      </c>
      <c r="F14" t="inlineStr">
        <is>
          <t>Technique</t>
        </is>
      </c>
      <c r="G14" t="n">
        <v>75</v>
      </c>
      <c r="H14" t="n">
        <v>78</v>
      </c>
      <c r="I14" t="n">
        <v>1</v>
      </c>
      <c r="J14" t="n">
        <v>6</v>
      </c>
      <c r="K14" t="n">
        <v>179</v>
      </c>
      <c r="L14" t="n">
        <v>8.75</v>
      </c>
    </row>
    <row r="15">
      <c r="A15" t="inlineStr">
        <is>
          <t>S14</t>
        </is>
      </c>
      <c r="B15" s="4" t="n">
        <v>46085</v>
      </c>
      <c r="C15" t="inlineStr">
        <is>
          <t>S5</t>
        </is>
      </c>
      <c r="D15" t="inlineStr">
        <is>
          <t>ATH01</t>
        </is>
      </c>
      <c r="E15" t="inlineStr">
        <is>
          <t>Mercredi</t>
        </is>
      </c>
      <c r="F15" t="inlineStr">
        <is>
          <t>Intermittent</t>
        </is>
      </c>
      <c r="G15" t="n">
        <v>95</v>
      </c>
      <c r="H15" t="n">
        <v>94</v>
      </c>
      <c r="I15" t="n">
        <v>1</v>
      </c>
      <c r="J15" t="n">
        <v>8</v>
      </c>
      <c r="K15" t="n">
        <v>180</v>
      </c>
      <c r="L15" t="n">
        <v>9.640000000000001</v>
      </c>
    </row>
    <row r="16">
      <c r="A16" t="inlineStr">
        <is>
          <t>S15</t>
        </is>
      </c>
      <c r="B16" s="4" t="n">
        <v>46087</v>
      </c>
      <c r="C16" t="inlineStr">
        <is>
          <t>S5</t>
        </is>
      </c>
      <c r="D16" t="inlineStr">
        <is>
          <t>ATH01</t>
        </is>
      </c>
      <c r="E16" t="inlineStr">
        <is>
          <t>Vendredi</t>
        </is>
      </c>
      <c r="F16" t="inlineStr">
        <is>
          <t>Collectif</t>
        </is>
      </c>
      <c r="G16" t="n">
        <v>105</v>
      </c>
      <c r="H16" t="n">
        <v>106</v>
      </c>
      <c r="I16" t="n">
        <v>1</v>
      </c>
      <c r="J16" t="n">
        <v>4</v>
      </c>
      <c r="K16" t="n">
        <v>170</v>
      </c>
      <c r="L16" t="n">
        <v>10.98</v>
      </c>
    </row>
    <row r="17">
      <c r="A17" t="inlineStr">
        <is>
          <t>S16</t>
        </is>
      </c>
      <c r="B17" s="4" t="n">
        <v>46090</v>
      </c>
      <c r="C17" t="inlineStr">
        <is>
          <t>S6</t>
        </is>
      </c>
      <c r="D17" t="inlineStr">
        <is>
          <t>ATH01</t>
        </is>
      </c>
      <c r="E17" t="inlineStr">
        <is>
          <t>Lundi</t>
        </is>
      </c>
      <c r="F17" t="inlineStr">
        <is>
          <t>Force</t>
        </is>
      </c>
      <c r="G17" t="n">
        <v>70</v>
      </c>
      <c r="H17" t="n">
        <v>72</v>
      </c>
      <c r="I17" t="n">
        <v>1</v>
      </c>
      <c r="J17" t="n">
        <v>5</v>
      </c>
      <c r="K17" t="n">
        <v>174</v>
      </c>
      <c r="L17" t="n">
        <v>8.34</v>
      </c>
    </row>
    <row r="18">
      <c r="A18" t="inlineStr">
        <is>
          <t>S17</t>
        </is>
      </c>
      <c r="B18" s="4" t="n">
        <v>46092</v>
      </c>
      <c r="C18" t="inlineStr">
        <is>
          <t>S6</t>
        </is>
      </c>
      <c r="D18" t="inlineStr">
        <is>
          <t>ATH01</t>
        </is>
      </c>
      <c r="E18" t="inlineStr">
        <is>
          <t>Mercredi</t>
        </is>
      </c>
      <c r="F18" t="inlineStr">
        <is>
          <t>Intermittent</t>
        </is>
      </c>
      <c r="G18" t="n">
        <v>90</v>
      </c>
      <c r="H18" t="n">
        <v>95</v>
      </c>
      <c r="I18" t="n">
        <v>1</v>
      </c>
      <c r="J18" t="n">
        <v>6</v>
      </c>
      <c r="K18" t="n">
        <v>174</v>
      </c>
      <c r="L18" t="n">
        <v>10.71</v>
      </c>
    </row>
    <row r="19">
      <c r="A19" t="inlineStr">
        <is>
          <t>S18</t>
        </is>
      </c>
      <c r="B19" s="4" t="n">
        <v>46094</v>
      </c>
      <c r="C19" t="inlineStr">
        <is>
          <t>S6</t>
        </is>
      </c>
      <c r="D19" t="inlineStr">
        <is>
          <t>ATH01</t>
        </is>
      </c>
      <c r="E19" t="inlineStr">
        <is>
          <t>Vendredi</t>
        </is>
      </c>
      <c r="F19" t="inlineStr">
        <is>
          <t>Collectif</t>
        </is>
      </c>
      <c r="G19" t="n">
        <v>100</v>
      </c>
      <c r="H19" t="n">
        <v>104</v>
      </c>
      <c r="I19" t="n">
        <v>1</v>
      </c>
      <c r="J19" t="n">
        <v>6</v>
      </c>
      <c r="K19" t="n">
        <v>161</v>
      </c>
      <c r="L19" t="n">
        <v>11.6</v>
      </c>
    </row>
    <row r="20">
      <c r="A20" t="inlineStr">
        <is>
          <t>S01</t>
        </is>
      </c>
      <c r="B20" s="4" t="n">
        <v>46055</v>
      </c>
      <c r="C20" t="inlineStr">
        <is>
          <t>S1</t>
        </is>
      </c>
      <c r="D20" t="inlineStr">
        <is>
          <t>ATH02</t>
        </is>
      </c>
      <c r="E20" t="inlineStr">
        <is>
          <t>Lundi</t>
        </is>
      </c>
      <c r="F20" t="inlineStr">
        <is>
          <t>Technique</t>
        </is>
      </c>
      <c r="G20" t="n">
        <v>75</v>
      </c>
      <c r="H20" t="n">
        <v>79</v>
      </c>
      <c r="I20" t="n">
        <v>1</v>
      </c>
      <c r="J20" t="n">
        <v>4</v>
      </c>
      <c r="K20" t="n">
        <v>170</v>
      </c>
      <c r="L20" t="n">
        <v>8.869999999999999</v>
      </c>
    </row>
    <row r="21">
      <c r="A21" t="inlineStr">
        <is>
          <t>S02</t>
        </is>
      </c>
      <c r="B21" s="4" t="n">
        <v>46057</v>
      </c>
      <c r="C21" t="inlineStr">
        <is>
          <t>S1</t>
        </is>
      </c>
      <c r="D21" t="inlineStr">
        <is>
          <t>ATH02</t>
        </is>
      </c>
      <c r="E21" t="inlineStr">
        <is>
          <t>Mercredi</t>
        </is>
      </c>
      <c r="F21" t="inlineStr">
        <is>
          <t>Intermittent</t>
        </is>
      </c>
      <c r="G21" t="n">
        <v>90</v>
      </c>
      <c r="H21" t="n">
        <v>91</v>
      </c>
      <c r="I21" t="n">
        <v>1</v>
      </c>
      <c r="J21" t="n">
        <v>8</v>
      </c>
      <c r="K21" t="n">
        <v>177</v>
      </c>
      <c r="L21" t="n">
        <v>9.69</v>
      </c>
    </row>
    <row r="22">
      <c r="A22" t="inlineStr">
        <is>
          <t>S03</t>
        </is>
      </c>
      <c r="B22" s="4" t="n">
        <v>46059</v>
      </c>
      <c r="C22" t="inlineStr">
        <is>
          <t>S1</t>
        </is>
      </c>
      <c r="D22" t="inlineStr">
        <is>
          <t>ATH02</t>
        </is>
      </c>
      <c r="E22" t="inlineStr">
        <is>
          <t>Vendredi</t>
        </is>
      </c>
      <c r="F22" t="inlineStr">
        <is>
          <t>Collectif</t>
        </is>
      </c>
      <c r="G22" t="n">
        <v>105</v>
      </c>
      <c r="H22" t="n">
        <v>106</v>
      </c>
      <c r="I22" t="n">
        <v>1</v>
      </c>
      <c r="J22" t="n">
        <v>6</v>
      </c>
      <c r="K22" t="n">
        <v>176</v>
      </c>
      <c r="L22" t="n">
        <v>9.890000000000001</v>
      </c>
    </row>
    <row r="23">
      <c r="A23" t="inlineStr">
        <is>
          <t>S04</t>
        </is>
      </c>
      <c r="B23" s="4" t="n">
        <v>46062</v>
      </c>
      <c r="C23" t="inlineStr">
        <is>
          <t>S2</t>
        </is>
      </c>
      <c r="D23" t="inlineStr">
        <is>
          <t>ATH02</t>
        </is>
      </c>
      <c r="E23" t="inlineStr">
        <is>
          <t>Lundi</t>
        </is>
      </c>
      <c r="F23" t="inlineStr">
        <is>
          <t>Force</t>
        </is>
      </c>
      <c r="G23" t="n">
        <v>70</v>
      </c>
      <c r="H23" t="n">
        <v>69</v>
      </c>
      <c r="I23" t="n">
        <v>1</v>
      </c>
      <c r="J23" t="n">
        <v>6</v>
      </c>
      <c r="K23" t="n">
        <v>172</v>
      </c>
      <c r="L23" t="n">
        <v>7.53</v>
      </c>
    </row>
    <row r="24">
      <c r="A24" t="inlineStr">
        <is>
          <t>S05</t>
        </is>
      </c>
      <c r="B24" s="4" t="n">
        <v>46064</v>
      </c>
      <c r="C24" t="inlineStr">
        <is>
          <t>S2</t>
        </is>
      </c>
      <c r="D24" t="inlineStr">
        <is>
          <t>ATH02</t>
        </is>
      </c>
      <c r="E24" t="inlineStr">
        <is>
          <t>Mercredi</t>
        </is>
      </c>
      <c r="F24" t="inlineStr">
        <is>
          <t>Intermittent</t>
        </is>
      </c>
      <c r="G24" t="n">
        <v>90</v>
      </c>
      <c r="H24" t="n">
        <v>95</v>
      </c>
      <c r="I24" t="n">
        <v>1</v>
      </c>
      <c r="J24" t="n">
        <v>7</v>
      </c>
      <c r="K24" t="n">
        <v>175</v>
      </c>
      <c r="L24" t="n">
        <v>9.779999999999999</v>
      </c>
    </row>
    <row r="25">
      <c r="A25" t="inlineStr">
        <is>
          <t>S06</t>
        </is>
      </c>
      <c r="B25" s="4" t="n">
        <v>46066</v>
      </c>
      <c r="C25" t="inlineStr">
        <is>
          <t>S2</t>
        </is>
      </c>
      <c r="D25" t="inlineStr">
        <is>
          <t>ATH02</t>
        </is>
      </c>
      <c r="E25" t="inlineStr">
        <is>
          <t>Vendredi</t>
        </is>
      </c>
      <c r="F25" t="inlineStr">
        <is>
          <t>Collectif</t>
        </is>
      </c>
      <c r="G25" t="n">
        <v>110</v>
      </c>
      <c r="H25" t="n">
        <v>115</v>
      </c>
      <c r="I25" t="n">
        <v>1</v>
      </c>
      <c r="J25" t="n">
        <v>6</v>
      </c>
      <c r="K25" t="n">
        <v>176</v>
      </c>
      <c r="L25" t="n">
        <v>12.32</v>
      </c>
    </row>
    <row r="26">
      <c r="A26" t="inlineStr">
        <is>
          <t>S07</t>
        </is>
      </c>
      <c r="B26" s="4" t="n">
        <v>46069</v>
      </c>
      <c r="C26" t="inlineStr">
        <is>
          <t>S3</t>
        </is>
      </c>
      <c r="D26" t="inlineStr">
        <is>
          <t>ATH02</t>
        </is>
      </c>
      <c r="E26" t="inlineStr">
        <is>
          <t>Lundi</t>
        </is>
      </c>
      <c r="F26" t="inlineStr">
        <is>
          <t>Technique</t>
        </is>
      </c>
      <c r="G26" t="n">
        <v>75</v>
      </c>
      <c r="H26" t="n">
        <v>76</v>
      </c>
      <c r="I26" t="n">
        <v>1</v>
      </c>
      <c r="J26" t="n">
        <v>4</v>
      </c>
      <c r="K26" t="n">
        <v>162</v>
      </c>
      <c r="L26" t="n">
        <v>7.77</v>
      </c>
    </row>
    <row r="27">
      <c r="A27" t="inlineStr">
        <is>
          <t>S08</t>
        </is>
      </c>
      <c r="B27" s="4" t="n">
        <v>46071</v>
      </c>
      <c r="C27" t="inlineStr">
        <is>
          <t>S3</t>
        </is>
      </c>
      <c r="D27" t="inlineStr">
        <is>
          <t>ATH02</t>
        </is>
      </c>
      <c r="E27" t="inlineStr">
        <is>
          <t>Mercredi</t>
        </is>
      </c>
      <c r="F27" t="inlineStr">
        <is>
          <t>Intermittent</t>
        </is>
      </c>
      <c r="G27" t="n">
        <v>95</v>
      </c>
      <c r="H27" t="n">
        <v>100</v>
      </c>
      <c r="I27" t="n">
        <v>1</v>
      </c>
      <c r="J27" t="n">
        <v>6</v>
      </c>
      <c r="K27" t="n">
        <v>171</v>
      </c>
      <c r="L27" t="n">
        <v>10.38</v>
      </c>
    </row>
    <row r="28">
      <c r="A28" t="inlineStr">
        <is>
          <t>S09</t>
        </is>
      </c>
      <c r="B28" s="4" t="n">
        <v>46073</v>
      </c>
      <c r="C28" t="inlineStr">
        <is>
          <t>S3</t>
        </is>
      </c>
      <c r="D28" t="inlineStr">
        <is>
          <t>ATH02</t>
        </is>
      </c>
      <c r="E28" t="inlineStr">
        <is>
          <t>Vendredi</t>
        </is>
      </c>
      <c r="F28" t="inlineStr">
        <is>
          <t>Collectif</t>
        </is>
      </c>
      <c r="G28" t="n">
        <v>105</v>
      </c>
      <c r="H28" t="n">
        <v>109</v>
      </c>
      <c r="I28" t="n">
        <v>1</v>
      </c>
      <c r="J28" t="n">
        <v>7</v>
      </c>
      <c r="K28" t="n">
        <v>174</v>
      </c>
      <c r="L28" t="n">
        <v>10.78</v>
      </c>
    </row>
    <row r="29">
      <c r="A29" t="inlineStr">
        <is>
          <t>S10</t>
        </is>
      </c>
      <c r="B29" s="4" t="n">
        <v>46076</v>
      </c>
      <c r="C29" t="inlineStr">
        <is>
          <t>S4</t>
        </is>
      </c>
      <c r="D29" t="inlineStr">
        <is>
          <t>ATH02</t>
        </is>
      </c>
      <c r="E29" t="inlineStr">
        <is>
          <t>Lundi</t>
        </is>
      </c>
      <c r="F29" t="inlineStr">
        <is>
          <t>Force</t>
        </is>
      </c>
      <c r="G29" t="n">
        <v>70</v>
      </c>
      <c r="H29" t="n">
        <v>72</v>
      </c>
      <c r="I29" t="n">
        <v>1</v>
      </c>
      <c r="J29" t="n">
        <v>4</v>
      </c>
      <c r="K29" t="n">
        <v>162</v>
      </c>
      <c r="L29" t="n">
        <v>7.51</v>
      </c>
    </row>
    <row r="30">
      <c r="A30" t="inlineStr">
        <is>
          <t>S11</t>
        </is>
      </c>
      <c r="B30" s="4" t="n">
        <v>46078</v>
      </c>
      <c r="C30" t="inlineStr">
        <is>
          <t>S4</t>
        </is>
      </c>
      <c r="D30" t="inlineStr">
        <is>
          <t>ATH02</t>
        </is>
      </c>
      <c r="E30" t="inlineStr">
        <is>
          <t>Mercredi</t>
        </is>
      </c>
      <c r="F30" t="inlineStr">
        <is>
          <t>Intermittent</t>
        </is>
      </c>
      <c r="G30" t="n">
        <v>90</v>
      </c>
      <c r="H30" t="n">
        <v>85</v>
      </c>
      <c r="I30" t="n">
        <v>1</v>
      </c>
      <c r="J30" t="n">
        <v>6</v>
      </c>
      <c r="K30" t="n">
        <v>172</v>
      </c>
      <c r="L30" t="n">
        <v>9.16</v>
      </c>
    </row>
    <row r="31">
      <c r="A31" t="inlineStr">
        <is>
          <t>S12</t>
        </is>
      </c>
      <c r="B31" s="4" t="n">
        <v>46080</v>
      </c>
      <c r="C31" t="inlineStr">
        <is>
          <t>S4</t>
        </is>
      </c>
      <c r="D31" t="inlineStr">
        <is>
          <t>ATH02</t>
        </is>
      </c>
      <c r="E31" t="inlineStr">
        <is>
          <t>Vendredi</t>
        </is>
      </c>
      <c r="F31" t="inlineStr">
        <is>
          <t>Collectif</t>
        </is>
      </c>
      <c r="G31" t="n">
        <v>110</v>
      </c>
      <c r="H31" t="n">
        <v>111</v>
      </c>
      <c r="I31" t="n">
        <v>1</v>
      </c>
      <c r="J31" t="n">
        <v>6</v>
      </c>
      <c r="K31" t="n">
        <v>173</v>
      </c>
      <c r="L31" t="n">
        <v>11.04</v>
      </c>
    </row>
    <row r="32">
      <c r="A32" t="inlineStr">
        <is>
          <t>S13</t>
        </is>
      </c>
      <c r="B32" s="4" t="n">
        <v>46083</v>
      </c>
      <c r="C32" t="inlineStr">
        <is>
          <t>S5</t>
        </is>
      </c>
      <c r="D32" t="inlineStr">
        <is>
          <t>ATH02</t>
        </is>
      </c>
      <c r="E32" t="inlineStr">
        <is>
          <t>Lundi</t>
        </is>
      </c>
      <c r="F32" t="inlineStr">
        <is>
          <t>Technique</t>
        </is>
      </c>
      <c r="G32" t="n">
        <v>75</v>
      </c>
      <c r="H32" t="n">
        <v>70</v>
      </c>
      <c r="I32" t="n">
        <v>1</v>
      </c>
      <c r="J32" t="n">
        <v>6</v>
      </c>
      <c r="K32" t="n">
        <v>181</v>
      </c>
      <c r="L32" t="n">
        <v>6.86</v>
      </c>
    </row>
    <row r="33">
      <c r="A33" t="inlineStr">
        <is>
          <t>S14</t>
        </is>
      </c>
      <c r="B33" s="4" t="n">
        <v>46085</v>
      </c>
      <c r="C33" t="inlineStr">
        <is>
          <t>S5</t>
        </is>
      </c>
      <c r="D33" t="inlineStr">
        <is>
          <t>ATH02</t>
        </is>
      </c>
      <c r="E33" t="inlineStr">
        <is>
          <t>Mercredi</t>
        </is>
      </c>
      <c r="F33" t="inlineStr">
        <is>
          <t>Intermittent</t>
        </is>
      </c>
      <c r="G33" t="n">
        <v>95</v>
      </c>
      <c r="H33" t="n">
        <v>90</v>
      </c>
      <c r="I33" t="n">
        <v>1</v>
      </c>
      <c r="J33" t="n">
        <v>7</v>
      </c>
      <c r="K33" t="n">
        <v>175</v>
      </c>
      <c r="L33" t="n">
        <v>9.039999999999999</v>
      </c>
    </row>
    <row r="34">
      <c r="A34" t="inlineStr">
        <is>
          <t>S15</t>
        </is>
      </c>
      <c r="B34" s="4" t="n">
        <v>46087</v>
      </c>
      <c r="C34" t="inlineStr">
        <is>
          <t>S5</t>
        </is>
      </c>
      <c r="D34" t="inlineStr">
        <is>
          <t>ATH02</t>
        </is>
      </c>
      <c r="E34" t="inlineStr">
        <is>
          <t>Vendredi</t>
        </is>
      </c>
      <c r="F34" t="inlineStr">
        <is>
          <t>Collectif</t>
        </is>
      </c>
      <c r="G34" t="n">
        <v>105</v>
      </c>
      <c r="H34" t="n">
        <v>102</v>
      </c>
      <c r="I34" t="n">
        <v>1</v>
      </c>
      <c r="J34" t="n">
        <v>6</v>
      </c>
      <c r="K34" t="n">
        <v>171</v>
      </c>
      <c r="L34" t="n">
        <v>11.43</v>
      </c>
    </row>
    <row r="35">
      <c r="A35" t="inlineStr">
        <is>
          <t>S16</t>
        </is>
      </c>
      <c r="B35" s="4" t="n">
        <v>46090</v>
      </c>
      <c r="C35" t="inlineStr">
        <is>
          <t>S6</t>
        </is>
      </c>
      <c r="D35" t="inlineStr">
        <is>
          <t>ATH02</t>
        </is>
      </c>
      <c r="E35" t="inlineStr">
        <is>
          <t>Lundi</t>
        </is>
      </c>
      <c r="F35" t="inlineStr">
        <is>
          <t>Force</t>
        </is>
      </c>
      <c r="G35" t="n">
        <v>70</v>
      </c>
      <c r="H35" t="n">
        <v>68</v>
      </c>
      <c r="I35" t="n">
        <v>1</v>
      </c>
      <c r="J35" t="n">
        <v>5</v>
      </c>
      <c r="K35" t="n">
        <v>169</v>
      </c>
      <c r="L35" t="n">
        <v>7.48</v>
      </c>
    </row>
    <row r="36">
      <c r="A36" t="inlineStr">
        <is>
          <t>S17</t>
        </is>
      </c>
      <c r="B36" s="4" t="n">
        <v>46092</v>
      </c>
      <c r="C36" t="inlineStr">
        <is>
          <t>S6</t>
        </is>
      </c>
      <c r="D36" t="inlineStr">
        <is>
          <t>ATH02</t>
        </is>
      </c>
      <c r="E36" t="inlineStr">
        <is>
          <t>Mercredi</t>
        </is>
      </c>
      <c r="F36" t="inlineStr">
        <is>
          <t>Intermittent</t>
        </is>
      </c>
      <c r="G36" t="n">
        <v>90</v>
      </c>
      <c r="H36" t="n">
        <v>91</v>
      </c>
      <c r="I36" t="n">
        <v>1</v>
      </c>
      <c r="J36" t="n">
        <v>7</v>
      </c>
      <c r="K36" t="n">
        <v>184</v>
      </c>
      <c r="L36" t="n">
        <v>8.949999999999999</v>
      </c>
    </row>
    <row r="37">
      <c r="A37" t="inlineStr">
        <is>
          <t>S18</t>
        </is>
      </c>
      <c r="B37" s="4" t="n">
        <v>46094</v>
      </c>
      <c r="C37" t="inlineStr">
        <is>
          <t>S6</t>
        </is>
      </c>
      <c r="D37" t="inlineStr">
        <is>
          <t>ATH02</t>
        </is>
      </c>
      <c r="E37" t="inlineStr">
        <is>
          <t>Vendredi</t>
        </is>
      </c>
      <c r="F37" t="inlineStr">
        <is>
          <t>Collectif</t>
        </is>
      </c>
      <c r="G37" t="n">
        <v>100</v>
      </c>
      <c r="H37" t="n">
        <v>104</v>
      </c>
      <c r="I37" t="n">
        <v>1</v>
      </c>
      <c r="J37" t="n">
        <v>6</v>
      </c>
      <c r="K37" t="n">
        <v>171</v>
      </c>
      <c r="L37" t="n">
        <v>10.49</v>
      </c>
    </row>
    <row r="38">
      <c r="A38" t="inlineStr">
        <is>
          <t>S01</t>
        </is>
      </c>
      <c r="B38" s="4" t="n">
        <v>46055</v>
      </c>
      <c r="C38" t="inlineStr">
        <is>
          <t>S1</t>
        </is>
      </c>
      <c r="D38" t="inlineStr">
        <is>
          <t>ATH03</t>
        </is>
      </c>
      <c r="E38" t="inlineStr">
        <is>
          <t>Lundi</t>
        </is>
      </c>
      <c r="F38" t="inlineStr">
        <is>
          <t>Technique</t>
        </is>
      </c>
      <c r="G38" t="n">
        <v>75</v>
      </c>
      <c r="H38" t="n">
        <v>78</v>
      </c>
      <c r="I38" t="n">
        <v>1</v>
      </c>
      <c r="J38" t="n">
        <v>3</v>
      </c>
      <c r="K38" t="n">
        <v>160</v>
      </c>
      <c r="L38" t="n">
        <v>8.35</v>
      </c>
    </row>
    <row r="39">
      <c r="A39" t="inlineStr">
        <is>
          <t>S02</t>
        </is>
      </c>
      <c r="B39" s="4" t="n">
        <v>46057</v>
      </c>
      <c r="C39" t="inlineStr">
        <is>
          <t>S1</t>
        </is>
      </c>
      <c r="D39" t="inlineStr">
        <is>
          <t>ATH03</t>
        </is>
      </c>
      <c r="E39" t="inlineStr">
        <is>
          <t>Mercredi</t>
        </is>
      </c>
      <c r="F39" t="inlineStr">
        <is>
          <t>Intermittent</t>
        </is>
      </c>
      <c r="G39" t="n">
        <v>90</v>
      </c>
      <c r="H39" t="n">
        <v>93</v>
      </c>
      <c r="I39" t="n">
        <v>1</v>
      </c>
      <c r="J39" t="n">
        <v>6</v>
      </c>
      <c r="K39" t="n">
        <v>181</v>
      </c>
      <c r="L39" t="n">
        <v>9.119999999999999</v>
      </c>
    </row>
    <row r="40">
      <c r="A40" t="inlineStr">
        <is>
          <t>S03</t>
        </is>
      </c>
      <c r="B40" s="4" t="n">
        <v>46059</v>
      </c>
      <c r="C40" t="inlineStr">
        <is>
          <t>S1</t>
        </is>
      </c>
      <c r="D40" t="inlineStr">
        <is>
          <t>ATH03</t>
        </is>
      </c>
      <c r="E40" t="inlineStr">
        <is>
          <t>Vendredi</t>
        </is>
      </c>
      <c r="F40" t="inlineStr">
        <is>
          <t>Collectif</t>
        </is>
      </c>
      <c r="G40" t="n">
        <v>105</v>
      </c>
      <c r="H40" t="n">
        <v>102</v>
      </c>
      <c r="I40" t="n">
        <v>1</v>
      </c>
      <c r="J40" t="n">
        <v>6</v>
      </c>
      <c r="K40" t="n">
        <v>176</v>
      </c>
      <c r="L40" t="n">
        <v>10.16</v>
      </c>
    </row>
    <row r="41">
      <c r="A41" t="inlineStr">
        <is>
          <t>S04</t>
        </is>
      </c>
      <c r="B41" s="4" t="n">
        <v>46062</v>
      </c>
      <c r="C41" t="inlineStr">
        <is>
          <t>S2</t>
        </is>
      </c>
      <c r="D41" t="inlineStr">
        <is>
          <t>ATH03</t>
        </is>
      </c>
      <c r="E41" t="inlineStr">
        <is>
          <t>Lundi</t>
        </is>
      </c>
      <c r="F41" t="inlineStr">
        <is>
          <t>Force</t>
        </is>
      </c>
      <c r="G41" t="n">
        <v>70</v>
      </c>
      <c r="H41" t="n">
        <v>72</v>
      </c>
      <c r="I41" t="n">
        <v>1</v>
      </c>
      <c r="J41" t="n">
        <v>6</v>
      </c>
      <c r="K41" t="n">
        <v>176</v>
      </c>
      <c r="L41" t="n">
        <v>8.050000000000001</v>
      </c>
    </row>
    <row r="42">
      <c r="A42" t="inlineStr">
        <is>
          <t>S05</t>
        </is>
      </c>
      <c r="B42" s="4" t="n">
        <v>46064</v>
      </c>
      <c r="C42" t="inlineStr">
        <is>
          <t>S2</t>
        </is>
      </c>
      <c r="D42" t="inlineStr">
        <is>
          <t>ATH03</t>
        </is>
      </c>
      <c r="E42" t="inlineStr">
        <is>
          <t>Mercredi</t>
        </is>
      </c>
      <c r="F42" t="inlineStr">
        <is>
          <t>Intermittent</t>
        </is>
      </c>
      <c r="G42" t="n">
        <v>90</v>
      </c>
      <c r="H42" t="n">
        <v>87</v>
      </c>
      <c r="I42" t="n">
        <v>1</v>
      </c>
      <c r="J42" t="n">
        <v>7</v>
      </c>
      <c r="K42" t="n">
        <v>173</v>
      </c>
      <c r="L42" t="n">
        <v>9.869999999999999</v>
      </c>
    </row>
    <row r="43">
      <c r="A43" t="inlineStr">
        <is>
          <t>S06</t>
        </is>
      </c>
      <c r="B43" s="4" t="n">
        <v>46066</v>
      </c>
      <c r="C43" t="inlineStr">
        <is>
          <t>S2</t>
        </is>
      </c>
      <c r="D43" t="inlineStr">
        <is>
          <t>ATH03</t>
        </is>
      </c>
      <c r="E43" t="inlineStr">
        <is>
          <t>Vendredi</t>
        </is>
      </c>
      <c r="F43" t="inlineStr">
        <is>
          <t>Collectif</t>
        </is>
      </c>
      <c r="G43" t="n">
        <v>110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</row>
    <row r="44">
      <c r="A44" t="inlineStr">
        <is>
          <t>S07</t>
        </is>
      </c>
      <c r="B44" s="4" t="n">
        <v>46069</v>
      </c>
      <c r="C44" t="inlineStr">
        <is>
          <t>S3</t>
        </is>
      </c>
      <c r="D44" t="inlineStr">
        <is>
          <t>ATH03</t>
        </is>
      </c>
      <c r="E44" t="inlineStr">
        <is>
          <t>Lundi</t>
        </is>
      </c>
      <c r="F44" t="inlineStr">
        <is>
          <t>Technique</t>
        </is>
      </c>
      <c r="G44" t="n">
        <v>75</v>
      </c>
      <c r="H44" t="n">
        <v>78</v>
      </c>
      <c r="I44" t="n">
        <v>1</v>
      </c>
      <c r="J44" t="n">
        <v>5</v>
      </c>
      <c r="K44" t="n">
        <v>165</v>
      </c>
      <c r="L44" t="n">
        <v>8.68</v>
      </c>
    </row>
    <row r="45">
      <c r="A45" t="inlineStr">
        <is>
          <t>S08</t>
        </is>
      </c>
      <c r="B45" s="4" t="n">
        <v>46071</v>
      </c>
      <c r="C45" t="inlineStr">
        <is>
          <t>S3</t>
        </is>
      </c>
      <c r="D45" t="inlineStr">
        <is>
          <t>ATH03</t>
        </is>
      </c>
      <c r="E45" t="inlineStr">
        <is>
          <t>Mercredi</t>
        </is>
      </c>
      <c r="F45" t="inlineStr">
        <is>
          <t>Intermittent</t>
        </is>
      </c>
      <c r="G45" t="n">
        <v>95</v>
      </c>
      <c r="H45" t="n">
        <v>94</v>
      </c>
      <c r="I45" t="n">
        <v>1</v>
      </c>
      <c r="J45" t="n">
        <v>8</v>
      </c>
      <c r="K45" t="n">
        <v>181</v>
      </c>
      <c r="L45" t="n">
        <v>9.15</v>
      </c>
    </row>
    <row r="46">
      <c r="A46" t="inlineStr">
        <is>
          <t>S09</t>
        </is>
      </c>
      <c r="B46" s="4" t="n">
        <v>46073</v>
      </c>
      <c r="C46" t="inlineStr">
        <is>
          <t>S3</t>
        </is>
      </c>
      <c r="D46" t="inlineStr">
        <is>
          <t>ATH03</t>
        </is>
      </c>
      <c r="E46" t="inlineStr">
        <is>
          <t>Vendredi</t>
        </is>
      </c>
      <c r="F46" t="inlineStr">
        <is>
          <t>Collectif</t>
        </is>
      </c>
      <c r="G46" t="n">
        <v>105</v>
      </c>
      <c r="H46" t="n">
        <v>110</v>
      </c>
      <c r="I46" t="n">
        <v>1</v>
      </c>
      <c r="J46" t="n">
        <v>7</v>
      </c>
      <c r="K46" t="n">
        <v>173</v>
      </c>
      <c r="L46" t="n">
        <v>12.18</v>
      </c>
    </row>
    <row r="47">
      <c r="A47" t="inlineStr">
        <is>
          <t>S10</t>
        </is>
      </c>
      <c r="B47" s="4" t="n">
        <v>46076</v>
      </c>
      <c r="C47" t="inlineStr">
        <is>
          <t>S4</t>
        </is>
      </c>
      <c r="D47" t="inlineStr">
        <is>
          <t>ATH03</t>
        </is>
      </c>
      <c r="E47" t="inlineStr">
        <is>
          <t>Lundi</t>
        </is>
      </c>
      <c r="F47" t="inlineStr">
        <is>
          <t>Force</t>
        </is>
      </c>
      <c r="G47" t="n">
        <v>70</v>
      </c>
      <c r="H47" t="n">
        <v>70</v>
      </c>
      <c r="I47" t="n">
        <v>1</v>
      </c>
      <c r="J47" t="n">
        <v>6</v>
      </c>
      <c r="K47" t="n">
        <v>174</v>
      </c>
      <c r="L47" t="n">
        <v>6.27</v>
      </c>
    </row>
    <row r="48">
      <c r="A48" t="inlineStr">
        <is>
          <t>S11</t>
        </is>
      </c>
      <c r="B48" s="4" t="n">
        <v>46078</v>
      </c>
      <c r="C48" t="inlineStr">
        <is>
          <t>S4</t>
        </is>
      </c>
      <c r="D48" t="inlineStr">
        <is>
          <t>ATH03</t>
        </is>
      </c>
      <c r="E48" t="inlineStr">
        <is>
          <t>Mercredi</t>
        </is>
      </c>
      <c r="F48" t="inlineStr">
        <is>
          <t>Intermittent</t>
        </is>
      </c>
      <c r="G48" t="n">
        <v>90</v>
      </c>
      <c r="H48" t="n">
        <v>85</v>
      </c>
      <c r="I48" t="n">
        <v>1</v>
      </c>
      <c r="J48" t="n">
        <v>7</v>
      </c>
      <c r="K48" t="n">
        <v>184</v>
      </c>
      <c r="L48" t="n">
        <v>9.19</v>
      </c>
    </row>
    <row r="49">
      <c r="A49" t="inlineStr">
        <is>
          <t>S12</t>
        </is>
      </c>
      <c r="B49" s="4" t="n">
        <v>46080</v>
      </c>
      <c r="C49" t="inlineStr">
        <is>
          <t>S4</t>
        </is>
      </c>
      <c r="D49" t="inlineStr">
        <is>
          <t>ATH03</t>
        </is>
      </c>
      <c r="E49" t="inlineStr">
        <is>
          <t>Vendredi</t>
        </is>
      </c>
      <c r="F49" t="inlineStr">
        <is>
          <t>Collectif</t>
        </is>
      </c>
      <c r="G49" t="n">
        <v>110</v>
      </c>
      <c r="H49" t="n">
        <v>107</v>
      </c>
      <c r="I49" t="n">
        <v>1</v>
      </c>
      <c r="J49" t="n">
        <v>7</v>
      </c>
      <c r="K49" t="n">
        <v>179</v>
      </c>
      <c r="L49" t="n">
        <v>11.13</v>
      </c>
    </row>
    <row r="50">
      <c r="A50" t="inlineStr">
        <is>
          <t>S13</t>
        </is>
      </c>
      <c r="B50" s="4" t="n">
        <v>46083</v>
      </c>
      <c r="C50" t="inlineStr">
        <is>
          <t>S5</t>
        </is>
      </c>
      <c r="D50" t="inlineStr">
        <is>
          <t>ATH03</t>
        </is>
      </c>
      <c r="E50" t="inlineStr">
        <is>
          <t>Lundi</t>
        </is>
      </c>
      <c r="F50" t="inlineStr">
        <is>
          <t>Technique</t>
        </is>
      </c>
      <c r="G50" t="n">
        <v>75</v>
      </c>
      <c r="H50" t="n">
        <v>74</v>
      </c>
      <c r="I50" t="n">
        <v>1</v>
      </c>
      <c r="J50" t="n">
        <v>5</v>
      </c>
      <c r="K50" t="n">
        <v>165</v>
      </c>
      <c r="L50" t="n">
        <v>7.42</v>
      </c>
    </row>
    <row r="51">
      <c r="A51" t="inlineStr">
        <is>
          <t>S14</t>
        </is>
      </c>
      <c r="B51" s="4" t="n">
        <v>46085</v>
      </c>
      <c r="C51" t="inlineStr">
        <is>
          <t>S5</t>
        </is>
      </c>
      <c r="D51" t="inlineStr">
        <is>
          <t>ATH03</t>
        </is>
      </c>
      <c r="E51" t="inlineStr">
        <is>
          <t>Mercredi</t>
        </is>
      </c>
      <c r="F51" t="inlineStr">
        <is>
          <t>Intermittent</t>
        </is>
      </c>
      <c r="G51" t="n">
        <v>95</v>
      </c>
      <c r="H51" t="n">
        <v>90</v>
      </c>
      <c r="I51" t="n">
        <v>1</v>
      </c>
      <c r="J51" t="n">
        <v>8</v>
      </c>
      <c r="K51" t="n">
        <v>178</v>
      </c>
      <c r="L51" t="n">
        <v>9.57</v>
      </c>
    </row>
    <row r="52">
      <c r="A52" t="inlineStr">
        <is>
          <t>S15</t>
        </is>
      </c>
      <c r="B52" s="4" t="n">
        <v>46087</v>
      </c>
      <c r="C52" t="inlineStr">
        <is>
          <t>S5</t>
        </is>
      </c>
      <c r="D52" t="inlineStr">
        <is>
          <t>ATH03</t>
        </is>
      </c>
      <c r="E52" t="inlineStr">
        <is>
          <t>Vendredi</t>
        </is>
      </c>
      <c r="F52" t="inlineStr">
        <is>
          <t>Collectif</t>
        </is>
      </c>
      <c r="G52" t="n">
        <v>105</v>
      </c>
      <c r="H52" t="n">
        <v>107</v>
      </c>
      <c r="I52" t="n">
        <v>1</v>
      </c>
      <c r="J52" t="n">
        <v>7</v>
      </c>
      <c r="K52" t="n">
        <v>180</v>
      </c>
      <c r="L52" t="n">
        <v>10.26</v>
      </c>
    </row>
    <row r="53">
      <c r="A53" t="inlineStr">
        <is>
          <t>S16</t>
        </is>
      </c>
      <c r="B53" s="4" t="n">
        <v>46090</v>
      </c>
      <c r="C53" t="inlineStr">
        <is>
          <t>S6</t>
        </is>
      </c>
      <c r="D53" t="inlineStr">
        <is>
          <t>ATH03</t>
        </is>
      </c>
      <c r="E53" t="inlineStr">
        <is>
          <t>Lundi</t>
        </is>
      </c>
      <c r="F53" t="inlineStr">
        <is>
          <t>Force</t>
        </is>
      </c>
      <c r="G53" t="n">
        <v>70</v>
      </c>
      <c r="H53" t="n">
        <v>66</v>
      </c>
      <c r="I53" t="n">
        <v>1</v>
      </c>
      <c r="J53" t="n">
        <v>5</v>
      </c>
      <c r="K53" t="n">
        <v>175</v>
      </c>
      <c r="L53" t="n">
        <v>6.42</v>
      </c>
    </row>
    <row r="54">
      <c r="A54" t="inlineStr">
        <is>
          <t>S17</t>
        </is>
      </c>
      <c r="B54" s="4" t="n">
        <v>46092</v>
      </c>
      <c r="C54" t="inlineStr">
        <is>
          <t>S6</t>
        </is>
      </c>
      <c r="D54" t="inlineStr">
        <is>
          <t>ATH03</t>
        </is>
      </c>
      <c r="E54" t="inlineStr">
        <is>
          <t>Mercredi</t>
        </is>
      </c>
      <c r="F54" t="inlineStr">
        <is>
          <t>Intermittent</t>
        </is>
      </c>
      <c r="G54" t="n">
        <v>90</v>
      </c>
      <c r="H54" t="n">
        <v>94</v>
      </c>
      <c r="I54" t="n">
        <v>1</v>
      </c>
      <c r="J54" t="n">
        <v>7</v>
      </c>
      <c r="K54" t="n">
        <v>181</v>
      </c>
      <c r="L54" t="n">
        <v>10.06</v>
      </c>
    </row>
    <row r="55">
      <c r="A55" t="inlineStr">
        <is>
          <t>S18</t>
        </is>
      </c>
      <c r="B55" s="4" t="n">
        <v>46094</v>
      </c>
      <c r="C55" t="inlineStr">
        <is>
          <t>S6</t>
        </is>
      </c>
      <c r="D55" t="inlineStr">
        <is>
          <t>ATH03</t>
        </is>
      </c>
      <c r="E55" t="inlineStr">
        <is>
          <t>Vendredi</t>
        </is>
      </c>
      <c r="F55" t="inlineStr">
        <is>
          <t>Collectif</t>
        </is>
      </c>
      <c r="G55" t="n">
        <v>100</v>
      </c>
      <c r="H55" t="n">
        <v>104</v>
      </c>
      <c r="I55" t="n">
        <v>1</v>
      </c>
      <c r="J55" t="n">
        <v>4</v>
      </c>
      <c r="K55" t="n">
        <v>167</v>
      </c>
      <c r="L55" t="n">
        <v>10.78</v>
      </c>
    </row>
    <row r="56">
      <c r="A56" t="inlineStr">
        <is>
          <t>S01</t>
        </is>
      </c>
      <c r="B56" s="4" t="n">
        <v>46055</v>
      </c>
      <c r="C56" t="inlineStr">
        <is>
          <t>S1</t>
        </is>
      </c>
      <c r="D56" t="inlineStr">
        <is>
          <t>ATH04</t>
        </is>
      </c>
      <c r="E56" t="inlineStr">
        <is>
          <t>Lundi</t>
        </is>
      </c>
      <c r="F56" t="inlineStr">
        <is>
          <t>Technique</t>
        </is>
      </c>
      <c r="G56" t="n">
        <v>75</v>
      </c>
      <c r="H56" t="n">
        <v>72</v>
      </c>
      <c r="I56" t="n">
        <v>1</v>
      </c>
      <c r="J56" t="n">
        <v>4</v>
      </c>
      <c r="K56" t="n">
        <v>157</v>
      </c>
      <c r="L56" t="n">
        <v>8.710000000000001</v>
      </c>
    </row>
    <row r="57">
      <c r="A57" t="inlineStr">
        <is>
          <t>S02</t>
        </is>
      </c>
      <c r="B57" s="4" t="n">
        <v>46057</v>
      </c>
      <c r="C57" t="inlineStr">
        <is>
          <t>S1</t>
        </is>
      </c>
      <c r="D57" t="inlineStr">
        <is>
          <t>ATH04</t>
        </is>
      </c>
      <c r="E57" t="inlineStr">
        <is>
          <t>Mercredi</t>
        </is>
      </c>
      <c r="F57" t="inlineStr">
        <is>
          <t>Intermittent</t>
        </is>
      </c>
      <c r="G57" t="n">
        <v>90</v>
      </c>
      <c r="H57" t="n">
        <v>90</v>
      </c>
      <c r="I57" t="n">
        <v>1</v>
      </c>
      <c r="J57" t="n">
        <v>8</v>
      </c>
      <c r="K57" t="n">
        <v>175</v>
      </c>
      <c r="L57" t="n">
        <v>9.94</v>
      </c>
    </row>
    <row r="58">
      <c r="A58" t="inlineStr">
        <is>
          <t>S03</t>
        </is>
      </c>
      <c r="B58" s="4" t="n">
        <v>46059</v>
      </c>
      <c r="C58" t="inlineStr">
        <is>
          <t>S1</t>
        </is>
      </c>
      <c r="D58" t="inlineStr">
        <is>
          <t>ATH04</t>
        </is>
      </c>
      <c r="E58" t="inlineStr">
        <is>
          <t>Vendredi</t>
        </is>
      </c>
      <c r="F58" t="inlineStr">
        <is>
          <t>Collectif</t>
        </is>
      </c>
      <c r="G58" t="n">
        <v>105</v>
      </c>
      <c r="H58" t="n">
        <v>105</v>
      </c>
      <c r="I58" t="n">
        <v>1</v>
      </c>
      <c r="J58" t="n">
        <v>3</v>
      </c>
      <c r="K58" t="n">
        <v>155</v>
      </c>
      <c r="L58" t="n">
        <v>10.74</v>
      </c>
    </row>
    <row r="59">
      <c r="A59" t="inlineStr">
        <is>
          <t>S04</t>
        </is>
      </c>
      <c r="B59" s="4" t="n">
        <v>46062</v>
      </c>
      <c r="C59" t="inlineStr">
        <is>
          <t>S2</t>
        </is>
      </c>
      <c r="D59" t="inlineStr">
        <is>
          <t>ATH04</t>
        </is>
      </c>
      <c r="E59" t="inlineStr">
        <is>
          <t>Lundi</t>
        </is>
      </c>
      <c r="F59" t="inlineStr">
        <is>
          <t>Force</t>
        </is>
      </c>
      <c r="G59" t="n">
        <v>70</v>
      </c>
      <c r="H59" t="n">
        <v>65</v>
      </c>
      <c r="I59" t="n">
        <v>1</v>
      </c>
      <c r="J59" t="n">
        <v>7</v>
      </c>
      <c r="K59" t="n">
        <v>179</v>
      </c>
      <c r="L59" t="n">
        <v>6.63</v>
      </c>
    </row>
    <row r="60">
      <c r="A60" t="inlineStr">
        <is>
          <t>S05</t>
        </is>
      </c>
      <c r="B60" s="4" t="n">
        <v>46064</v>
      </c>
      <c r="C60" t="inlineStr">
        <is>
          <t>S2</t>
        </is>
      </c>
      <c r="D60" t="inlineStr">
        <is>
          <t>ATH04</t>
        </is>
      </c>
      <c r="E60" t="inlineStr">
        <is>
          <t>Mercredi</t>
        </is>
      </c>
      <c r="F60" t="inlineStr">
        <is>
          <t>Intermittent</t>
        </is>
      </c>
      <c r="G60" t="n">
        <v>90</v>
      </c>
      <c r="H60" t="n">
        <v>87</v>
      </c>
      <c r="I60" t="n">
        <v>1</v>
      </c>
      <c r="J60" t="n">
        <v>7</v>
      </c>
      <c r="K60" t="n">
        <v>173</v>
      </c>
      <c r="L60" t="n">
        <v>7.75</v>
      </c>
    </row>
    <row r="61">
      <c r="A61" t="inlineStr">
        <is>
          <t>S06</t>
        </is>
      </c>
      <c r="B61" s="4" t="n">
        <v>46066</v>
      </c>
      <c r="C61" t="inlineStr">
        <is>
          <t>S2</t>
        </is>
      </c>
      <c r="D61" t="inlineStr">
        <is>
          <t>ATH04</t>
        </is>
      </c>
      <c r="E61" t="inlineStr">
        <is>
          <t>Vendredi</t>
        </is>
      </c>
      <c r="F61" t="inlineStr">
        <is>
          <t>Collectif</t>
        </is>
      </c>
      <c r="G61" t="n">
        <v>110</v>
      </c>
      <c r="H61" t="n">
        <v>114</v>
      </c>
      <c r="I61" t="n">
        <v>1</v>
      </c>
      <c r="J61" t="n">
        <v>7</v>
      </c>
      <c r="K61" t="n">
        <v>184</v>
      </c>
      <c r="L61" t="n">
        <v>10.88</v>
      </c>
    </row>
    <row r="62">
      <c r="A62" t="inlineStr">
        <is>
          <t>S07</t>
        </is>
      </c>
      <c r="B62" s="4" t="n">
        <v>46069</v>
      </c>
      <c r="C62" t="inlineStr">
        <is>
          <t>S3</t>
        </is>
      </c>
      <c r="D62" t="inlineStr">
        <is>
          <t>ATH04</t>
        </is>
      </c>
      <c r="E62" t="inlineStr">
        <is>
          <t>Lundi</t>
        </is>
      </c>
      <c r="F62" t="inlineStr">
        <is>
          <t>Technique</t>
        </is>
      </c>
      <c r="G62" t="n">
        <v>75</v>
      </c>
      <c r="H62" t="n">
        <v>70</v>
      </c>
      <c r="I62" t="n">
        <v>1</v>
      </c>
      <c r="J62" t="n">
        <v>4</v>
      </c>
      <c r="K62" t="n">
        <v>163</v>
      </c>
      <c r="L62" t="n">
        <v>7.24</v>
      </c>
    </row>
    <row r="63">
      <c r="A63" t="inlineStr">
        <is>
          <t>S08</t>
        </is>
      </c>
      <c r="B63" s="4" t="n">
        <v>46071</v>
      </c>
      <c r="C63" t="inlineStr">
        <is>
          <t>S3</t>
        </is>
      </c>
      <c r="D63" t="inlineStr">
        <is>
          <t>ATH04</t>
        </is>
      </c>
      <c r="E63" t="inlineStr">
        <is>
          <t>Mercredi</t>
        </is>
      </c>
      <c r="F63" t="inlineStr">
        <is>
          <t>Intermittent</t>
        </is>
      </c>
      <c r="G63" t="n">
        <v>95</v>
      </c>
      <c r="H63" t="n">
        <v>98</v>
      </c>
      <c r="I63" t="n">
        <v>1</v>
      </c>
      <c r="J63" t="n">
        <v>9</v>
      </c>
      <c r="K63" t="n">
        <v>190</v>
      </c>
      <c r="L63" t="n">
        <v>9.25</v>
      </c>
    </row>
    <row r="64">
      <c r="A64" t="inlineStr">
        <is>
          <t>S09</t>
        </is>
      </c>
      <c r="B64" s="4" t="n">
        <v>46073</v>
      </c>
      <c r="C64" t="inlineStr">
        <is>
          <t>S3</t>
        </is>
      </c>
      <c r="D64" t="inlineStr">
        <is>
          <t>ATH04</t>
        </is>
      </c>
      <c r="E64" t="inlineStr">
        <is>
          <t>Vendredi</t>
        </is>
      </c>
      <c r="F64" t="inlineStr">
        <is>
          <t>Collectif</t>
        </is>
      </c>
      <c r="G64" t="n">
        <v>105</v>
      </c>
      <c r="H64" t="n">
        <v>109</v>
      </c>
      <c r="I64" t="n">
        <v>1</v>
      </c>
      <c r="J64" t="n">
        <v>8</v>
      </c>
      <c r="K64" t="n">
        <v>183</v>
      </c>
      <c r="L64" t="n">
        <v>13.08</v>
      </c>
    </row>
    <row r="65">
      <c r="A65" t="inlineStr">
        <is>
          <t>S10</t>
        </is>
      </c>
      <c r="B65" s="4" t="n">
        <v>46076</v>
      </c>
      <c r="C65" t="inlineStr">
        <is>
          <t>S4</t>
        </is>
      </c>
      <c r="D65" t="inlineStr">
        <is>
          <t>ATH04</t>
        </is>
      </c>
      <c r="E65" t="inlineStr">
        <is>
          <t>Lundi</t>
        </is>
      </c>
      <c r="F65" t="inlineStr">
        <is>
          <t>Force</t>
        </is>
      </c>
      <c r="G65" t="n">
        <v>70</v>
      </c>
      <c r="H65" t="n">
        <v>74</v>
      </c>
      <c r="I65" t="n">
        <v>1</v>
      </c>
      <c r="J65" t="n">
        <v>3</v>
      </c>
      <c r="K65" t="n">
        <v>154</v>
      </c>
      <c r="L65" t="n">
        <v>7.62</v>
      </c>
    </row>
    <row r="66">
      <c r="A66" t="inlineStr">
        <is>
          <t>S11</t>
        </is>
      </c>
      <c r="B66" s="4" t="n">
        <v>46078</v>
      </c>
      <c r="C66" t="inlineStr">
        <is>
          <t>S4</t>
        </is>
      </c>
      <c r="D66" t="inlineStr">
        <is>
          <t>ATH04</t>
        </is>
      </c>
      <c r="E66" t="inlineStr">
        <is>
          <t>Mercredi</t>
        </is>
      </c>
      <c r="F66" t="inlineStr">
        <is>
          <t>Intermittent</t>
        </is>
      </c>
      <c r="G66" t="n">
        <v>90</v>
      </c>
      <c r="H66" t="n">
        <v>91</v>
      </c>
      <c r="I66" t="n">
        <v>1</v>
      </c>
      <c r="J66" t="n">
        <v>7</v>
      </c>
      <c r="K66" t="n">
        <v>187</v>
      </c>
      <c r="L66" t="n">
        <v>10.52</v>
      </c>
    </row>
    <row r="67">
      <c r="A67" t="inlineStr">
        <is>
          <t>S12</t>
        </is>
      </c>
      <c r="B67" s="4" t="n">
        <v>46080</v>
      </c>
      <c r="C67" t="inlineStr">
        <is>
          <t>S4</t>
        </is>
      </c>
      <c r="D67" t="inlineStr">
        <is>
          <t>ATH04</t>
        </is>
      </c>
      <c r="E67" t="inlineStr">
        <is>
          <t>Vendredi</t>
        </is>
      </c>
      <c r="F67" t="inlineStr">
        <is>
          <t>Collectif</t>
        </is>
      </c>
      <c r="G67" t="n">
        <v>110</v>
      </c>
      <c r="H67" t="n">
        <v>106</v>
      </c>
      <c r="I67" t="n">
        <v>1</v>
      </c>
      <c r="J67" t="n">
        <v>8</v>
      </c>
      <c r="K67" t="n">
        <v>177</v>
      </c>
      <c r="L67" t="n">
        <v>12.12</v>
      </c>
    </row>
    <row r="68">
      <c r="A68" t="inlineStr">
        <is>
          <t>S13</t>
        </is>
      </c>
      <c r="B68" s="4" t="n">
        <v>46083</v>
      </c>
      <c r="C68" t="inlineStr">
        <is>
          <t>S5</t>
        </is>
      </c>
      <c r="D68" t="inlineStr">
        <is>
          <t>ATH04</t>
        </is>
      </c>
      <c r="E68" t="inlineStr">
        <is>
          <t>Lundi</t>
        </is>
      </c>
      <c r="F68" t="inlineStr">
        <is>
          <t>Technique</t>
        </is>
      </c>
      <c r="G68" t="n">
        <v>75</v>
      </c>
      <c r="H68" t="n">
        <v>74</v>
      </c>
      <c r="I68" t="n">
        <v>1</v>
      </c>
      <c r="J68" t="n">
        <v>6</v>
      </c>
      <c r="K68" t="n">
        <v>173</v>
      </c>
      <c r="L68" t="n">
        <v>7.81</v>
      </c>
    </row>
    <row r="69">
      <c r="A69" t="inlineStr">
        <is>
          <t>S14</t>
        </is>
      </c>
      <c r="B69" s="4" t="n">
        <v>46085</v>
      </c>
      <c r="C69" t="inlineStr">
        <is>
          <t>S5</t>
        </is>
      </c>
      <c r="D69" t="inlineStr">
        <is>
          <t>ATH04</t>
        </is>
      </c>
      <c r="E69" t="inlineStr">
        <is>
          <t>Mercredi</t>
        </is>
      </c>
      <c r="F69" t="inlineStr">
        <is>
          <t>Intermittent</t>
        </is>
      </c>
      <c r="G69" t="n">
        <v>95</v>
      </c>
      <c r="H69" t="n">
        <v>100</v>
      </c>
      <c r="I69" t="n">
        <v>1</v>
      </c>
      <c r="J69" t="n">
        <v>6</v>
      </c>
      <c r="K69" t="n">
        <v>181</v>
      </c>
      <c r="L69" t="n">
        <v>10.01</v>
      </c>
    </row>
    <row r="70">
      <c r="A70" t="inlineStr">
        <is>
          <t>S15</t>
        </is>
      </c>
      <c r="B70" s="4" t="n">
        <v>46087</v>
      </c>
      <c r="C70" t="inlineStr">
        <is>
          <t>S5</t>
        </is>
      </c>
      <c r="D70" t="inlineStr">
        <is>
          <t>ATH04</t>
        </is>
      </c>
      <c r="E70" t="inlineStr">
        <is>
          <t>Vendredi</t>
        </is>
      </c>
      <c r="F70" t="inlineStr">
        <is>
          <t>Collectif</t>
        </is>
      </c>
      <c r="G70" t="n">
        <v>105</v>
      </c>
      <c r="H70" t="n">
        <v>102</v>
      </c>
      <c r="I70" t="n">
        <v>1</v>
      </c>
      <c r="J70" t="n">
        <v>8</v>
      </c>
      <c r="K70" t="n">
        <v>184</v>
      </c>
      <c r="L70" t="n">
        <v>11.19</v>
      </c>
    </row>
    <row r="71">
      <c r="A71" t="inlineStr">
        <is>
          <t>S16</t>
        </is>
      </c>
      <c r="B71" s="4" t="n">
        <v>46090</v>
      </c>
      <c r="C71" t="inlineStr">
        <is>
          <t>S6</t>
        </is>
      </c>
      <c r="D71" t="inlineStr">
        <is>
          <t>ATH04</t>
        </is>
      </c>
      <c r="E71" t="inlineStr">
        <is>
          <t>Lundi</t>
        </is>
      </c>
      <c r="F71" t="inlineStr">
        <is>
          <t>Force</t>
        </is>
      </c>
      <c r="G71" t="n">
        <v>70</v>
      </c>
      <c r="H71" t="n">
        <v>65</v>
      </c>
      <c r="I71" t="n">
        <v>1</v>
      </c>
      <c r="J71" t="n">
        <v>4</v>
      </c>
      <c r="K71" t="n">
        <v>160</v>
      </c>
      <c r="L71" t="n">
        <v>6.54</v>
      </c>
    </row>
    <row r="72">
      <c r="A72" t="inlineStr">
        <is>
          <t>S17</t>
        </is>
      </c>
      <c r="B72" s="4" t="n">
        <v>46092</v>
      </c>
      <c r="C72" t="inlineStr">
        <is>
          <t>S6</t>
        </is>
      </c>
      <c r="D72" t="inlineStr">
        <is>
          <t>ATH04</t>
        </is>
      </c>
      <c r="E72" t="inlineStr">
        <is>
          <t>Mercredi</t>
        </is>
      </c>
      <c r="F72" t="inlineStr">
        <is>
          <t>Intermittent</t>
        </is>
      </c>
      <c r="G72" t="n">
        <v>90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</row>
    <row r="73">
      <c r="A73" t="inlineStr">
        <is>
          <t>S18</t>
        </is>
      </c>
      <c r="B73" s="4" t="n">
        <v>46094</v>
      </c>
      <c r="C73" t="inlineStr">
        <is>
          <t>S6</t>
        </is>
      </c>
      <c r="D73" t="inlineStr">
        <is>
          <t>ATH04</t>
        </is>
      </c>
      <c r="E73" t="inlineStr">
        <is>
          <t>Vendredi</t>
        </is>
      </c>
      <c r="F73" t="inlineStr">
        <is>
          <t>Collectif</t>
        </is>
      </c>
      <c r="G73" t="n">
        <v>100</v>
      </c>
      <c r="H73" t="n">
        <v>97</v>
      </c>
      <c r="I73" t="n">
        <v>1</v>
      </c>
      <c r="J73" t="n">
        <v>5</v>
      </c>
      <c r="K73" t="n">
        <v>167</v>
      </c>
      <c r="L73" t="n">
        <v>10.35</v>
      </c>
    </row>
    <row r="74">
      <c r="A74" t="inlineStr">
        <is>
          <t>S01</t>
        </is>
      </c>
      <c r="B74" s="4" t="n">
        <v>46055</v>
      </c>
      <c r="C74" t="inlineStr">
        <is>
          <t>S1</t>
        </is>
      </c>
      <c r="D74" t="inlineStr">
        <is>
          <t>ATH05</t>
        </is>
      </c>
      <c r="E74" t="inlineStr">
        <is>
          <t>Lundi</t>
        </is>
      </c>
      <c r="F74" t="inlineStr">
        <is>
          <t>Technique</t>
        </is>
      </c>
      <c r="G74" t="n">
        <v>75</v>
      </c>
      <c r="H74" t="n">
        <v>77</v>
      </c>
      <c r="I74" t="n">
        <v>1</v>
      </c>
      <c r="J74" t="n">
        <v>5</v>
      </c>
      <c r="K74" t="n">
        <v>174</v>
      </c>
      <c r="L74" t="n">
        <v>8.300000000000001</v>
      </c>
    </row>
    <row r="75">
      <c r="A75" t="inlineStr">
        <is>
          <t>S02</t>
        </is>
      </c>
      <c r="B75" s="4" t="n">
        <v>46057</v>
      </c>
      <c r="C75" t="inlineStr">
        <is>
          <t>S1</t>
        </is>
      </c>
      <c r="D75" t="inlineStr">
        <is>
          <t>ATH05</t>
        </is>
      </c>
      <c r="E75" t="inlineStr">
        <is>
          <t>Mercredi</t>
        </is>
      </c>
      <c r="F75" t="inlineStr">
        <is>
          <t>Intermittent</t>
        </is>
      </c>
      <c r="G75" t="n">
        <v>90</v>
      </c>
      <c r="H75" t="n">
        <v>95</v>
      </c>
      <c r="I75" t="n">
        <v>1</v>
      </c>
      <c r="J75" t="n">
        <v>7</v>
      </c>
      <c r="K75" t="n">
        <v>179</v>
      </c>
      <c r="L75" t="n">
        <v>9.59</v>
      </c>
    </row>
    <row r="76">
      <c r="A76" t="inlineStr">
        <is>
          <t>S03</t>
        </is>
      </c>
      <c r="B76" s="4" t="n">
        <v>46059</v>
      </c>
      <c r="C76" t="inlineStr">
        <is>
          <t>S1</t>
        </is>
      </c>
      <c r="D76" t="inlineStr">
        <is>
          <t>ATH05</t>
        </is>
      </c>
      <c r="E76" t="inlineStr">
        <is>
          <t>Vendredi</t>
        </is>
      </c>
      <c r="F76" t="inlineStr">
        <is>
          <t>Collectif</t>
        </is>
      </c>
      <c r="G76" t="n">
        <v>105</v>
      </c>
      <c r="H76" t="n">
        <v>108</v>
      </c>
      <c r="I76" t="n">
        <v>1</v>
      </c>
      <c r="K76" t="n">
        <v>171</v>
      </c>
      <c r="L76" t="n">
        <v>9.800000000000001</v>
      </c>
    </row>
    <row r="77">
      <c r="A77" t="inlineStr">
        <is>
          <t>S04</t>
        </is>
      </c>
      <c r="B77" s="4" t="n">
        <v>46062</v>
      </c>
      <c r="C77" t="inlineStr">
        <is>
          <t>S2</t>
        </is>
      </c>
      <c r="D77" t="inlineStr">
        <is>
          <t>ATH05</t>
        </is>
      </c>
      <c r="E77" t="inlineStr">
        <is>
          <t>Lundi</t>
        </is>
      </c>
      <c r="F77" t="inlineStr">
        <is>
          <t>Force</t>
        </is>
      </c>
      <c r="G77" t="n">
        <v>70</v>
      </c>
      <c r="H77" t="n">
        <v>71</v>
      </c>
      <c r="I77" t="n">
        <v>1</v>
      </c>
      <c r="J77" t="n">
        <v>6</v>
      </c>
      <c r="K77" t="n">
        <v>178</v>
      </c>
      <c r="L77" t="n">
        <v>6.82</v>
      </c>
    </row>
    <row r="78">
      <c r="A78" t="inlineStr">
        <is>
          <t>S05</t>
        </is>
      </c>
      <c r="B78" s="4" t="n">
        <v>46064</v>
      </c>
      <c r="C78" t="inlineStr">
        <is>
          <t>S2</t>
        </is>
      </c>
      <c r="D78" t="inlineStr">
        <is>
          <t>ATH05</t>
        </is>
      </c>
      <c r="E78" t="inlineStr">
        <is>
          <t>Mercredi</t>
        </is>
      </c>
      <c r="F78" t="inlineStr">
        <is>
          <t>Intermittent</t>
        </is>
      </c>
      <c r="G78" t="n">
        <v>90</v>
      </c>
      <c r="H78" t="n">
        <v>91</v>
      </c>
      <c r="I78" t="n">
        <v>1</v>
      </c>
      <c r="J78" t="n">
        <v>6</v>
      </c>
      <c r="K78" t="n">
        <v>168</v>
      </c>
      <c r="L78" t="n">
        <v>9.32</v>
      </c>
    </row>
    <row r="79">
      <c r="A79" t="inlineStr">
        <is>
          <t>S06</t>
        </is>
      </c>
      <c r="B79" s="4" t="n">
        <v>46066</v>
      </c>
      <c r="C79" t="inlineStr">
        <is>
          <t>S2</t>
        </is>
      </c>
      <c r="D79" t="inlineStr">
        <is>
          <t>ATH05</t>
        </is>
      </c>
      <c r="E79" t="inlineStr">
        <is>
          <t>Vendredi</t>
        </is>
      </c>
      <c r="F79" t="inlineStr">
        <is>
          <t>Collectif</t>
        </is>
      </c>
      <c r="G79" t="n">
        <v>110</v>
      </c>
      <c r="H79" t="n">
        <v>113</v>
      </c>
      <c r="I79" t="n">
        <v>1</v>
      </c>
      <c r="J79" t="n">
        <v>10</v>
      </c>
      <c r="K79" t="n">
        <v>190</v>
      </c>
      <c r="L79" t="n">
        <v>12.64</v>
      </c>
    </row>
    <row r="80">
      <c r="A80" t="inlineStr">
        <is>
          <t>S07</t>
        </is>
      </c>
      <c r="B80" s="4" t="n">
        <v>46069</v>
      </c>
      <c r="C80" t="inlineStr">
        <is>
          <t>S3</t>
        </is>
      </c>
      <c r="D80" t="inlineStr">
        <is>
          <t>ATH05</t>
        </is>
      </c>
      <c r="E80" t="inlineStr">
        <is>
          <t>Lundi</t>
        </is>
      </c>
      <c r="F80" t="inlineStr">
        <is>
          <t>Technique</t>
        </is>
      </c>
      <c r="G80" t="n">
        <v>75</v>
      </c>
      <c r="H80" t="n">
        <v>78</v>
      </c>
      <c r="I80" t="n">
        <v>1</v>
      </c>
      <c r="J80" t="n">
        <v>4</v>
      </c>
      <c r="K80" t="n">
        <v>161</v>
      </c>
      <c r="L80" t="n">
        <v>9.380000000000001</v>
      </c>
    </row>
    <row r="81">
      <c r="A81" t="inlineStr">
        <is>
          <t>S08</t>
        </is>
      </c>
      <c r="B81" s="4" t="n">
        <v>46071</v>
      </c>
      <c r="C81" t="inlineStr">
        <is>
          <t>S3</t>
        </is>
      </c>
      <c r="D81" t="inlineStr">
        <is>
          <t>ATH05</t>
        </is>
      </c>
      <c r="E81" t="inlineStr">
        <is>
          <t>Mercredi</t>
        </is>
      </c>
      <c r="F81" t="inlineStr">
        <is>
          <t>Intermittent</t>
        </is>
      </c>
      <c r="G81" t="n">
        <v>95</v>
      </c>
      <c r="H81" t="n">
        <v>94</v>
      </c>
      <c r="I81" t="n">
        <v>1</v>
      </c>
      <c r="J81" t="n">
        <v>9</v>
      </c>
      <c r="K81" t="n">
        <v>184</v>
      </c>
      <c r="L81" t="n">
        <v>8.960000000000001</v>
      </c>
    </row>
    <row r="82">
      <c r="A82" t="inlineStr">
        <is>
          <t>S09</t>
        </is>
      </c>
      <c r="B82" s="4" t="n">
        <v>46073</v>
      </c>
      <c r="C82" t="inlineStr">
        <is>
          <t>S3</t>
        </is>
      </c>
      <c r="D82" t="inlineStr">
        <is>
          <t>ATH05</t>
        </is>
      </c>
      <c r="E82" t="inlineStr">
        <is>
          <t>Vendredi</t>
        </is>
      </c>
      <c r="F82" t="inlineStr">
        <is>
          <t>Collectif</t>
        </is>
      </c>
      <c r="G82" t="n">
        <v>105</v>
      </c>
      <c r="H82" t="n">
        <v>110</v>
      </c>
      <c r="I82" t="n">
        <v>1</v>
      </c>
      <c r="J82" t="n">
        <v>8</v>
      </c>
      <c r="K82" t="n">
        <v>188</v>
      </c>
      <c r="L82" t="n">
        <v>10.93</v>
      </c>
    </row>
    <row r="83">
      <c r="A83" t="inlineStr">
        <is>
          <t>S10</t>
        </is>
      </c>
      <c r="B83" s="4" t="n">
        <v>46076</v>
      </c>
      <c r="C83" t="inlineStr">
        <is>
          <t>S4</t>
        </is>
      </c>
      <c r="D83" t="inlineStr">
        <is>
          <t>ATH05</t>
        </is>
      </c>
      <c r="E83" t="inlineStr">
        <is>
          <t>Lundi</t>
        </is>
      </c>
      <c r="F83" t="inlineStr">
        <is>
          <t>Force</t>
        </is>
      </c>
      <c r="G83" t="n">
        <v>70</v>
      </c>
      <c r="H83" t="n">
        <v>74</v>
      </c>
      <c r="I83" t="n">
        <v>1</v>
      </c>
      <c r="J83" t="n">
        <v>5</v>
      </c>
      <c r="K83" t="n">
        <v>171</v>
      </c>
      <c r="L83" t="n">
        <v>8.76</v>
      </c>
    </row>
    <row r="84">
      <c r="A84" t="inlineStr">
        <is>
          <t>S11</t>
        </is>
      </c>
      <c r="B84" s="4" t="n">
        <v>46078</v>
      </c>
      <c r="C84" t="inlineStr">
        <is>
          <t>S4</t>
        </is>
      </c>
      <c r="D84" t="inlineStr">
        <is>
          <t>ATH05</t>
        </is>
      </c>
      <c r="E84" t="inlineStr">
        <is>
          <t>Mercredi</t>
        </is>
      </c>
      <c r="F84" t="inlineStr">
        <is>
          <t>Intermittent</t>
        </is>
      </c>
      <c r="G84" t="n">
        <v>90</v>
      </c>
      <c r="H84" t="n">
        <v>95</v>
      </c>
      <c r="I84" t="n">
        <v>1</v>
      </c>
      <c r="J84" t="n">
        <v>8</v>
      </c>
      <c r="K84" t="n">
        <v>185</v>
      </c>
      <c r="L84" t="n">
        <v>9.779999999999999</v>
      </c>
    </row>
    <row r="85">
      <c r="A85" t="inlineStr">
        <is>
          <t>S12</t>
        </is>
      </c>
      <c r="B85" s="4" t="n">
        <v>46080</v>
      </c>
      <c r="C85" t="inlineStr">
        <is>
          <t>S4</t>
        </is>
      </c>
      <c r="D85" t="inlineStr">
        <is>
          <t>ATH05</t>
        </is>
      </c>
      <c r="E85" t="inlineStr">
        <is>
          <t>Vendredi</t>
        </is>
      </c>
      <c r="F85" t="inlineStr">
        <is>
          <t>Collectif</t>
        </is>
      </c>
      <c r="G85" t="n">
        <v>110</v>
      </c>
      <c r="H85" t="n">
        <v>112</v>
      </c>
      <c r="I85" t="n">
        <v>1</v>
      </c>
      <c r="J85" t="n">
        <v>7</v>
      </c>
      <c r="K85" t="n">
        <v>184</v>
      </c>
      <c r="L85" t="n">
        <v>11.55</v>
      </c>
    </row>
    <row r="86">
      <c r="A86" t="inlineStr">
        <is>
          <t>S13</t>
        </is>
      </c>
      <c r="B86" s="4" t="n">
        <v>46083</v>
      </c>
      <c r="C86" t="inlineStr">
        <is>
          <t>S5</t>
        </is>
      </c>
      <c r="D86" t="inlineStr">
        <is>
          <t>ATH05</t>
        </is>
      </c>
      <c r="E86" t="inlineStr">
        <is>
          <t>Lundi</t>
        </is>
      </c>
      <c r="F86" t="inlineStr">
        <is>
          <t>Technique</t>
        </is>
      </c>
      <c r="G86" t="n">
        <v>75</v>
      </c>
      <c r="H86" t="n">
        <v>71</v>
      </c>
      <c r="I86" t="n">
        <v>1</v>
      </c>
      <c r="J86" t="n">
        <v>4</v>
      </c>
      <c r="K86" t="n">
        <v>165</v>
      </c>
      <c r="L86" t="n">
        <v>8.06</v>
      </c>
    </row>
    <row r="87">
      <c r="A87" t="inlineStr">
        <is>
          <t>S14</t>
        </is>
      </c>
      <c r="B87" s="4" t="n">
        <v>46085</v>
      </c>
      <c r="C87" t="inlineStr">
        <is>
          <t>S5</t>
        </is>
      </c>
      <c r="D87" t="inlineStr">
        <is>
          <t>ATH05</t>
        </is>
      </c>
      <c r="E87" t="inlineStr">
        <is>
          <t>Mercredi</t>
        </is>
      </c>
      <c r="F87" t="inlineStr">
        <is>
          <t>Intermittent</t>
        </is>
      </c>
      <c r="G87" t="n">
        <v>95</v>
      </c>
      <c r="H87" t="n">
        <v>95</v>
      </c>
      <c r="I87" t="n">
        <v>1</v>
      </c>
      <c r="J87" t="n">
        <v>8</v>
      </c>
      <c r="K87" t="n">
        <v>186</v>
      </c>
      <c r="L87" t="n">
        <v>9.83</v>
      </c>
    </row>
    <row r="88">
      <c r="A88" t="inlineStr">
        <is>
          <t>S15</t>
        </is>
      </c>
      <c r="B88" s="4" t="n">
        <v>46087</v>
      </c>
      <c r="C88" t="inlineStr">
        <is>
          <t>S5</t>
        </is>
      </c>
      <c r="D88" t="inlineStr">
        <is>
          <t>ATH05</t>
        </is>
      </c>
      <c r="E88" t="inlineStr">
        <is>
          <t>Vendredi</t>
        </is>
      </c>
      <c r="F88" t="inlineStr">
        <is>
          <t>Collectif</t>
        </is>
      </c>
      <c r="G88" t="n">
        <v>105</v>
      </c>
      <c r="H88" t="n">
        <v>103</v>
      </c>
      <c r="I88" t="n">
        <v>1</v>
      </c>
      <c r="J88" t="n">
        <v>6</v>
      </c>
      <c r="K88" t="n">
        <v>173</v>
      </c>
      <c r="L88" t="n">
        <v>11.07</v>
      </c>
    </row>
    <row r="89">
      <c r="A89" t="inlineStr">
        <is>
          <t>S16</t>
        </is>
      </c>
      <c r="B89" s="4" t="n">
        <v>46090</v>
      </c>
      <c r="C89" t="inlineStr">
        <is>
          <t>S6</t>
        </is>
      </c>
      <c r="D89" t="inlineStr">
        <is>
          <t>ATH05</t>
        </is>
      </c>
      <c r="E89" t="inlineStr">
        <is>
          <t>Lundi</t>
        </is>
      </c>
      <c r="F89" t="inlineStr">
        <is>
          <t>Force</t>
        </is>
      </c>
      <c r="G89" t="n">
        <v>70</v>
      </c>
      <c r="H89" t="n">
        <v>75</v>
      </c>
      <c r="I89" t="n">
        <v>1</v>
      </c>
      <c r="J89" t="n">
        <v>6</v>
      </c>
      <c r="K89" t="n">
        <v>173</v>
      </c>
      <c r="L89" t="n">
        <v>7.87</v>
      </c>
    </row>
    <row r="90">
      <c r="A90" t="inlineStr">
        <is>
          <t>S17</t>
        </is>
      </c>
      <c r="B90" s="4" t="n">
        <v>46092</v>
      </c>
      <c r="C90" t="inlineStr">
        <is>
          <t>S6</t>
        </is>
      </c>
      <c r="D90" t="inlineStr">
        <is>
          <t>ATH05</t>
        </is>
      </c>
      <c r="E90" t="inlineStr">
        <is>
          <t>Mercredi</t>
        </is>
      </c>
      <c r="F90" t="inlineStr">
        <is>
          <t>Intermittent</t>
        </is>
      </c>
      <c r="G90" t="n">
        <v>90</v>
      </c>
      <c r="H90" t="n">
        <v>94</v>
      </c>
      <c r="I90" t="n">
        <v>1</v>
      </c>
      <c r="J90" t="n">
        <v>7</v>
      </c>
      <c r="K90" t="n">
        <v>183</v>
      </c>
      <c r="L90" t="n">
        <v>10.24</v>
      </c>
    </row>
    <row r="91">
      <c r="A91" t="inlineStr">
        <is>
          <t>S18</t>
        </is>
      </c>
      <c r="B91" s="4" t="n">
        <v>46094</v>
      </c>
      <c r="C91" t="inlineStr">
        <is>
          <t>S6</t>
        </is>
      </c>
      <c r="D91" t="inlineStr">
        <is>
          <t>ATH05</t>
        </is>
      </c>
      <c r="E91" t="inlineStr">
        <is>
          <t>Vendredi</t>
        </is>
      </c>
      <c r="F91" t="inlineStr">
        <is>
          <t>Collectif</t>
        </is>
      </c>
      <c r="G91" t="n">
        <v>100</v>
      </c>
      <c r="H91" t="n">
        <v>95</v>
      </c>
      <c r="I91" t="n">
        <v>1</v>
      </c>
      <c r="J91" t="n">
        <v>5</v>
      </c>
      <c r="K91" t="n">
        <v>168</v>
      </c>
      <c r="L91" t="n">
        <v>10.32</v>
      </c>
    </row>
    <row r="92">
      <c r="A92" t="inlineStr">
        <is>
          <t>S01</t>
        </is>
      </c>
      <c r="B92" s="4" t="n">
        <v>46055</v>
      </c>
      <c r="C92" t="inlineStr">
        <is>
          <t>S1</t>
        </is>
      </c>
      <c r="D92" t="inlineStr">
        <is>
          <t>ATH06</t>
        </is>
      </c>
      <c r="E92" t="inlineStr">
        <is>
          <t>Lundi</t>
        </is>
      </c>
      <c r="F92" t="inlineStr">
        <is>
          <t>Technique</t>
        </is>
      </c>
      <c r="G92" t="n">
        <v>75</v>
      </c>
      <c r="H92" t="n">
        <v>75</v>
      </c>
      <c r="I92" t="n">
        <v>1</v>
      </c>
      <c r="J92" t="n">
        <v>5</v>
      </c>
      <c r="K92" t="n">
        <v>170</v>
      </c>
      <c r="L92" t="n">
        <v>7.93</v>
      </c>
    </row>
    <row r="93">
      <c r="A93" t="inlineStr">
        <is>
          <t>S02</t>
        </is>
      </c>
      <c r="B93" s="4" t="n">
        <v>46057</v>
      </c>
      <c r="C93" t="inlineStr">
        <is>
          <t>S1</t>
        </is>
      </c>
      <c r="D93" t="inlineStr">
        <is>
          <t>ATH06</t>
        </is>
      </c>
      <c r="E93" t="inlineStr">
        <is>
          <t>Mercredi</t>
        </is>
      </c>
      <c r="F93" t="inlineStr">
        <is>
          <t>Intermittent</t>
        </is>
      </c>
      <c r="G93" t="n">
        <v>90</v>
      </c>
      <c r="H93" t="n">
        <v>88</v>
      </c>
      <c r="I93" t="n">
        <v>1</v>
      </c>
      <c r="J93" t="n">
        <v>5</v>
      </c>
      <c r="K93" t="n">
        <v>181</v>
      </c>
      <c r="L93" t="n">
        <v>9.529999999999999</v>
      </c>
    </row>
    <row r="94">
      <c r="A94" t="inlineStr">
        <is>
          <t>S03</t>
        </is>
      </c>
      <c r="B94" s="4" t="n">
        <v>46059</v>
      </c>
      <c r="C94" t="inlineStr">
        <is>
          <t>S1</t>
        </is>
      </c>
      <c r="D94" t="inlineStr">
        <is>
          <t>ATH06</t>
        </is>
      </c>
      <c r="E94" t="inlineStr">
        <is>
          <t>Vendredi</t>
        </is>
      </c>
      <c r="F94" t="inlineStr">
        <is>
          <t>Collectif</t>
        </is>
      </c>
      <c r="G94" t="n">
        <v>105</v>
      </c>
      <c r="H94" t="n">
        <v>100</v>
      </c>
      <c r="I94" t="n">
        <v>1</v>
      </c>
      <c r="J94" t="n">
        <v>6</v>
      </c>
      <c r="K94" t="n">
        <v>182</v>
      </c>
      <c r="L94" t="n">
        <v>10.79</v>
      </c>
    </row>
    <row r="95">
      <c r="A95" t="inlineStr">
        <is>
          <t>S04</t>
        </is>
      </c>
      <c r="B95" s="4" t="n">
        <v>46062</v>
      </c>
      <c r="C95" t="inlineStr">
        <is>
          <t>S2</t>
        </is>
      </c>
      <c r="D95" t="inlineStr">
        <is>
          <t>ATH06</t>
        </is>
      </c>
      <c r="E95" t="inlineStr">
        <is>
          <t>Lundi</t>
        </is>
      </c>
      <c r="F95" t="inlineStr">
        <is>
          <t>Force</t>
        </is>
      </c>
      <c r="G95" t="n">
        <v>70</v>
      </c>
      <c r="H95" t="n">
        <v>74</v>
      </c>
      <c r="I95" t="n">
        <v>1</v>
      </c>
      <c r="J95" t="n">
        <v>6</v>
      </c>
      <c r="K95" t="n">
        <v>173</v>
      </c>
      <c r="L95" t="n">
        <v>7.33</v>
      </c>
    </row>
    <row r="96">
      <c r="A96" t="inlineStr">
        <is>
          <t>S05</t>
        </is>
      </c>
      <c r="B96" s="4" t="n">
        <v>46064</v>
      </c>
      <c r="C96" t="inlineStr">
        <is>
          <t>S2</t>
        </is>
      </c>
      <c r="D96" t="inlineStr">
        <is>
          <t>ATH06</t>
        </is>
      </c>
      <c r="E96" t="inlineStr">
        <is>
          <t>Mercredi</t>
        </is>
      </c>
      <c r="F96" t="inlineStr">
        <is>
          <t>Intermittent</t>
        </is>
      </c>
      <c r="G96" t="n">
        <v>90</v>
      </c>
      <c r="H96" t="n">
        <v>94</v>
      </c>
      <c r="I96" t="n">
        <v>1</v>
      </c>
      <c r="J96" t="n">
        <v>7</v>
      </c>
      <c r="K96" t="n">
        <v>187</v>
      </c>
      <c r="L96" t="n">
        <v>9.300000000000001</v>
      </c>
    </row>
    <row r="97">
      <c r="A97" t="inlineStr">
        <is>
          <t>S06</t>
        </is>
      </c>
      <c r="B97" s="4" t="n">
        <v>46066</v>
      </c>
      <c r="C97" t="inlineStr">
        <is>
          <t>S2</t>
        </is>
      </c>
      <c r="D97" t="inlineStr">
        <is>
          <t>ATH06</t>
        </is>
      </c>
      <c r="E97" t="inlineStr">
        <is>
          <t>Vendredi</t>
        </is>
      </c>
      <c r="F97" t="inlineStr">
        <is>
          <t>Collectif</t>
        </is>
      </c>
      <c r="G97" t="n">
        <v>110</v>
      </c>
      <c r="H97" t="n">
        <v>999</v>
      </c>
      <c r="I97" t="n">
        <v>1</v>
      </c>
      <c r="J97" t="n">
        <v>5</v>
      </c>
      <c r="K97" t="n">
        <v>168</v>
      </c>
      <c r="L97" t="n">
        <v>10</v>
      </c>
    </row>
    <row r="98">
      <c r="A98" t="inlineStr">
        <is>
          <t>S07</t>
        </is>
      </c>
      <c r="B98" s="4" t="n">
        <v>46069</v>
      </c>
      <c r="C98" t="inlineStr">
        <is>
          <t>S3</t>
        </is>
      </c>
      <c r="D98" t="inlineStr">
        <is>
          <t>ATH06</t>
        </is>
      </c>
      <c r="E98" t="inlineStr">
        <is>
          <t>Lundi</t>
        </is>
      </c>
      <c r="F98" t="inlineStr">
        <is>
          <t>Technique</t>
        </is>
      </c>
      <c r="G98" t="n">
        <v>75</v>
      </c>
      <c r="H98" t="n">
        <v>70</v>
      </c>
      <c r="I98" t="n">
        <v>1</v>
      </c>
      <c r="J98" t="n">
        <v>4</v>
      </c>
      <c r="K98" t="n">
        <v>162</v>
      </c>
      <c r="L98" t="n">
        <v>6.85</v>
      </c>
    </row>
    <row r="99">
      <c r="A99" t="inlineStr">
        <is>
          <t>S08</t>
        </is>
      </c>
      <c r="B99" s="4" t="n">
        <v>46071</v>
      </c>
      <c r="C99" t="inlineStr">
        <is>
          <t>S3</t>
        </is>
      </c>
      <c r="D99" t="inlineStr">
        <is>
          <t>ATH06</t>
        </is>
      </c>
      <c r="E99" t="inlineStr">
        <is>
          <t>Mercredi</t>
        </is>
      </c>
      <c r="F99" t="inlineStr">
        <is>
          <t>Intermittent</t>
        </is>
      </c>
      <c r="G99" t="n">
        <v>95</v>
      </c>
      <c r="H99" t="n">
        <v>92</v>
      </c>
      <c r="I99" t="n">
        <v>1</v>
      </c>
      <c r="J99" t="n">
        <v>9</v>
      </c>
      <c r="K99" t="n">
        <v>189</v>
      </c>
      <c r="L99" t="n">
        <v>10.14</v>
      </c>
    </row>
    <row r="100">
      <c r="A100" t="inlineStr">
        <is>
          <t>S09</t>
        </is>
      </c>
      <c r="B100" s="4" t="n">
        <v>46073</v>
      </c>
      <c r="C100" t="inlineStr">
        <is>
          <t>S3</t>
        </is>
      </c>
      <c r="D100" t="inlineStr">
        <is>
          <t>ATH06</t>
        </is>
      </c>
      <c r="E100" t="inlineStr">
        <is>
          <t>Vendredi</t>
        </is>
      </c>
      <c r="F100" t="inlineStr">
        <is>
          <t>Collectif</t>
        </is>
      </c>
      <c r="G100" t="n">
        <v>105</v>
      </c>
      <c r="H100" t="n">
        <v>104</v>
      </c>
      <c r="I100" t="n">
        <v>1</v>
      </c>
      <c r="J100" t="n">
        <v>6</v>
      </c>
      <c r="K100" t="n">
        <v>174</v>
      </c>
      <c r="L100" t="n">
        <v>10.86</v>
      </c>
    </row>
    <row r="101">
      <c r="A101" t="inlineStr">
        <is>
          <t>S10</t>
        </is>
      </c>
      <c r="B101" s="4" t="n">
        <v>46076</v>
      </c>
      <c r="C101" t="inlineStr">
        <is>
          <t>S4</t>
        </is>
      </c>
      <c r="D101" t="inlineStr">
        <is>
          <t>ATH06</t>
        </is>
      </c>
      <c r="E101" t="inlineStr">
        <is>
          <t>Lundi</t>
        </is>
      </c>
      <c r="F101" t="inlineStr">
        <is>
          <t>Force</t>
        </is>
      </c>
      <c r="G101" t="n">
        <v>70</v>
      </c>
      <c r="H101" t="n">
        <v>65</v>
      </c>
      <c r="I101" t="n">
        <v>1</v>
      </c>
      <c r="J101" t="n">
        <v>4</v>
      </c>
      <c r="K101" t="n">
        <v>156</v>
      </c>
      <c r="L101" t="n">
        <v>7.53</v>
      </c>
    </row>
    <row r="102">
      <c r="A102" t="inlineStr">
        <is>
          <t>S11</t>
        </is>
      </c>
      <c r="B102" s="4" t="n">
        <v>46078</v>
      </c>
      <c r="C102" t="inlineStr">
        <is>
          <t>S4</t>
        </is>
      </c>
      <c r="D102" t="inlineStr">
        <is>
          <t>ATH06</t>
        </is>
      </c>
      <c r="E102" t="inlineStr">
        <is>
          <t>Mercredi</t>
        </is>
      </c>
      <c r="F102" t="inlineStr">
        <is>
          <t>Intermittent</t>
        </is>
      </c>
      <c r="G102" t="n">
        <v>90</v>
      </c>
      <c r="H102" t="n">
        <v>90</v>
      </c>
      <c r="I102" t="n">
        <v>1</v>
      </c>
      <c r="J102" t="n">
        <v>8</v>
      </c>
      <c r="K102" t="n">
        <v>186</v>
      </c>
      <c r="L102" t="n">
        <v>7.68</v>
      </c>
    </row>
    <row r="103">
      <c r="A103" t="inlineStr">
        <is>
          <t>S12</t>
        </is>
      </c>
      <c r="B103" s="4" t="n">
        <v>46080</v>
      </c>
      <c r="C103" t="inlineStr">
        <is>
          <t>S4</t>
        </is>
      </c>
      <c r="D103" t="inlineStr">
        <is>
          <t>ATH06</t>
        </is>
      </c>
      <c r="E103" t="inlineStr">
        <is>
          <t>Vendredi</t>
        </is>
      </c>
      <c r="F103" t="inlineStr">
        <is>
          <t>Collectif</t>
        </is>
      </c>
      <c r="G103" t="n">
        <v>110</v>
      </c>
      <c r="H103" t="n">
        <v>105</v>
      </c>
      <c r="I103" t="n">
        <v>1</v>
      </c>
      <c r="J103" t="n">
        <v>7</v>
      </c>
      <c r="K103" t="n">
        <v>180</v>
      </c>
      <c r="L103" t="n">
        <v>11.06</v>
      </c>
    </row>
    <row r="104">
      <c r="A104" t="inlineStr">
        <is>
          <t>S13</t>
        </is>
      </c>
      <c r="B104" s="4" t="n">
        <v>46083</v>
      </c>
      <c r="C104" t="inlineStr">
        <is>
          <t>S5</t>
        </is>
      </c>
      <c r="D104" t="inlineStr">
        <is>
          <t>ATH06</t>
        </is>
      </c>
      <c r="E104" t="inlineStr">
        <is>
          <t>Lundi</t>
        </is>
      </c>
      <c r="F104" t="inlineStr">
        <is>
          <t>Technique</t>
        </is>
      </c>
      <c r="G104" t="n">
        <v>75</v>
      </c>
      <c r="H104" t="n">
        <v>74</v>
      </c>
      <c r="I104" t="n">
        <v>1</v>
      </c>
      <c r="J104" t="n">
        <v>5</v>
      </c>
      <c r="K104" t="n">
        <v>162</v>
      </c>
      <c r="L104" t="n">
        <v>6.96</v>
      </c>
    </row>
    <row r="105">
      <c r="A105" t="inlineStr">
        <is>
          <t>S14</t>
        </is>
      </c>
      <c r="B105" s="4" t="n">
        <v>46085</v>
      </c>
      <c r="C105" t="inlineStr">
        <is>
          <t>S5</t>
        </is>
      </c>
      <c r="D105" t="inlineStr">
        <is>
          <t>ATH06</t>
        </is>
      </c>
      <c r="E105" t="inlineStr">
        <is>
          <t>Mercredi</t>
        </is>
      </c>
      <c r="F105" t="inlineStr">
        <is>
          <t>Intermittent</t>
        </is>
      </c>
      <c r="G105" t="n">
        <v>95</v>
      </c>
      <c r="H105" t="n">
        <v>90</v>
      </c>
      <c r="I105" t="n">
        <v>1</v>
      </c>
      <c r="J105" t="n">
        <v>8</v>
      </c>
      <c r="K105" t="n">
        <v>180</v>
      </c>
      <c r="L105" t="n">
        <v>9.23</v>
      </c>
    </row>
    <row r="106">
      <c r="A106" t="inlineStr">
        <is>
          <t>S15</t>
        </is>
      </c>
      <c r="B106" s="4" t="n">
        <v>46087</v>
      </c>
      <c r="C106" t="inlineStr">
        <is>
          <t>S5</t>
        </is>
      </c>
      <c r="D106" t="inlineStr">
        <is>
          <t>ATH06</t>
        </is>
      </c>
      <c r="E106" t="inlineStr">
        <is>
          <t>Vendredi</t>
        </is>
      </c>
      <c r="F106" t="inlineStr">
        <is>
          <t>Collectif</t>
        </is>
      </c>
      <c r="G106" t="n">
        <v>105</v>
      </c>
      <c r="H106" t="n">
        <v>109</v>
      </c>
      <c r="I106" t="n">
        <v>1</v>
      </c>
      <c r="J106" t="n">
        <v>8</v>
      </c>
      <c r="K106" t="n">
        <v>185</v>
      </c>
      <c r="L106" t="n">
        <v>12.47</v>
      </c>
    </row>
    <row r="107">
      <c r="A107" t="inlineStr">
        <is>
          <t>S16</t>
        </is>
      </c>
      <c r="B107" s="4" t="n">
        <v>46090</v>
      </c>
      <c r="C107" t="inlineStr">
        <is>
          <t>S6</t>
        </is>
      </c>
      <c r="D107" t="inlineStr">
        <is>
          <t>ATH06</t>
        </is>
      </c>
      <c r="E107" t="inlineStr">
        <is>
          <t>Lundi</t>
        </is>
      </c>
      <c r="F107" t="inlineStr">
        <is>
          <t>Force</t>
        </is>
      </c>
      <c r="G107" t="n">
        <v>70</v>
      </c>
      <c r="H107" t="n">
        <v>70</v>
      </c>
      <c r="I107" t="n">
        <v>1</v>
      </c>
      <c r="J107" t="n">
        <v>5</v>
      </c>
      <c r="K107" t="n">
        <v>175</v>
      </c>
      <c r="L107" t="n">
        <v>7.44</v>
      </c>
    </row>
    <row r="108">
      <c r="A108" t="inlineStr">
        <is>
          <t>S17</t>
        </is>
      </c>
      <c r="B108" s="4" t="n">
        <v>46092</v>
      </c>
      <c r="C108" t="inlineStr">
        <is>
          <t>S6</t>
        </is>
      </c>
      <c r="D108" t="inlineStr">
        <is>
          <t>ATH06</t>
        </is>
      </c>
      <c r="E108" t="inlineStr">
        <is>
          <t>Mercredi</t>
        </is>
      </c>
      <c r="F108" t="inlineStr">
        <is>
          <t>Intermittent</t>
        </is>
      </c>
      <c r="G108" t="n">
        <v>90</v>
      </c>
      <c r="H108" t="n">
        <v>93</v>
      </c>
      <c r="I108" t="n">
        <v>1</v>
      </c>
      <c r="J108" t="n">
        <v>6</v>
      </c>
      <c r="K108" t="n">
        <v>181</v>
      </c>
      <c r="L108" t="n">
        <v>9.050000000000001</v>
      </c>
    </row>
    <row r="109">
      <c r="A109" t="inlineStr">
        <is>
          <t>S18</t>
        </is>
      </c>
      <c r="B109" s="4" t="n">
        <v>46094</v>
      </c>
      <c r="C109" t="inlineStr">
        <is>
          <t>S6</t>
        </is>
      </c>
      <c r="D109" t="inlineStr">
        <is>
          <t>ATH06</t>
        </is>
      </c>
      <c r="E109" t="inlineStr">
        <is>
          <t>Vendredi</t>
        </is>
      </c>
      <c r="F109" t="inlineStr">
        <is>
          <t>Collectif</t>
        </is>
      </c>
      <c r="G109" t="n">
        <v>100</v>
      </c>
      <c r="H109" t="n">
        <v>100</v>
      </c>
      <c r="I109" t="n">
        <v>1</v>
      </c>
      <c r="J109" t="n">
        <v>6</v>
      </c>
      <c r="K109" t="n">
        <v>175</v>
      </c>
      <c r="L109" t="n">
        <v>10.69</v>
      </c>
    </row>
    <row r="110">
      <c r="A110" t="inlineStr">
        <is>
          <t>S01</t>
        </is>
      </c>
      <c r="B110" s="4" t="n">
        <v>46055</v>
      </c>
      <c r="C110" t="inlineStr">
        <is>
          <t>S1</t>
        </is>
      </c>
      <c r="D110" t="inlineStr">
        <is>
          <t>ATH07</t>
        </is>
      </c>
      <c r="E110" t="inlineStr">
        <is>
          <t>Lundi</t>
        </is>
      </c>
      <c r="F110" t="inlineStr">
        <is>
          <t>Technique</t>
        </is>
      </c>
      <c r="G110" t="n">
        <v>75</v>
      </c>
      <c r="H110" t="n">
        <v>71</v>
      </c>
      <c r="I110" t="n">
        <v>1</v>
      </c>
      <c r="J110" t="n">
        <v>5</v>
      </c>
      <c r="K110" t="n">
        <v>167</v>
      </c>
      <c r="L110" t="n">
        <v>6.3</v>
      </c>
    </row>
    <row r="111">
      <c r="A111" t="inlineStr">
        <is>
          <t>S02</t>
        </is>
      </c>
      <c r="B111" s="4" t="n">
        <v>46057</v>
      </c>
      <c r="C111" t="inlineStr">
        <is>
          <t>S1</t>
        </is>
      </c>
      <c r="D111" t="inlineStr">
        <is>
          <t>ATH07</t>
        </is>
      </c>
      <c r="E111" t="inlineStr">
        <is>
          <t>Mercredi</t>
        </is>
      </c>
      <c r="F111" t="inlineStr">
        <is>
          <t>Intermittent</t>
        </is>
      </c>
      <c r="G111" t="n">
        <v>90</v>
      </c>
      <c r="H111" t="n">
        <v>91</v>
      </c>
      <c r="I111" t="n">
        <v>1</v>
      </c>
      <c r="J111" t="n">
        <v>8</v>
      </c>
      <c r="K111" t="n">
        <v>176</v>
      </c>
      <c r="L111" t="n">
        <v>9.51</v>
      </c>
    </row>
    <row r="112">
      <c r="A112" t="inlineStr">
        <is>
          <t>S03</t>
        </is>
      </c>
      <c r="B112" s="4" t="n">
        <v>46059</v>
      </c>
      <c r="C112" t="inlineStr">
        <is>
          <t>S1</t>
        </is>
      </c>
      <c r="D112" t="inlineStr">
        <is>
          <t>ATH07</t>
        </is>
      </c>
      <c r="E112" t="inlineStr">
        <is>
          <t>Vendredi</t>
        </is>
      </c>
      <c r="F112" t="inlineStr">
        <is>
          <t>Collectif</t>
        </is>
      </c>
      <c r="G112" t="n">
        <v>105</v>
      </c>
      <c r="H112" t="n">
        <v>107</v>
      </c>
      <c r="I112" t="n">
        <v>1</v>
      </c>
      <c r="J112" t="n">
        <v>6</v>
      </c>
      <c r="K112" t="n">
        <v>177</v>
      </c>
      <c r="L112" t="n">
        <v>12.2</v>
      </c>
    </row>
    <row r="113">
      <c r="A113" t="inlineStr">
        <is>
          <t>S04</t>
        </is>
      </c>
      <c r="B113" s="4" t="n">
        <v>46062</v>
      </c>
      <c r="C113" t="inlineStr">
        <is>
          <t>S2</t>
        </is>
      </c>
      <c r="D113" t="inlineStr">
        <is>
          <t>ATH07</t>
        </is>
      </c>
      <c r="E113" t="inlineStr">
        <is>
          <t>Lundi</t>
        </is>
      </c>
      <c r="F113" t="inlineStr">
        <is>
          <t>Force</t>
        </is>
      </c>
      <c r="G113" t="n">
        <v>70</v>
      </c>
      <c r="H113" t="n">
        <v>75</v>
      </c>
      <c r="I113" t="n">
        <v>1</v>
      </c>
      <c r="J113" t="n">
        <v>4</v>
      </c>
      <c r="K113" t="n">
        <v>154</v>
      </c>
      <c r="L113" t="n">
        <v>9.09</v>
      </c>
    </row>
    <row r="114">
      <c r="A114" t="inlineStr">
        <is>
          <t>S05</t>
        </is>
      </c>
      <c r="B114" s="4" t="n">
        <v>46064</v>
      </c>
      <c r="C114" t="inlineStr">
        <is>
          <t>S2</t>
        </is>
      </c>
      <c r="D114" t="inlineStr">
        <is>
          <t>ATH07</t>
        </is>
      </c>
      <c r="E114" t="inlineStr">
        <is>
          <t>Mercredi</t>
        </is>
      </c>
      <c r="F114" t="inlineStr">
        <is>
          <t>Intermittent</t>
        </is>
      </c>
      <c r="G114" t="n">
        <v>90</v>
      </c>
      <c r="H114" t="n">
        <v>95</v>
      </c>
      <c r="I114" t="n">
        <v>1</v>
      </c>
      <c r="J114" t="n">
        <v>7</v>
      </c>
      <c r="K114" t="n">
        <v>174</v>
      </c>
      <c r="L114" t="n">
        <v>9.93</v>
      </c>
    </row>
    <row r="115">
      <c r="A115" t="inlineStr">
        <is>
          <t>S06</t>
        </is>
      </c>
      <c r="B115" s="4" t="n">
        <v>46066</v>
      </c>
      <c r="C115" t="inlineStr">
        <is>
          <t>S2</t>
        </is>
      </c>
      <c r="D115" t="inlineStr">
        <is>
          <t>ATH07</t>
        </is>
      </c>
      <c r="E115" t="inlineStr">
        <is>
          <t>Vendredi</t>
        </is>
      </c>
      <c r="F115" t="inlineStr">
        <is>
          <t>Collectif</t>
        </is>
      </c>
      <c r="G115" t="n">
        <v>110</v>
      </c>
      <c r="H115" t="n">
        <v>106</v>
      </c>
      <c r="I115" t="n">
        <v>1</v>
      </c>
      <c r="J115" t="n">
        <v>8</v>
      </c>
      <c r="K115" t="n">
        <v>182</v>
      </c>
      <c r="L115" t="n">
        <v>10.46</v>
      </c>
    </row>
    <row r="116">
      <c r="A116" t="inlineStr">
        <is>
          <t>S07</t>
        </is>
      </c>
      <c r="B116" s="4" t="n">
        <v>46069</v>
      </c>
      <c r="C116" t="inlineStr">
        <is>
          <t>S3</t>
        </is>
      </c>
      <c r="D116" t="inlineStr">
        <is>
          <t>ATH07</t>
        </is>
      </c>
      <c r="E116" t="inlineStr">
        <is>
          <t>Lundi</t>
        </is>
      </c>
      <c r="F116" t="inlineStr">
        <is>
          <t>Technique</t>
        </is>
      </c>
      <c r="G116" t="n">
        <v>75</v>
      </c>
      <c r="H116" t="n">
        <v>75</v>
      </c>
      <c r="I116" t="n">
        <v>1</v>
      </c>
      <c r="J116" t="n">
        <v>7</v>
      </c>
      <c r="K116" t="n">
        <v>190</v>
      </c>
      <c r="L116" t="n">
        <v>8.35</v>
      </c>
    </row>
    <row r="117">
      <c r="A117" t="inlineStr">
        <is>
          <t>S08</t>
        </is>
      </c>
      <c r="B117" s="4" t="n">
        <v>46071</v>
      </c>
      <c r="C117" t="inlineStr">
        <is>
          <t>S3</t>
        </is>
      </c>
      <c r="D117" t="inlineStr">
        <is>
          <t>ATH07</t>
        </is>
      </c>
      <c r="E117" t="inlineStr">
        <is>
          <t>Mercredi</t>
        </is>
      </c>
      <c r="F117" t="inlineStr">
        <is>
          <t>Intermittent</t>
        </is>
      </c>
      <c r="G117" t="n">
        <v>95</v>
      </c>
      <c r="H117" t="n">
        <v>90</v>
      </c>
      <c r="I117" t="n">
        <v>1</v>
      </c>
      <c r="J117" t="n">
        <v>7</v>
      </c>
      <c r="K117" t="n">
        <v>179</v>
      </c>
      <c r="L117" t="n">
        <v>9.48</v>
      </c>
    </row>
    <row r="118">
      <c r="A118" t="inlineStr">
        <is>
          <t>S09</t>
        </is>
      </c>
      <c r="B118" s="4" t="n">
        <v>46073</v>
      </c>
      <c r="C118" t="inlineStr">
        <is>
          <t>S3</t>
        </is>
      </c>
      <c r="D118" t="inlineStr">
        <is>
          <t>ATH07</t>
        </is>
      </c>
      <c r="E118" t="inlineStr">
        <is>
          <t>Vendredi</t>
        </is>
      </c>
      <c r="F118" t="inlineStr">
        <is>
          <t>Collectif</t>
        </is>
      </c>
      <c r="G118" t="n">
        <v>105</v>
      </c>
      <c r="H118" t="n">
        <v>108</v>
      </c>
      <c r="I118" t="n">
        <v>1</v>
      </c>
      <c r="J118" t="n">
        <v>6</v>
      </c>
      <c r="K118" t="n">
        <v>184</v>
      </c>
      <c r="L118" t="n">
        <v>11.01</v>
      </c>
    </row>
    <row r="119">
      <c r="A119" t="inlineStr">
        <is>
          <t>S10</t>
        </is>
      </c>
      <c r="B119" s="4" t="n">
        <v>46076</v>
      </c>
      <c r="C119" t="inlineStr">
        <is>
          <t>S4</t>
        </is>
      </c>
      <c r="D119" t="inlineStr">
        <is>
          <t>ATH07</t>
        </is>
      </c>
      <c r="E119" t="inlineStr">
        <is>
          <t>Lundi</t>
        </is>
      </c>
      <c r="F119" t="inlineStr">
        <is>
          <t>Force</t>
        </is>
      </c>
      <c r="G119" t="n">
        <v>70</v>
      </c>
      <c r="H119" t="n">
        <v>65</v>
      </c>
      <c r="I119" t="n">
        <v>1</v>
      </c>
      <c r="J119" t="n">
        <v>5</v>
      </c>
      <c r="K119" t="n">
        <v>170</v>
      </c>
      <c r="L119" t="n">
        <v>6.84</v>
      </c>
    </row>
    <row r="120">
      <c r="A120" t="inlineStr">
        <is>
          <t>S11</t>
        </is>
      </c>
      <c r="B120" s="4" t="n">
        <v>46078</v>
      </c>
      <c r="C120" t="inlineStr">
        <is>
          <t>S4</t>
        </is>
      </c>
      <c r="D120" t="inlineStr">
        <is>
          <t>ATH07</t>
        </is>
      </c>
      <c r="E120" t="inlineStr">
        <is>
          <t>Mercredi</t>
        </is>
      </c>
      <c r="F120" t="inlineStr">
        <is>
          <t>Intermittent</t>
        </is>
      </c>
      <c r="G120" t="n">
        <v>90</v>
      </c>
      <c r="H120" t="n">
        <v>92</v>
      </c>
      <c r="I120" t="n">
        <v>1</v>
      </c>
      <c r="J120" t="n">
        <v>9</v>
      </c>
      <c r="K120" t="n">
        <v>190</v>
      </c>
      <c r="L120" t="n">
        <v>9.470000000000001</v>
      </c>
    </row>
    <row r="121">
      <c r="A121" t="inlineStr">
        <is>
          <t>S12</t>
        </is>
      </c>
      <c r="B121" s="4" t="n">
        <v>46080</v>
      </c>
      <c r="C121" t="inlineStr">
        <is>
          <t>S4</t>
        </is>
      </c>
      <c r="D121" t="inlineStr">
        <is>
          <t>ATH07</t>
        </is>
      </c>
      <c r="E121" t="inlineStr">
        <is>
          <t>Vendredi</t>
        </is>
      </c>
      <c r="F121" t="inlineStr">
        <is>
          <t>Collectif</t>
        </is>
      </c>
      <c r="G121" t="n">
        <v>110</v>
      </c>
      <c r="H121" t="n">
        <v>115</v>
      </c>
      <c r="I121" t="n">
        <v>1</v>
      </c>
      <c r="J121" t="n">
        <v>8</v>
      </c>
      <c r="K121" t="n">
        <v>187</v>
      </c>
      <c r="L121" t="n">
        <v>12.36</v>
      </c>
    </row>
    <row r="122">
      <c r="A122" t="inlineStr">
        <is>
          <t>S13</t>
        </is>
      </c>
      <c r="B122" s="4" t="n">
        <v>46083</v>
      </c>
      <c r="C122" t="inlineStr">
        <is>
          <t>S5</t>
        </is>
      </c>
      <c r="D122" t="inlineStr">
        <is>
          <t>ATH07</t>
        </is>
      </c>
      <c r="E122" t="inlineStr">
        <is>
          <t>Lundi</t>
        </is>
      </c>
      <c r="F122" t="inlineStr">
        <is>
          <t>Technique</t>
        </is>
      </c>
      <c r="G122" t="n">
        <v>75</v>
      </c>
      <c r="H122" t="n">
        <v>80</v>
      </c>
      <c r="I122" t="n">
        <v>1</v>
      </c>
      <c r="J122" t="n">
        <v>5</v>
      </c>
      <c r="K122" t="n">
        <v>165</v>
      </c>
      <c r="L122" t="n">
        <v>7.37</v>
      </c>
    </row>
    <row r="123">
      <c r="A123" t="inlineStr">
        <is>
          <t>S14</t>
        </is>
      </c>
      <c r="B123" s="4" t="n">
        <v>46085</v>
      </c>
      <c r="C123" t="inlineStr">
        <is>
          <t>S5</t>
        </is>
      </c>
      <c r="D123" t="inlineStr">
        <is>
          <t>ATH07</t>
        </is>
      </c>
      <c r="E123" t="inlineStr">
        <is>
          <t>Mercredi</t>
        </is>
      </c>
      <c r="F123" t="inlineStr">
        <is>
          <t>Intermittent</t>
        </is>
      </c>
      <c r="G123" t="n">
        <v>95</v>
      </c>
      <c r="H123" t="n">
        <v>98</v>
      </c>
      <c r="I123" t="n">
        <v>1</v>
      </c>
      <c r="J123" t="n">
        <v>10</v>
      </c>
      <c r="K123" t="n">
        <v>190</v>
      </c>
      <c r="L123" t="n">
        <v>9.279999999999999</v>
      </c>
    </row>
    <row r="124">
      <c r="A124" t="inlineStr">
        <is>
          <t>S15</t>
        </is>
      </c>
      <c r="B124" s="4" t="n">
        <v>46087</v>
      </c>
      <c r="C124" t="inlineStr">
        <is>
          <t>S5</t>
        </is>
      </c>
      <c r="D124" t="inlineStr">
        <is>
          <t>ATH07</t>
        </is>
      </c>
      <c r="E124" t="inlineStr">
        <is>
          <t>Vendredi</t>
        </is>
      </c>
      <c r="F124" t="inlineStr">
        <is>
          <t>Collectif</t>
        </is>
      </c>
      <c r="G124" t="n">
        <v>105</v>
      </c>
      <c r="H124" t="n">
        <v>100</v>
      </c>
      <c r="I124" t="n">
        <v>1</v>
      </c>
      <c r="J124" t="n">
        <v>6</v>
      </c>
      <c r="K124" t="n">
        <v>176</v>
      </c>
      <c r="L124" t="n">
        <v>10.22</v>
      </c>
    </row>
    <row r="125">
      <c r="A125" t="inlineStr">
        <is>
          <t>S16</t>
        </is>
      </c>
      <c r="B125" s="4" t="n">
        <v>46090</v>
      </c>
      <c r="C125" t="inlineStr">
        <is>
          <t>S6</t>
        </is>
      </c>
      <c r="D125" t="inlineStr">
        <is>
          <t>ATH07</t>
        </is>
      </c>
      <c r="E125" t="inlineStr">
        <is>
          <t>Lundi</t>
        </is>
      </c>
      <c r="F125" t="inlineStr">
        <is>
          <t>Force</t>
        </is>
      </c>
      <c r="G125" t="n">
        <v>70</v>
      </c>
      <c r="H125" t="n">
        <v>74</v>
      </c>
      <c r="I125" t="n">
        <v>1</v>
      </c>
      <c r="J125" t="n">
        <v>3</v>
      </c>
      <c r="K125" t="n">
        <v>158</v>
      </c>
      <c r="L125" t="n">
        <v>9.06</v>
      </c>
    </row>
    <row r="126">
      <c r="A126" t="inlineStr">
        <is>
          <t>S17</t>
        </is>
      </c>
      <c r="B126" s="4" t="n">
        <v>46092</v>
      </c>
      <c r="C126" t="inlineStr">
        <is>
          <t>S6</t>
        </is>
      </c>
      <c r="D126" t="inlineStr">
        <is>
          <t>ATH07</t>
        </is>
      </c>
      <c r="E126" t="inlineStr">
        <is>
          <t>Mercredi</t>
        </is>
      </c>
      <c r="F126" t="inlineStr">
        <is>
          <t>Intermittent</t>
        </is>
      </c>
      <c r="G126" t="n">
        <v>90</v>
      </c>
      <c r="H126" t="n">
        <v>88</v>
      </c>
      <c r="I126" t="n">
        <v>1</v>
      </c>
      <c r="J126" t="n">
        <v>8</v>
      </c>
      <c r="K126" t="n">
        <v>190</v>
      </c>
      <c r="L126" t="n">
        <v>7.83</v>
      </c>
    </row>
    <row r="127">
      <c r="A127" t="inlineStr">
        <is>
          <t>S18</t>
        </is>
      </c>
      <c r="B127" s="4" t="n">
        <v>46094</v>
      </c>
      <c r="C127" t="inlineStr">
        <is>
          <t>S6</t>
        </is>
      </c>
      <c r="D127" t="inlineStr">
        <is>
          <t>ATH07</t>
        </is>
      </c>
      <c r="E127" t="inlineStr">
        <is>
          <t>Vendredi</t>
        </is>
      </c>
      <c r="F127" t="inlineStr">
        <is>
          <t>Collectif</t>
        </is>
      </c>
      <c r="G127" t="n">
        <v>100</v>
      </c>
      <c r="H127" t="n">
        <v>99</v>
      </c>
      <c r="I127" t="n">
        <v>1</v>
      </c>
      <c r="J127" t="n">
        <v>6</v>
      </c>
      <c r="K127" t="n">
        <v>179</v>
      </c>
      <c r="L127" t="n">
        <v>11.91</v>
      </c>
    </row>
    <row r="128">
      <c r="A128" t="inlineStr">
        <is>
          <t>S01</t>
        </is>
      </c>
      <c r="B128" s="4" t="n">
        <v>46055</v>
      </c>
      <c r="C128" t="inlineStr">
        <is>
          <t>S1</t>
        </is>
      </c>
      <c r="D128" t="inlineStr">
        <is>
          <t>ATH08</t>
        </is>
      </c>
      <c r="E128" t="inlineStr">
        <is>
          <t>Lundi</t>
        </is>
      </c>
      <c r="F128" t="inlineStr">
        <is>
          <t>Technique</t>
        </is>
      </c>
      <c r="G128" t="n">
        <v>75</v>
      </c>
      <c r="H128" t="n">
        <v>77</v>
      </c>
      <c r="I128" t="n">
        <v>1</v>
      </c>
      <c r="J128" t="n">
        <v>5</v>
      </c>
      <c r="K128" t="n">
        <v>170</v>
      </c>
      <c r="L128" t="n">
        <v>7.86</v>
      </c>
    </row>
    <row r="129">
      <c r="A129" t="inlineStr">
        <is>
          <t>S02</t>
        </is>
      </c>
      <c r="B129" s="4" t="n">
        <v>46057</v>
      </c>
      <c r="C129" t="inlineStr">
        <is>
          <t>S1</t>
        </is>
      </c>
      <c r="D129" t="inlineStr">
        <is>
          <t>ATH08</t>
        </is>
      </c>
      <c r="E129" t="inlineStr">
        <is>
          <t>Mercredi</t>
        </is>
      </c>
      <c r="F129" t="inlineStr">
        <is>
          <t>Intermittent</t>
        </is>
      </c>
      <c r="G129" t="n">
        <v>90</v>
      </c>
      <c r="H129" t="n">
        <v>90</v>
      </c>
      <c r="I129" t="n">
        <v>1</v>
      </c>
      <c r="J129" t="n">
        <v>6</v>
      </c>
      <c r="K129" t="n">
        <v>178</v>
      </c>
      <c r="L129" t="n">
        <v>9.550000000000001</v>
      </c>
    </row>
    <row r="130">
      <c r="A130" t="inlineStr">
        <is>
          <t>S03</t>
        </is>
      </c>
      <c r="B130" s="4" t="n">
        <v>46059</v>
      </c>
      <c r="C130" t="inlineStr">
        <is>
          <t>S1</t>
        </is>
      </c>
      <c r="D130" t="inlineStr">
        <is>
          <t>ATH08</t>
        </is>
      </c>
      <c r="E130" t="inlineStr">
        <is>
          <t>Vendredi</t>
        </is>
      </c>
      <c r="F130" t="inlineStr">
        <is>
          <t>Collectif</t>
        </is>
      </c>
      <c r="G130" t="n">
        <v>105</v>
      </c>
      <c r="H130" t="n">
        <v>105</v>
      </c>
      <c r="I130" t="n">
        <v>1</v>
      </c>
      <c r="J130" t="n">
        <v>6</v>
      </c>
      <c r="K130" t="n">
        <v>174</v>
      </c>
      <c r="L130" t="n">
        <v>11.5</v>
      </c>
    </row>
    <row r="131">
      <c r="A131" t="inlineStr">
        <is>
          <t>S04</t>
        </is>
      </c>
      <c r="B131" s="4" t="n">
        <v>46062</v>
      </c>
      <c r="C131" t="inlineStr">
        <is>
          <t>S2</t>
        </is>
      </c>
      <c r="D131" t="inlineStr">
        <is>
          <t>ATH08</t>
        </is>
      </c>
      <c r="E131" t="inlineStr">
        <is>
          <t>Lundi</t>
        </is>
      </c>
      <c r="F131" t="inlineStr">
        <is>
          <t>Force</t>
        </is>
      </c>
      <c r="G131" t="n">
        <v>70</v>
      </c>
      <c r="H131" t="n">
        <v>75</v>
      </c>
      <c r="I131" t="n">
        <v>1</v>
      </c>
      <c r="J131" t="n">
        <v>6</v>
      </c>
      <c r="K131" t="n">
        <v>179</v>
      </c>
      <c r="L131" t="n">
        <v>7.42</v>
      </c>
    </row>
    <row r="132">
      <c r="A132" t="inlineStr">
        <is>
          <t>S05</t>
        </is>
      </c>
      <c r="B132" s="4" t="n">
        <v>46064</v>
      </c>
      <c r="C132" t="inlineStr">
        <is>
          <t>S2</t>
        </is>
      </c>
      <c r="D132" t="inlineStr">
        <is>
          <t>ATH08</t>
        </is>
      </c>
      <c r="E132" t="inlineStr">
        <is>
          <t>Mercredi</t>
        </is>
      </c>
      <c r="F132" t="inlineStr">
        <is>
          <t>Intermittent</t>
        </is>
      </c>
      <c r="G132" t="n">
        <v>90</v>
      </c>
      <c r="H132" t="n">
        <v>90</v>
      </c>
      <c r="I132" t="n">
        <v>1</v>
      </c>
      <c r="J132" t="n">
        <v>7</v>
      </c>
      <c r="K132" t="n">
        <v>170</v>
      </c>
      <c r="L132" t="n">
        <v>8.279999999999999</v>
      </c>
    </row>
    <row r="133">
      <c r="A133" t="inlineStr">
        <is>
          <t>S06</t>
        </is>
      </c>
      <c r="B133" s="4" t="n">
        <v>46066</v>
      </c>
      <c r="C133" t="inlineStr">
        <is>
          <t>S2</t>
        </is>
      </c>
      <c r="D133" t="inlineStr">
        <is>
          <t>ATH08</t>
        </is>
      </c>
      <c r="E133" t="inlineStr">
        <is>
          <t>Vendredi</t>
        </is>
      </c>
      <c r="F133" t="inlineStr">
        <is>
          <t>Collectif</t>
        </is>
      </c>
      <c r="G133" t="n">
        <v>110</v>
      </c>
      <c r="H133" t="n">
        <v>105</v>
      </c>
      <c r="I133" t="n">
        <v>1</v>
      </c>
      <c r="J133" t="n">
        <v>7</v>
      </c>
      <c r="K133" t="n">
        <v>178</v>
      </c>
      <c r="L133" t="n">
        <v>11.14</v>
      </c>
    </row>
    <row r="134">
      <c r="A134" t="inlineStr">
        <is>
          <t>S07</t>
        </is>
      </c>
      <c r="B134" s="4" t="n">
        <v>46069</v>
      </c>
      <c r="C134" t="inlineStr">
        <is>
          <t>S3</t>
        </is>
      </c>
      <c r="D134" t="inlineStr">
        <is>
          <t>ATH08</t>
        </is>
      </c>
      <c r="E134" t="inlineStr">
        <is>
          <t>Lundi</t>
        </is>
      </c>
      <c r="F134" t="inlineStr">
        <is>
          <t>Technique</t>
        </is>
      </c>
      <c r="G134" t="n">
        <v>75</v>
      </c>
      <c r="H134" t="n">
        <v>80</v>
      </c>
      <c r="I134" t="n">
        <v>1</v>
      </c>
      <c r="J134" t="n">
        <v>5</v>
      </c>
      <c r="K134" t="n">
        <v>161</v>
      </c>
      <c r="L134" t="n">
        <v>7.92</v>
      </c>
    </row>
    <row r="135">
      <c r="A135" t="inlineStr">
        <is>
          <t>S08</t>
        </is>
      </c>
      <c r="B135" s="4" t="n">
        <v>46071</v>
      </c>
      <c r="C135" t="inlineStr">
        <is>
          <t>S3</t>
        </is>
      </c>
      <c r="D135" t="inlineStr">
        <is>
          <t>ATH08</t>
        </is>
      </c>
      <c r="E135" t="inlineStr">
        <is>
          <t>Mercredi</t>
        </is>
      </c>
      <c r="F135" t="inlineStr">
        <is>
          <t>Intermittent</t>
        </is>
      </c>
      <c r="G135" t="n">
        <v>95</v>
      </c>
      <c r="H135" t="n">
        <v>94</v>
      </c>
      <c r="I135" t="n">
        <v>1</v>
      </c>
      <c r="J135" t="n">
        <v>6</v>
      </c>
      <c r="K135" t="n">
        <v>171</v>
      </c>
      <c r="L135" t="n">
        <v>10.44</v>
      </c>
    </row>
    <row r="136">
      <c r="A136" t="inlineStr">
        <is>
          <t>S09</t>
        </is>
      </c>
      <c r="B136" s="4" t="n">
        <v>46073</v>
      </c>
      <c r="C136" t="inlineStr">
        <is>
          <t>S3</t>
        </is>
      </c>
      <c r="D136" t="inlineStr">
        <is>
          <t>ATH08</t>
        </is>
      </c>
      <c r="E136" t="inlineStr">
        <is>
          <t>Vendredi</t>
        </is>
      </c>
      <c r="F136" t="inlineStr">
        <is>
          <t>Collectif</t>
        </is>
      </c>
      <c r="G136" t="n">
        <v>105</v>
      </c>
      <c r="H136" t="n">
        <v>104</v>
      </c>
      <c r="I136" t="n">
        <v>1</v>
      </c>
      <c r="J136" t="n">
        <v>6</v>
      </c>
      <c r="K136" t="n">
        <v>182</v>
      </c>
      <c r="L136" t="n">
        <v>8.859999999999999</v>
      </c>
    </row>
    <row r="137">
      <c r="A137" t="inlineStr">
        <is>
          <t>S10</t>
        </is>
      </c>
      <c r="B137" s="4" t="n">
        <v>46076</v>
      </c>
      <c r="C137" t="inlineStr">
        <is>
          <t>S4</t>
        </is>
      </c>
      <c r="D137" t="inlineStr">
        <is>
          <t>ATH08</t>
        </is>
      </c>
      <c r="E137" t="inlineStr">
        <is>
          <t>Lundi</t>
        </is>
      </c>
      <c r="F137" t="inlineStr">
        <is>
          <t>Force</t>
        </is>
      </c>
      <c r="G137" t="n">
        <v>70</v>
      </c>
      <c r="H137" t="n">
        <v>65</v>
      </c>
      <c r="I137" t="n">
        <v>1</v>
      </c>
      <c r="J137" t="n">
        <v>5</v>
      </c>
      <c r="K137" t="n">
        <v>171</v>
      </c>
      <c r="L137" t="n">
        <v>6.51</v>
      </c>
    </row>
    <row r="138">
      <c r="A138" t="inlineStr">
        <is>
          <t>S11</t>
        </is>
      </c>
      <c r="B138" s="4" t="n">
        <v>46078</v>
      </c>
      <c r="C138" t="inlineStr">
        <is>
          <t>S4</t>
        </is>
      </c>
      <c r="D138" t="inlineStr">
        <is>
          <t>ATH08</t>
        </is>
      </c>
      <c r="E138" t="inlineStr">
        <is>
          <t>Mercredi</t>
        </is>
      </c>
      <c r="F138" t="inlineStr">
        <is>
          <t>Intermittent</t>
        </is>
      </c>
      <c r="G138" t="n">
        <v>90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</row>
    <row r="139">
      <c r="A139" t="inlineStr">
        <is>
          <t>S12</t>
        </is>
      </c>
      <c r="B139" s="4" t="n">
        <v>46080</v>
      </c>
      <c r="C139" t="inlineStr">
        <is>
          <t>S4</t>
        </is>
      </c>
      <c r="D139" t="inlineStr">
        <is>
          <t>ATH08</t>
        </is>
      </c>
      <c r="E139" t="inlineStr">
        <is>
          <t>Vendredi</t>
        </is>
      </c>
      <c r="F139" t="inlineStr">
        <is>
          <t>Collectif</t>
        </is>
      </c>
      <c r="G139" t="n">
        <v>110</v>
      </c>
      <c r="H139" t="n">
        <v>113</v>
      </c>
      <c r="I139" t="n">
        <v>1</v>
      </c>
      <c r="J139" t="n">
        <v>7</v>
      </c>
      <c r="K139" t="n">
        <v>187</v>
      </c>
      <c r="L139" t="n">
        <v>11.76</v>
      </c>
    </row>
    <row r="140">
      <c r="A140" t="inlineStr">
        <is>
          <t>S13</t>
        </is>
      </c>
      <c r="B140" s="4" t="n">
        <v>46083</v>
      </c>
      <c r="C140" t="inlineStr">
        <is>
          <t>S5</t>
        </is>
      </c>
      <c r="D140" t="inlineStr">
        <is>
          <t>ATH08</t>
        </is>
      </c>
      <c r="E140" t="inlineStr">
        <is>
          <t>Lundi</t>
        </is>
      </c>
      <c r="F140" t="inlineStr">
        <is>
          <t>Technique</t>
        </is>
      </c>
      <c r="G140" t="n">
        <v>75</v>
      </c>
      <c r="H140" t="n">
        <v>78</v>
      </c>
      <c r="I140" t="n">
        <v>1</v>
      </c>
      <c r="J140" t="n">
        <v>6</v>
      </c>
      <c r="K140" t="n">
        <v>172</v>
      </c>
      <c r="L140" t="n">
        <v>7.92</v>
      </c>
    </row>
    <row r="141">
      <c r="A141" t="inlineStr">
        <is>
          <t>S14</t>
        </is>
      </c>
      <c r="B141" s="4" t="n">
        <v>46085</v>
      </c>
      <c r="C141" t="inlineStr">
        <is>
          <t>S5</t>
        </is>
      </c>
      <c r="D141" t="inlineStr">
        <is>
          <t>ATH08</t>
        </is>
      </c>
      <c r="E141" t="inlineStr">
        <is>
          <t>Mercredi</t>
        </is>
      </c>
      <c r="F141" t="inlineStr">
        <is>
          <t>Intermittent</t>
        </is>
      </c>
      <c r="G141" t="n">
        <v>95</v>
      </c>
      <c r="H141" t="n">
        <v>94</v>
      </c>
      <c r="I141" t="n">
        <v>1</v>
      </c>
      <c r="J141" t="n">
        <v>9</v>
      </c>
      <c r="K141" t="n">
        <v>190</v>
      </c>
      <c r="L141" t="n">
        <v>8.210000000000001</v>
      </c>
    </row>
    <row r="142">
      <c r="A142" t="inlineStr">
        <is>
          <t>S15</t>
        </is>
      </c>
      <c r="B142" s="4" t="n">
        <v>46087</v>
      </c>
      <c r="C142" t="inlineStr">
        <is>
          <t>S5</t>
        </is>
      </c>
      <c r="D142" t="inlineStr">
        <is>
          <t>ATH08</t>
        </is>
      </c>
      <c r="E142" t="inlineStr">
        <is>
          <t>Vendredi</t>
        </is>
      </c>
      <c r="F142" t="inlineStr">
        <is>
          <t>Collectif</t>
        </is>
      </c>
      <c r="G142" t="n">
        <v>105</v>
      </c>
      <c r="H142" t="n">
        <v>109</v>
      </c>
      <c r="I142" t="n">
        <v>1</v>
      </c>
      <c r="J142" t="n">
        <v>6</v>
      </c>
      <c r="K142" t="n">
        <v>172</v>
      </c>
      <c r="L142" t="n">
        <v>13.11</v>
      </c>
    </row>
    <row r="143">
      <c r="A143" t="inlineStr">
        <is>
          <t>S16</t>
        </is>
      </c>
      <c r="B143" s="4" t="n">
        <v>46090</v>
      </c>
      <c r="C143" t="inlineStr">
        <is>
          <t>S6</t>
        </is>
      </c>
      <c r="D143" t="inlineStr">
        <is>
          <t>ATH08</t>
        </is>
      </c>
      <c r="E143" t="inlineStr">
        <is>
          <t>Lundi</t>
        </is>
      </c>
      <c r="F143" t="inlineStr">
        <is>
          <t>Force</t>
        </is>
      </c>
      <c r="G143" t="n">
        <v>70</v>
      </c>
      <c r="H143" t="n">
        <v>72</v>
      </c>
      <c r="I143" t="n">
        <v>1</v>
      </c>
      <c r="J143" t="n">
        <v>5</v>
      </c>
      <c r="K143" t="n">
        <v>181</v>
      </c>
      <c r="L143" t="n">
        <v>8.710000000000001</v>
      </c>
    </row>
    <row r="144">
      <c r="A144" t="inlineStr">
        <is>
          <t>S17</t>
        </is>
      </c>
      <c r="B144" s="4" t="n">
        <v>46092</v>
      </c>
      <c r="C144" t="inlineStr">
        <is>
          <t>S6</t>
        </is>
      </c>
      <c r="D144" t="inlineStr">
        <is>
          <t>ATH08</t>
        </is>
      </c>
      <c r="E144" t="inlineStr">
        <is>
          <t>Mercredi</t>
        </is>
      </c>
      <c r="F144" t="inlineStr">
        <is>
          <t>Intermittent</t>
        </is>
      </c>
      <c r="G144" t="n">
        <v>90</v>
      </c>
      <c r="H144" t="n">
        <v>85</v>
      </c>
      <c r="I144" t="n">
        <v>1</v>
      </c>
      <c r="J144" t="n">
        <v>4</v>
      </c>
      <c r="K144" t="n">
        <v>168</v>
      </c>
      <c r="L144" t="n">
        <v>7.33</v>
      </c>
    </row>
    <row r="145">
      <c r="A145" t="inlineStr">
        <is>
          <t>S18</t>
        </is>
      </c>
      <c r="B145" s="4" t="n">
        <v>46094</v>
      </c>
      <c r="C145" t="inlineStr">
        <is>
          <t>S6</t>
        </is>
      </c>
      <c r="D145" t="inlineStr">
        <is>
          <t>ATH08</t>
        </is>
      </c>
      <c r="E145" t="inlineStr">
        <is>
          <t>Vendredi</t>
        </is>
      </c>
      <c r="F145" t="inlineStr">
        <is>
          <t>Collectif</t>
        </is>
      </c>
      <c r="G145" t="n">
        <v>100</v>
      </c>
      <c r="H145" t="n">
        <v>99</v>
      </c>
      <c r="I145" t="n">
        <v>1</v>
      </c>
      <c r="J145" t="n">
        <v>4</v>
      </c>
      <c r="K145" t="n">
        <v>172</v>
      </c>
      <c r="L145" t="n">
        <v>11.36</v>
      </c>
    </row>
    <row r="146">
      <c r="A146" t="inlineStr">
        <is>
          <t>S01</t>
        </is>
      </c>
      <c r="B146" s="4" t="n">
        <v>46055</v>
      </c>
      <c r="C146" t="inlineStr">
        <is>
          <t>S1</t>
        </is>
      </c>
      <c r="D146" t="inlineStr">
        <is>
          <t>ATH09</t>
        </is>
      </c>
      <c r="E146" t="inlineStr">
        <is>
          <t>Lundi</t>
        </is>
      </c>
      <c r="F146" t="inlineStr">
        <is>
          <t>Technique</t>
        </is>
      </c>
      <c r="G146" t="n">
        <v>75</v>
      </c>
      <c r="H146" t="n">
        <v>79</v>
      </c>
      <c r="I146" t="n">
        <v>1</v>
      </c>
      <c r="J146" t="n">
        <v>4</v>
      </c>
      <c r="K146" t="n">
        <v>167</v>
      </c>
      <c r="L146" t="n">
        <v>9.08</v>
      </c>
    </row>
    <row r="147">
      <c r="A147" t="inlineStr">
        <is>
          <t>S02</t>
        </is>
      </c>
      <c r="B147" s="4" t="n">
        <v>46057</v>
      </c>
      <c r="C147" t="inlineStr">
        <is>
          <t>S1</t>
        </is>
      </c>
      <c r="D147" t="inlineStr">
        <is>
          <t>ATH09</t>
        </is>
      </c>
      <c r="E147" t="inlineStr">
        <is>
          <t>Mercredi</t>
        </is>
      </c>
      <c r="F147" t="inlineStr">
        <is>
          <t>Intermittent</t>
        </is>
      </c>
      <c r="G147" t="n">
        <v>90</v>
      </c>
      <c r="H147" t="n">
        <v>88</v>
      </c>
      <c r="I147" t="n">
        <v>1</v>
      </c>
      <c r="J147" t="n">
        <v>6</v>
      </c>
      <c r="K147" t="n">
        <v>177</v>
      </c>
      <c r="L147" t="n">
        <v>8.470000000000001</v>
      </c>
    </row>
    <row r="148">
      <c r="A148" t="inlineStr">
        <is>
          <t>S03</t>
        </is>
      </c>
      <c r="B148" s="4" t="n">
        <v>46059</v>
      </c>
      <c r="C148" t="inlineStr">
        <is>
          <t>S1</t>
        </is>
      </c>
      <c r="D148" t="inlineStr">
        <is>
          <t>ATH09</t>
        </is>
      </c>
      <c r="E148" t="inlineStr">
        <is>
          <t>Vendredi</t>
        </is>
      </c>
      <c r="F148" t="inlineStr">
        <is>
          <t>Collectif</t>
        </is>
      </c>
      <c r="G148" t="n">
        <v>105</v>
      </c>
      <c r="H148" t="n">
        <v>106</v>
      </c>
      <c r="I148" t="n">
        <v>1</v>
      </c>
      <c r="J148" t="n">
        <v>4</v>
      </c>
      <c r="K148" t="n">
        <v>165</v>
      </c>
      <c r="L148" t="n">
        <v>10.72</v>
      </c>
    </row>
    <row r="149">
      <c r="A149" t="inlineStr">
        <is>
          <t>S04</t>
        </is>
      </c>
      <c r="B149" s="4" t="n">
        <v>46062</v>
      </c>
      <c r="C149" t="inlineStr">
        <is>
          <t>S2</t>
        </is>
      </c>
      <c r="D149" t="inlineStr">
        <is>
          <t>ATH09</t>
        </is>
      </c>
      <c r="E149" t="inlineStr">
        <is>
          <t>Lundi</t>
        </is>
      </c>
      <c r="F149" t="inlineStr">
        <is>
          <t>Force</t>
        </is>
      </c>
      <c r="G149" t="n">
        <v>70</v>
      </c>
      <c r="H149" t="n">
        <v>74</v>
      </c>
      <c r="I149" t="n">
        <v>1</v>
      </c>
      <c r="J149" t="n">
        <v>6</v>
      </c>
      <c r="K149" t="n">
        <v>179</v>
      </c>
      <c r="L149" t="n">
        <v>8.529999999999999</v>
      </c>
    </row>
    <row r="150">
      <c r="A150" t="inlineStr">
        <is>
          <t>S05</t>
        </is>
      </c>
      <c r="B150" s="4" t="n">
        <v>46064</v>
      </c>
      <c r="C150" t="inlineStr">
        <is>
          <t>S2</t>
        </is>
      </c>
      <c r="D150" t="inlineStr">
        <is>
          <t>ATH09</t>
        </is>
      </c>
      <c r="E150" t="inlineStr">
        <is>
          <t>Mercredi</t>
        </is>
      </c>
      <c r="F150" t="inlineStr">
        <is>
          <t>Intermittent</t>
        </is>
      </c>
      <c r="G150" t="n">
        <v>90</v>
      </c>
      <c r="H150" t="n">
        <v>89</v>
      </c>
      <c r="I150" t="n">
        <v>1</v>
      </c>
      <c r="J150" t="n">
        <v>8</v>
      </c>
      <c r="K150" t="n">
        <v>188</v>
      </c>
      <c r="L150" t="n">
        <v>8.69</v>
      </c>
    </row>
    <row r="151">
      <c r="A151" t="inlineStr">
        <is>
          <t>S06</t>
        </is>
      </c>
      <c r="B151" s="4" t="n">
        <v>46066</v>
      </c>
      <c r="C151" t="inlineStr">
        <is>
          <t>S2</t>
        </is>
      </c>
      <c r="D151" t="inlineStr">
        <is>
          <t>ATH09</t>
        </is>
      </c>
      <c r="E151" t="inlineStr">
        <is>
          <t>Vendredi</t>
        </is>
      </c>
      <c r="F151" t="inlineStr">
        <is>
          <t>Collectif</t>
        </is>
      </c>
      <c r="G151" t="n">
        <v>110</v>
      </c>
      <c r="H151" t="n">
        <v>106</v>
      </c>
      <c r="I151" t="n">
        <v>1</v>
      </c>
      <c r="J151" t="n">
        <v>7</v>
      </c>
      <c r="K151" t="n">
        <v>185</v>
      </c>
      <c r="L151" t="n">
        <v>9.75</v>
      </c>
    </row>
    <row r="152">
      <c r="A152" t="inlineStr">
        <is>
          <t>S07</t>
        </is>
      </c>
      <c r="B152" s="4" t="n">
        <v>46069</v>
      </c>
      <c r="C152" t="inlineStr">
        <is>
          <t>S3</t>
        </is>
      </c>
      <c r="D152" t="inlineStr">
        <is>
          <t>ATH09</t>
        </is>
      </c>
      <c r="E152" t="inlineStr">
        <is>
          <t>Lundi</t>
        </is>
      </c>
      <c r="F152" t="inlineStr">
        <is>
          <t>Technique</t>
        </is>
      </c>
      <c r="G152" t="n">
        <v>75</v>
      </c>
      <c r="H152" t="n">
        <v>74</v>
      </c>
      <c r="I152" t="n">
        <v>1</v>
      </c>
      <c r="J152" t="n">
        <v>5</v>
      </c>
      <c r="K152" t="n">
        <v>161</v>
      </c>
      <c r="L152" t="n">
        <v>8.66</v>
      </c>
    </row>
    <row r="153">
      <c r="A153" t="inlineStr">
        <is>
          <t>S08</t>
        </is>
      </c>
      <c r="B153" s="4" t="n">
        <v>46071</v>
      </c>
      <c r="C153" t="inlineStr">
        <is>
          <t>S3</t>
        </is>
      </c>
      <c r="D153" t="inlineStr">
        <is>
          <t>ATH09</t>
        </is>
      </c>
      <c r="E153" t="inlineStr">
        <is>
          <t>Mercredi</t>
        </is>
      </c>
      <c r="F153" t="inlineStr">
        <is>
          <t>Intermittent</t>
        </is>
      </c>
      <c r="G153" t="n">
        <v>95</v>
      </c>
      <c r="H153" t="n">
        <v>99</v>
      </c>
      <c r="I153" t="n">
        <v>1</v>
      </c>
      <c r="J153" t="n">
        <v>8</v>
      </c>
      <c r="K153" t="n">
        <v>179</v>
      </c>
      <c r="L153" t="n">
        <v>12.33</v>
      </c>
    </row>
    <row r="154">
      <c r="A154" t="inlineStr">
        <is>
          <t>S09</t>
        </is>
      </c>
      <c r="B154" s="4" t="n">
        <v>46073</v>
      </c>
      <c r="C154" t="inlineStr">
        <is>
          <t>S3</t>
        </is>
      </c>
      <c r="D154" t="inlineStr">
        <is>
          <t>ATH09</t>
        </is>
      </c>
      <c r="E154" t="inlineStr">
        <is>
          <t>Vendredi</t>
        </is>
      </c>
      <c r="F154" t="inlineStr">
        <is>
          <t>Collectif</t>
        </is>
      </c>
      <c r="G154" t="n">
        <v>105</v>
      </c>
      <c r="H154" t="n">
        <v>107</v>
      </c>
      <c r="I154" t="n">
        <v>1</v>
      </c>
      <c r="J154" t="n">
        <v>7</v>
      </c>
      <c r="K154" t="n">
        <v>175</v>
      </c>
      <c r="L154" t="n">
        <v>11.41</v>
      </c>
    </row>
    <row r="155">
      <c r="A155" t="inlineStr">
        <is>
          <t>S10</t>
        </is>
      </c>
      <c r="B155" s="4" t="n">
        <v>46076</v>
      </c>
      <c r="C155" t="inlineStr">
        <is>
          <t>S4</t>
        </is>
      </c>
      <c r="D155" t="inlineStr">
        <is>
          <t>ATH09</t>
        </is>
      </c>
      <c r="E155" t="inlineStr">
        <is>
          <t>Lundi</t>
        </is>
      </c>
      <c r="F155" t="inlineStr">
        <is>
          <t>Force</t>
        </is>
      </c>
      <c r="G155" t="n">
        <v>70</v>
      </c>
      <c r="H155" t="n">
        <v>68</v>
      </c>
      <c r="I155" t="n">
        <v>1</v>
      </c>
      <c r="J155" t="n">
        <v>6</v>
      </c>
      <c r="K155" t="n">
        <v>177</v>
      </c>
      <c r="L155" t="n">
        <v>7.28</v>
      </c>
    </row>
    <row r="156">
      <c r="A156" t="inlineStr">
        <is>
          <t>S11</t>
        </is>
      </c>
      <c r="B156" s="4" t="n">
        <v>46078</v>
      </c>
      <c r="C156" t="inlineStr">
        <is>
          <t>S4</t>
        </is>
      </c>
      <c r="D156" t="inlineStr">
        <is>
          <t>ATH09</t>
        </is>
      </c>
      <c r="E156" t="inlineStr">
        <is>
          <t>Mercredi</t>
        </is>
      </c>
      <c r="F156" t="inlineStr">
        <is>
          <t>Intermittent</t>
        </is>
      </c>
      <c r="G156" t="n">
        <v>90</v>
      </c>
      <c r="H156" t="n">
        <v>94</v>
      </c>
      <c r="I156" t="n">
        <v>1</v>
      </c>
      <c r="J156" t="n">
        <v>6</v>
      </c>
      <c r="K156" t="n">
        <v>182</v>
      </c>
      <c r="L156" t="n">
        <v>9.49</v>
      </c>
    </row>
    <row r="157">
      <c r="A157" t="inlineStr">
        <is>
          <t>S12</t>
        </is>
      </c>
      <c r="B157" s="4" t="n">
        <v>46080</v>
      </c>
      <c r="C157" t="inlineStr">
        <is>
          <t>S4</t>
        </is>
      </c>
      <c r="D157" t="inlineStr">
        <is>
          <t>ATH09</t>
        </is>
      </c>
      <c r="E157" t="inlineStr">
        <is>
          <t>Vendredi</t>
        </is>
      </c>
      <c r="F157" t="inlineStr">
        <is>
          <t>Collectif</t>
        </is>
      </c>
      <c r="G157" t="n">
        <v>110</v>
      </c>
      <c r="H157" t="n">
        <v>112</v>
      </c>
      <c r="I157" t="n">
        <v>1</v>
      </c>
      <c r="J157" t="n">
        <v>5</v>
      </c>
      <c r="K157" t="n">
        <v>173</v>
      </c>
      <c r="L157" t="n">
        <v>14.03</v>
      </c>
    </row>
    <row r="158">
      <c r="A158" t="inlineStr">
        <is>
          <t>S13</t>
        </is>
      </c>
      <c r="B158" s="4" t="n">
        <v>46083</v>
      </c>
      <c r="C158" t="inlineStr">
        <is>
          <t>S5</t>
        </is>
      </c>
      <c r="D158" t="inlineStr">
        <is>
          <t>ATH09</t>
        </is>
      </c>
      <c r="E158" t="inlineStr">
        <is>
          <t>Lundi</t>
        </is>
      </c>
      <c r="F158" t="inlineStr">
        <is>
          <t>Technique</t>
        </is>
      </c>
      <c r="G158" t="n">
        <v>75</v>
      </c>
      <c r="H158" t="n">
        <v>74</v>
      </c>
      <c r="I158" t="n">
        <v>1</v>
      </c>
      <c r="J158" t="n">
        <v>4</v>
      </c>
      <c r="K158" t="n">
        <v>161</v>
      </c>
      <c r="L158" t="n">
        <v>8.16</v>
      </c>
    </row>
    <row r="159">
      <c r="A159" t="inlineStr">
        <is>
          <t>S14</t>
        </is>
      </c>
      <c r="B159" s="4" t="n">
        <v>46085</v>
      </c>
      <c r="C159" t="inlineStr">
        <is>
          <t>S5</t>
        </is>
      </c>
      <c r="D159" t="inlineStr">
        <is>
          <t>ATH09</t>
        </is>
      </c>
      <c r="E159" t="inlineStr">
        <is>
          <t>Mercredi</t>
        </is>
      </c>
      <c r="F159" t="inlineStr">
        <is>
          <t>Intermittent</t>
        </is>
      </c>
      <c r="G159" t="n">
        <v>95</v>
      </c>
      <c r="H159" t="n">
        <v>98</v>
      </c>
      <c r="I159" t="n">
        <v>1</v>
      </c>
      <c r="J159" t="n">
        <v>8</v>
      </c>
      <c r="K159" t="n">
        <v>186</v>
      </c>
      <c r="L159" t="n">
        <v>11.11</v>
      </c>
    </row>
    <row r="160">
      <c r="A160" t="inlineStr">
        <is>
          <t>S15</t>
        </is>
      </c>
      <c r="B160" s="4" t="n">
        <v>46087</v>
      </c>
      <c r="C160" t="inlineStr">
        <is>
          <t>S5</t>
        </is>
      </c>
      <c r="D160" t="inlineStr">
        <is>
          <t>ATH09</t>
        </is>
      </c>
      <c r="E160" t="inlineStr">
        <is>
          <t>Vendredi</t>
        </is>
      </c>
      <c r="F160" t="inlineStr">
        <is>
          <t>Collectif</t>
        </is>
      </c>
      <c r="G160" t="n">
        <v>105</v>
      </c>
      <c r="H160" t="n">
        <v>105</v>
      </c>
      <c r="I160" t="n">
        <v>1</v>
      </c>
      <c r="J160" t="n">
        <v>6</v>
      </c>
      <c r="K160" t="n">
        <v>167</v>
      </c>
      <c r="L160" t="n">
        <v>8.69</v>
      </c>
    </row>
    <row r="161">
      <c r="A161" t="inlineStr">
        <is>
          <t>S16</t>
        </is>
      </c>
      <c r="B161" s="4" t="n">
        <v>46090</v>
      </c>
      <c r="C161" t="inlineStr">
        <is>
          <t>S6</t>
        </is>
      </c>
      <c r="D161" t="inlineStr">
        <is>
          <t>ATH09</t>
        </is>
      </c>
      <c r="E161" t="inlineStr">
        <is>
          <t>Lundi</t>
        </is>
      </c>
      <c r="F161" t="inlineStr">
        <is>
          <t>Force</t>
        </is>
      </c>
      <c r="G161" t="n">
        <v>70</v>
      </c>
      <c r="H161" t="n">
        <v>75</v>
      </c>
      <c r="I161" t="n">
        <v>1</v>
      </c>
      <c r="J161" t="n">
        <v>3</v>
      </c>
      <c r="K161" t="n">
        <v>160</v>
      </c>
      <c r="L161" t="n">
        <v>7.76</v>
      </c>
    </row>
    <row r="162">
      <c r="A162" t="inlineStr">
        <is>
          <t>S17</t>
        </is>
      </c>
      <c r="B162" s="4" t="n">
        <v>46092</v>
      </c>
      <c r="C162" t="inlineStr">
        <is>
          <t>S6</t>
        </is>
      </c>
      <c r="D162" t="inlineStr">
        <is>
          <t>ATH09</t>
        </is>
      </c>
      <c r="E162" t="inlineStr">
        <is>
          <t>Mercredi</t>
        </is>
      </c>
      <c r="F162" t="inlineStr">
        <is>
          <t>Intermittent</t>
        </is>
      </c>
      <c r="G162" t="n">
        <v>90</v>
      </c>
      <c r="H162" t="n">
        <v>93</v>
      </c>
      <c r="I162" t="n">
        <v>1</v>
      </c>
      <c r="J162" t="n">
        <v>7</v>
      </c>
      <c r="K162" t="n">
        <v>184</v>
      </c>
      <c r="L162" t="n">
        <v>9.65</v>
      </c>
    </row>
    <row r="163">
      <c r="A163" t="inlineStr">
        <is>
          <t>S18</t>
        </is>
      </c>
      <c r="B163" s="4" t="n">
        <v>46094</v>
      </c>
      <c r="C163" t="inlineStr">
        <is>
          <t>S6</t>
        </is>
      </c>
      <c r="D163" t="inlineStr">
        <is>
          <t>ATH09</t>
        </is>
      </c>
      <c r="E163" t="inlineStr">
        <is>
          <t>Vendredi</t>
        </is>
      </c>
      <c r="F163" t="inlineStr">
        <is>
          <t>Collectif</t>
        </is>
      </c>
      <c r="G163" t="n">
        <v>100</v>
      </c>
      <c r="H163" t="n">
        <v>95</v>
      </c>
      <c r="I163" t="n">
        <v>1</v>
      </c>
      <c r="J163" t="n">
        <v>8</v>
      </c>
      <c r="K163" t="n">
        <v>190</v>
      </c>
      <c r="L163" t="n">
        <v>9.77</v>
      </c>
    </row>
    <row r="164">
      <c r="A164" t="inlineStr">
        <is>
          <t>S01</t>
        </is>
      </c>
      <c r="B164" s="4" t="n">
        <v>46055</v>
      </c>
      <c r="C164" t="inlineStr">
        <is>
          <t>S1</t>
        </is>
      </c>
      <c r="D164" t="inlineStr">
        <is>
          <t>ATH10</t>
        </is>
      </c>
      <c r="E164" t="inlineStr">
        <is>
          <t>Lundi</t>
        </is>
      </c>
      <c r="F164" t="inlineStr">
        <is>
          <t>Technique</t>
        </is>
      </c>
      <c r="G164" t="n">
        <v>75</v>
      </c>
      <c r="H164" t="n">
        <v>77</v>
      </c>
      <c r="I164" t="n">
        <v>1</v>
      </c>
      <c r="J164" t="n">
        <v>3</v>
      </c>
      <c r="K164" t="n">
        <v>154</v>
      </c>
      <c r="L164" t="n">
        <v>7.4</v>
      </c>
    </row>
    <row r="165">
      <c r="A165" t="inlineStr">
        <is>
          <t>S02</t>
        </is>
      </c>
      <c r="B165" s="4" t="n">
        <v>46057</v>
      </c>
      <c r="C165" t="inlineStr">
        <is>
          <t>S1</t>
        </is>
      </c>
      <c r="D165" t="inlineStr">
        <is>
          <t>ATH10</t>
        </is>
      </c>
      <c r="E165" t="inlineStr">
        <is>
          <t>Mercredi</t>
        </is>
      </c>
      <c r="F165" t="inlineStr">
        <is>
          <t>Intermittent</t>
        </is>
      </c>
      <c r="G165" t="n">
        <v>90</v>
      </c>
      <c r="H165" t="n">
        <v>91</v>
      </c>
      <c r="I165" t="n">
        <v>1</v>
      </c>
      <c r="J165" t="n">
        <v>7</v>
      </c>
      <c r="K165" t="n">
        <v>179</v>
      </c>
      <c r="L165" t="n">
        <v>9.140000000000001</v>
      </c>
    </row>
    <row r="166">
      <c r="A166" t="inlineStr">
        <is>
          <t>S03</t>
        </is>
      </c>
      <c r="B166" s="4" t="n">
        <v>46059</v>
      </c>
      <c r="C166" t="inlineStr">
        <is>
          <t>S1</t>
        </is>
      </c>
      <c r="D166" t="inlineStr">
        <is>
          <t>ATH10</t>
        </is>
      </c>
      <c r="E166" t="inlineStr">
        <is>
          <t>Vendredi</t>
        </is>
      </c>
      <c r="F166" t="inlineStr">
        <is>
          <t>Collectif</t>
        </is>
      </c>
      <c r="G166" t="n">
        <v>105</v>
      </c>
      <c r="H166" t="n">
        <v>107</v>
      </c>
      <c r="I166" t="n">
        <v>1</v>
      </c>
      <c r="J166" t="n">
        <v>5</v>
      </c>
      <c r="K166" t="n">
        <v>176</v>
      </c>
      <c r="L166" t="n">
        <v>8.960000000000001</v>
      </c>
    </row>
    <row r="167">
      <c r="A167" t="inlineStr">
        <is>
          <t>S04</t>
        </is>
      </c>
      <c r="B167" s="4" t="n">
        <v>46062</v>
      </c>
      <c r="C167" t="inlineStr">
        <is>
          <t>S2</t>
        </is>
      </c>
      <c r="D167" t="inlineStr">
        <is>
          <t>ATH10</t>
        </is>
      </c>
      <c r="E167" t="inlineStr">
        <is>
          <t>Lundi</t>
        </is>
      </c>
      <c r="F167" t="inlineStr">
        <is>
          <t>Force</t>
        </is>
      </c>
      <c r="G167" t="n">
        <v>70</v>
      </c>
      <c r="H167" t="n">
        <v>65</v>
      </c>
      <c r="I167" t="n">
        <v>1</v>
      </c>
      <c r="J167" t="n">
        <v>7</v>
      </c>
      <c r="K167" t="n">
        <v>179</v>
      </c>
      <c r="L167" t="n">
        <v>6.67</v>
      </c>
    </row>
    <row r="168">
      <c r="A168" t="inlineStr">
        <is>
          <t>S05</t>
        </is>
      </c>
      <c r="B168" s="4" t="n">
        <v>46064</v>
      </c>
      <c r="C168" t="inlineStr">
        <is>
          <t>S2</t>
        </is>
      </c>
      <c r="D168" t="inlineStr">
        <is>
          <t>ATH10</t>
        </is>
      </c>
      <c r="E168" t="inlineStr">
        <is>
          <t>Mercredi</t>
        </is>
      </c>
      <c r="F168" t="inlineStr">
        <is>
          <t>Intermittent</t>
        </is>
      </c>
      <c r="G168" t="n">
        <v>90</v>
      </c>
      <c r="H168" t="n">
        <v>91</v>
      </c>
      <c r="I168" t="n">
        <v>1</v>
      </c>
      <c r="J168" t="n">
        <v>7</v>
      </c>
      <c r="K168" t="n">
        <v>172</v>
      </c>
      <c r="L168" t="n">
        <v>8.99</v>
      </c>
    </row>
    <row r="169">
      <c r="A169" t="inlineStr">
        <is>
          <t>S06</t>
        </is>
      </c>
      <c r="B169" s="4" t="n">
        <v>46066</v>
      </c>
      <c r="C169" t="inlineStr">
        <is>
          <t>S2</t>
        </is>
      </c>
      <c r="D169" t="inlineStr">
        <is>
          <t>ATH10</t>
        </is>
      </c>
      <c r="E169" t="inlineStr">
        <is>
          <t>Vendredi</t>
        </is>
      </c>
      <c r="F169" t="inlineStr">
        <is>
          <t>Collectif</t>
        </is>
      </c>
      <c r="G169" t="n">
        <v>110</v>
      </c>
      <c r="H169" t="n">
        <v>106</v>
      </c>
      <c r="I169" t="n">
        <v>1</v>
      </c>
      <c r="J169" t="n">
        <v>7</v>
      </c>
      <c r="K169" t="n">
        <v>169</v>
      </c>
      <c r="L169" t="n">
        <v>10.48</v>
      </c>
    </row>
    <row r="170">
      <c r="A170" t="inlineStr">
        <is>
          <t>S07</t>
        </is>
      </c>
      <c r="B170" s="4" t="n">
        <v>46069</v>
      </c>
      <c r="C170" t="inlineStr">
        <is>
          <t>S3</t>
        </is>
      </c>
      <c r="D170" t="inlineStr">
        <is>
          <t>ATH10</t>
        </is>
      </c>
      <c r="E170" t="inlineStr">
        <is>
          <t>Lundi</t>
        </is>
      </c>
      <c r="F170" t="inlineStr">
        <is>
          <t>Technique</t>
        </is>
      </c>
      <c r="G170" t="n">
        <v>75</v>
      </c>
      <c r="H170" t="n">
        <v>77</v>
      </c>
      <c r="I170" t="n">
        <v>1</v>
      </c>
      <c r="J170" t="n">
        <v>3</v>
      </c>
      <c r="K170" t="n">
        <v>157</v>
      </c>
      <c r="L170" t="n">
        <v>8.390000000000001</v>
      </c>
    </row>
    <row r="171">
      <c r="A171" t="inlineStr">
        <is>
          <t>S08</t>
        </is>
      </c>
      <c r="B171" s="4" t="n">
        <v>46071</v>
      </c>
      <c r="C171" t="inlineStr">
        <is>
          <t>S3</t>
        </is>
      </c>
      <c r="D171" t="inlineStr">
        <is>
          <t>ATH10</t>
        </is>
      </c>
      <c r="E171" t="inlineStr">
        <is>
          <t>Mercredi</t>
        </is>
      </c>
      <c r="F171" t="inlineStr">
        <is>
          <t>Intermittent</t>
        </is>
      </c>
      <c r="G171" t="n">
        <v>95</v>
      </c>
      <c r="H171" t="n">
        <v>90</v>
      </c>
      <c r="I171" t="n">
        <v>1</v>
      </c>
      <c r="J171" t="n">
        <v>7</v>
      </c>
      <c r="K171" t="n">
        <v>178</v>
      </c>
      <c r="L171" t="n">
        <v>10.04</v>
      </c>
    </row>
    <row r="172">
      <c r="A172" t="inlineStr">
        <is>
          <t>S09</t>
        </is>
      </c>
      <c r="B172" s="4" t="n">
        <v>46073</v>
      </c>
      <c r="C172" t="inlineStr">
        <is>
          <t>S3</t>
        </is>
      </c>
      <c r="D172" t="inlineStr">
        <is>
          <t>ATH10</t>
        </is>
      </c>
      <c r="E172" t="inlineStr">
        <is>
          <t>Vendredi</t>
        </is>
      </c>
      <c r="F172" t="inlineStr">
        <is>
          <t>Collectif</t>
        </is>
      </c>
      <c r="G172" t="n">
        <v>105</v>
      </c>
      <c r="H172" t="n">
        <v>107</v>
      </c>
      <c r="I172" t="n">
        <v>1</v>
      </c>
      <c r="J172" t="n">
        <v>6</v>
      </c>
      <c r="K172" t="n">
        <v>173</v>
      </c>
      <c r="L172" t="n">
        <v>10.33</v>
      </c>
    </row>
    <row r="173">
      <c r="A173" t="inlineStr">
        <is>
          <t>S10</t>
        </is>
      </c>
      <c r="B173" s="4" t="n">
        <v>46076</v>
      </c>
      <c r="C173" t="inlineStr">
        <is>
          <t>S4</t>
        </is>
      </c>
      <c r="D173" t="inlineStr">
        <is>
          <t>ATH10</t>
        </is>
      </c>
      <c r="E173" t="inlineStr">
        <is>
          <t>Lundi</t>
        </is>
      </c>
      <c r="F173" t="inlineStr">
        <is>
          <t>Force</t>
        </is>
      </c>
      <c r="G173" t="n">
        <v>70</v>
      </c>
      <c r="H173" t="n">
        <v>71</v>
      </c>
      <c r="I173" t="n">
        <v>1</v>
      </c>
      <c r="J173" t="n">
        <v>5</v>
      </c>
      <c r="K173" t="n">
        <v>163</v>
      </c>
      <c r="L173" t="n">
        <v>7.98</v>
      </c>
    </row>
    <row r="174">
      <c r="A174" t="inlineStr">
        <is>
          <t>S11</t>
        </is>
      </c>
      <c r="B174" s="4" t="n">
        <v>46078</v>
      </c>
      <c r="C174" t="inlineStr">
        <is>
          <t>S4</t>
        </is>
      </c>
      <c r="D174" t="inlineStr">
        <is>
          <t>ATH10</t>
        </is>
      </c>
      <c r="E174" t="inlineStr">
        <is>
          <t>Mercredi</t>
        </is>
      </c>
      <c r="F174" t="inlineStr">
        <is>
          <t>Intermittent</t>
        </is>
      </c>
      <c r="G174" t="n">
        <v>90</v>
      </c>
      <c r="H174" t="n">
        <v>89</v>
      </c>
      <c r="I174" t="n">
        <v>1</v>
      </c>
      <c r="J174" t="n">
        <v>7</v>
      </c>
      <c r="K174" t="n">
        <v>185</v>
      </c>
      <c r="L174" t="n">
        <v>8.98</v>
      </c>
    </row>
    <row r="175">
      <c r="A175" t="inlineStr">
        <is>
          <t>S12</t>
        </is>
      </c>
      <c r="B175" s="4" t="n">
        <v>46080</v>
      </c>
      <c r="C175" t="inlineStr">
        <is>
          <t>S4</t>
        </is>
      </c>
      <c r="D175" t="inlineStr">
        <is>
          <t>ATH10</t>
        </is>
      </c>
      <c r="E175" t="inlineStr">
        <is>
          <t>Vendredi</t>
        </is>
      </c>
      <c r="F175" t="inlineStr">
        <is>
          <t>Collectif</t>
        </is>
      </c>
      <c r="G175" t="n">
        <v>110</v>
      </c>
      <c r="H175" t="n">
        <v>107</v>
      </c>
      <c r="I175" t="n">
        <v>1</v>
      </c>
      <c r="J175" t="n">
        <v>6</v>
      </c>
      <c r="K175" t="n">
        <v>180</v>
      </c>
      <c r="L175" t="n">
        <v>10.7</v>
      </c>
    </row>
    <row r="176">
      <c r="A176" t="inlineStr">
        <is>
          <t>S13</t>
        </is>
      </c>
      <c r="B176" s="4" t="n">
        <v>46083</v>
      </c>
      <c r="C176" t="inlineStr">
        <is>
          <t>S5</t>
        </is>
      </c>
      <c r="D176" t="inlineStr">
        <is>
          <t>ATH10</t>
        </is>
      </c>
      <c r="E176" t="inlineStr">
        <is>
          <t>Lundi</t>
        </is>
      </c>
      <c r="F176" t="inlineStr">
        <is>
          <t>Technique</t>
        </is>
      </c>
      <c r="G176" t="n">
        <v>75</v>
      </c>
      <c r="H176" t="n">
        <v>74</v>
      </c>
      <c r="I176" t="n">
        <v>1</v>
      </c>
      <c r="J176" t="n">
        <v>5</v>
      </c>
      <c r="K176" t="n">
        <v>168</v>
      </c>
      <c r="L176" t="n">
        <v>7.92</v>
      </c>
    </row>
    <row r="177">
      <c r="A177" t="inlineStr">
        <is>
          <t>S14</t>
        </is>
      </c>
      <c r="B177" s="4" t="n">
        <v>46085</v>
      </c>
      <c r="C177" t="inlineStr">
        <is>
          <t>S5</t>
        </is>
      </c>
      <c r="D177" t="inlineStr">
        <is>
          <t>ATH10</t>
        </is>
      </c>
      <c r="E177" t="inlineStr">
        <is>
          <t>Mercredi</t>
        </is>
      </c>
      <c r="F177" t="inlineStr">
        <is>
          <t>Intermittent</t>
        </is>
      </c>
      <c r="G177" t="n">
        <v>95</v>
      </c>
      <c r="H177" t="n">
        <v>97</v>
      </c>
      <c r="I177" t="n">
        <v>1</v>
      </c>
      <c r="J177" t="n">
        <v>8</v>
      </c>
      <c r="K177" t="n">
        <v>185</v>
      </c>
      <c r="L177" t="n">
        <v>9.9</v>
      </c>
    </row>
    <row r="178">
      <c r="A178" t="inlineStr">
        <is>
          <t>S15</t>
        </is>
      </c>
      <c r="B178" s="4" t="n">
        <v>46087</v>
      </c>
      <c r="C178" t="inlineStr">
        <is>
          <t>S5</t>
        </is>
      </c>
      <c r="D178" t="inlineStr">
        <is>
          <t>ATH10</t>
        </is>
      </c>
      <c r="E178" t="inlineStr">
        <is>
          <t>Vendredi</t>
        </is>
      </c>
      <c r="F178" t="inlineStr">
        <is>
          <t>Collectif</t>
        </is>
      </c>
      <c r="G178" t="n">
        <v>105</v>
      </c>
      <c r="H178" t="n">
        <v>108</v>
      </c>
      <c r="I178" t="n">
        <v>1</v>
      </c>
      <c r="J178" t="n">
        <v>6</v>
      </c>
      <c r="K178" t="n">
        <v>168</v>
      </c>
      <c r="L178" t="n">
        <v>11.98</v>
      </c>
    </row>
    <row r="179">
      <c r="A179" t="inlineStr">
        <is>
          <t>S16</t>
        </is>
      </c>
      <c r="B179" s="4" t="n">
        <v>46090</v>
      </c>
      <c r="C179" t="inlineStr">
        <is>
          <t>S6</t>
        </is>
      </c>
      <c r="D179" t="inlineStr">
        <is>
          <t>ATH10</t>
        </is>
      </c>
      <c r="E179" t="inlineStr">
        <is>
          <t>Lundi</t>
        </is>
      </c>
      <c r="F179" t="inlineStr">
        <is>
          <t>Force</t>
        </is>
      </c>
      <c r="G179" t="n">
        <v>70</v>
      </c>
      <c r="H179" t="n">
        <v>70</v>
      </c>
      <c r="I179" t="n">
        <v>1</v>
      </c>
      <c r="J179" t="n">
        <v>4</v>
      </c>
      <c r="K179" t="n">
        <v>163</v>
      </c>
      <c r="L179" t="n">
        <v>7.52</v>
      </c>
    </row>
    <row r="180">
      <c r="A180" t="inlineStr">
        <is>
          <t>S17</t>
        </is>
      </c>
      <c r="B180" s="4" t="n">
        <v>46092</v>
      </c>
      <c r="C180" t="inlineStr">
        <is>
          <t>S6</t>
        </is>
      </c>
      <c r="D180" t="inlineStr">
        <is>
          <t>ATH10</t>
        </is>
      </c>
      <c r="E180" t="inlineStr">
        <is>
          <t>Mercredi</t>
        </is>
      </c>
      <c r="F180" t="inlineStr">
        <is>
          <t>Intermittent</t>
        </is>
      </c>
      <c r="G180" t="n">
        <v>90</v>
      </c>
      <c r="H180" t="n">
        <v>89</v>
      </c>
      <c r="I180" t="n">
        <v>1</v>
      </c>
      <c r="J180" t="n">
        <v>7</v>
      </c>
      <c r="K180" t="n">
        <v>180</v>
      </c>
      <c r="L180" t="n">
        <v>10.28</v>
      </c>
    </row>
    <row r="181">
      <c r="A181" t="inlineStr">
        <is>
          <t>S18</t>
        </is>
      </c>
      <c r="B181" s="4" t="n">
        <v>46094</v>
      </c>
      <c r="C181" t="inlineStr">
        <is>
          <t>S6</t>
        </is>
      </c>
      <c r="D181" t="inlineStr">
        <is>
          <t>ATH10</t>
        </is>
      </c>
      <c r="E181" t="inlineStr">
        <is>
          <t>Vendredi</t>
        </is>
      </c>
      <c r="F181" t="inlineStr">
        <is>
          <t>Collectif</t>
        </is>
      </c>
      <c r="G181" t="n">
        <v>100</v>
      </c>
      <c r="H181" t="n">
        <v>104</v>
      </c>
      <c r="I181" t="n">
        <v>1</v>
      </c>
      <c r="J181" t="n">
        <v>5</v>
      </c>
      <c r="K181" t="n">
        <v>169</v>
      </c>
      <c r="L181" t="n">
        <v>10.86</v>
      </c>
    </row>
    <row r="182">
      <c r="A182" t="inlineStr">
        <is>
          <t>S01</t>
        </is>
      </c>
      <c r="B182" s="4" t="n">
        <v>46055</v>
      </c>
      <c r="C182" t="inlineStr">
        <is>
          <t>S1</t>
        </is>
      </c>
      <c r="D182" t="inlineStr">
        <is>
          <t>ATH11</t>
        </is>
      </c>
      <c r="E182" t="inlineStr">
        <is>
          <t>Lundi</t>
        </is>
      </c>
      <c r="F182" t="inlineStr">
        <is>
          <t>Technique</t>
        </is>
      </c>
      <c r="G182" t="n">
        <v>75</v>
      </c>
      <c r="H182" t="n">
        <v>76</v>
      </c>
      <c r="I182" t="n">
        <v>1</v>
      </c>
      <c r="J182" t="n">
        <v>4</v>
      </c>
      <c r="K182" t="n">
        <v>173</v>
      </c>
      <c r="L182" t="n">
        <v>8.93</v>
      </c>
    </row>
    <row r="183">
      <c r="A183" t="inlineStr">
        <is>
          <t>S02</t>
        </is>
      </c>
      <c r="B183" s="4" t="n">
        <v>46057</v>
      </c>
      <c r="C183" t="inlineStr">
        <is>
          <t>S1</t>
        </is>
      </c>
      <c r="D183" t="inlineStr">
        <is>
          <t>ATH11</t>
        </is>
      </c>
      <c r="E183" t="inlineStr">
        <is>
          <t>Mercredi</t>
        </is>
      </c>
      <c r="F183" t="inlineStr">
        <is>
          <t>Intermittent</t>
        </is>
      </c>
      <c r="G183" t="n">
        <v>90</v>
      </c>
      <c r="H183" t="n">
        <v>93</v>
      </c>
      <c r="I183" t="n">
        <v>1</v>
      </c>
      <c r="K183" t="n">
        <v>168</v>
      </c>
      <c r="L183" t="n">
        <v>9.300000000000001</v>
      </c>
    </row>
    <row r="184">
      <c r="A184" t="inlineStr">
        <is>
          <t>S03</t>
        </is>
      </c>
      <c r="B184" s="4" t="n">
        <v>46059</v>
      </c>
      <c r="C184" t="inlineStr">
        <is>
          <t>S1</t>
        </is>
      </c>
      <c r="D184" t="inlineStr">
        <is>
          <t>ATH11</t>
        </is>
      </c>
      <c r="E184" t="inlineStr">
        <is>
          <t>Vendredi</t>
        </is>
      </c>
      <c r="F184" t="inlineStr">
        <is>
          <t>Collectif</t>
        </is>
      </c>
      <c r="G184" t="n">
        <v>105</v>
      </c>
      <c r="H184" t="n">
        <v>105</v>
      </c>
      <c r="I184" t="n">
        <v>1</v>
      </c>
      <c r="J184" t="n">
        <v>6</v>
      </c>
      <c r="K184" t="n">
        <v>173</v>
      </c>
      <c r="L184" t="n">
        <v>12.04</v>
      </c>
    </row>
    <row r="185">
      <c r="A185" t="inlineStr">
        <is>
          <t>S04</t>
        </is>
      </c>
      <c r="B185" s="4" t="n">
        <v>46062</v>
      </c>
      <c r="C185" t="inlineStr">
        <is>
          <t>S2</t>
        </is>
      </c>
      <c r="D185" t="inlineStr">
        <is>
          <t>ATH11</t>
        </is>
      </c>
      <c r="E185" t="inlineStr">
        <is>
          <t>Lundi</t>
        </is>
      </c>
      <c r="F185" t="inlineStr">
        <is>
          <t>Force</t>
        </is>
      </c>
      <c r="G185" t="n">
        <v>70</v>
      </c>
      <c r="H185" t="n">
        <v>68</v>
      </c>
      <c r="I185" t="n">
        <v>1</v>
      </c>
      <c r="J185" t="n">
        <v>5</v>
      </c>
      <c r="K185" t="n">
        <v>177</v>
      </c>
      <c r="L185" t="n">
        <v>7.07</v>
      </c>
    </row>
    <row r="186">
      <c r="A186" t="inlineStr">
        <is>
          <t>S05</t>
        </is>
      </c>
      <c r="B186" s="4" t="n">
        <v>46064</v>
      </c>
      <c r="C186" t="inlineStr">
        <is>
          <t>S2</t>
        </is>
      </c>
      <c r="D186" t="inlineStr">
        <is>
          <t>ATH11</t>
        </is>
      </c>
      <c r="E186" t="inlineStr">
        <is>
          <t>Mercredi</t>
        </is>
      </c>
      <c r="F186" t="inlineStr">
        <is>
          <t>Intermittent</t>
        </is>
      </c>
      <c r="G186" t="n">
        <v>90</v>
      </c>
      <c r="H186" t="n">
        <v>92</v>
      </c>
      <c r="I186" t="n">
        <v>1</v>
      </c>
      <c r="J186" t="n">
        <v>9</v>
      </c>
      <c r="K186" t="n">
        <v>181</v>
      </c>
      <c r="L186" t="n">
        <v>9.57</v>
      </c>
    </row>
    <row r="187">
      <c r="A187" t="inlineStr">
        <is>
          <t>S06</t>
        </is>
      </c>
      <c r="B187" s="4" t="n">
        <v>46066</v>
      </c>
      <c r="C187" t="inlineStr">
        <is>
          <t>S2</t>
        </is>
      </c>
      <c r="D187" t="inlineStr">
        <is>
          <t>ATH11</t>
        </is>
      </c>
      <c r="E187" t="inlineStr">
        <is>
          <t>Vendredi</t>
        </is>
      </c>
      <c r="F187" t="inlineStr">
        <is>
          <t>Collectif</t>
        </is>
      </c>
      <c r="G187" t="n">
        <v>110</v>
      </c>
      <c r="H187" t="n">
        <v>108</v>
      </c>
      <c r="I187" t="n">
        <v>1</v>
      </c>
      <c r="J187" t="n">
        <v>6</v>
      </c>
      <c r="K187" t="n">
        <v>175</v>
      </c>
      <c r="L187" t="n">
        <v>13.55</v>
      </c>
    </row>
    <row r="188">
      <c r="A188" t="inlineStr">
        <is>
          <t>S07</t>
        </is>
      </c>
      <c r="B188" s="4" t="n">
        <v>46069</v>
      </c>
      <c r="C188" t="inlineStr">
        <is>
          <t>S3</t>
        </is>
      </c>
      <c r="D188" t="inlineStr">
        <is>
          <t>ATH11</t>
        </is>
      </c>
      <c r="E188" t="inlineStr">
        <is>
          <t>Lundi</t>
        </is>
      </c>
      <c r="F188" t="inlineStr">
        <is>
          <t>Technique</t>
        </is>
      </c>
      <c r="G188" t="n">
        <v>75</v>
      </c>
      <c r="H188" t="n">
        <v>71</v>
      </c>
      <c r="I188" t="n">
        <v>1</v>
      </c>
      <c r="J188" t="n">
        <v>3</v>
      </c>
      <c r="K188" t="n">
        <v>158</v>
      </c>
      <c r="L188" t="n">
        <v>7.59</v>
      </c>
    </row>
    <row r="189">
      <c r="A189" t="inlineStr">
        <is>
          <t>S08</t>
        </is>
      </c>
      <c r="B189" s="4" t="n">
        <v>46071</v>
      </c>
      <c r="C189" t="inlineStr">
        <is>
          <t>S3</t>
        </is>
      </c>
      <c r="D189" t="inlineStr">
        <is>
          <t>ATH11</t>
        </is>
      </c>
      <c r="E189" t="inlineStr">
        <is>
          <t>Mercredi</t>
        </is>
      </c>
      <c r="F189" t="inlineStr">
        <is>
          <t>Intermittent</t>
        </is>
      </c>
      <c r="G189" t="n">
        <v>95</v>
      </c>
      <c r="H189" t="n">
        <v>98</v>
      </c>
      <c r="I189" t="n">
        <v>1</v>
      </c>
      <c r="J189" t="n">
        <v>8</v>
      </c>
      <c r="K189" t="n">
        <v>181</v>
      </c>
      <c r="L189" t="n">
        <v>9.550000000000001</v>
      </c>
    </row>
    <row r="190">
      <c r="A190" t="inlineStr">
        <is>
          <t>S09</t>
        </is>
      </c>
      <c r="B190" s="4" t="n">
        <v>46073</v>
      </c>
      <c r="C190" t="inlineStr">
        <is>
          <t>S3</t>
        </is>
      </c>
      <c r="D190" t="inlineStr">
        <is>
          <t>ATH11</t>
        </is>
      </c>
      <c r="E190" t="inlineStr">
        <is>
          <t>Vendredi</t>
        </is>
      </c>
      <c r="F190" t="inlineStr">
        <is>
          <t>Collectif</t>
        </is>
      </c>
      <c r="G190" t="n">
        <v>105</v>
      </c>
      <c r="H190" t="n">
        <v>102</v>
      </c>
      <c r="I190" t="n">
        <v>1</v>
      </c>
      <c r="J190" t="n">
        <v>8</v>
      </c>
      <c r="K190" t="n">
        <v>183</v>
      </c>
      <c r="L190" t="n">
        <v>10.17</v>
      </c>
    </row>
    <row r="191">
      <c r="A191" t="inlineStr">
        <is>
          <t>S10</t>
        </is>
      </c>
      <c r="B191" s="4" t="n">
        <v>46076</v>
      </c>
      <c r="C191" t="inlineStr">
        <is>
          <t>S4</t>
        </is>
      </c>
      <c r="D191" t="inlineStr">
        <is>
          <t>ATH11</t>
        </is>
      </c>
      <c r="E191" t="inlineStr">
        <is>
          <t>Lundi</t>
        </is>
      </c>
      <c r="F191" t="inlineStr">
        <is>
          <t>Force</t>
        </is>
      </c>
      <c r="G191" t="n">
        <v>70</v>
      </c>
      <c r="H191" t="n">
        <v>75</v>
      </c>
      <c r="I191" t="n">
        <v>1</v>
      </c>
      <c r="J191" t="n">
        <v>5</v>
      </c>
      <c r="K191" t="n">
        <v>179</v>
      </c>
      <c r="L191" t="n">
        <v>8.289999999999999</v>
      </c>
    </row>
    <row r="192">
      <c r="A192" t="inlineStr">
        <is>
          <t>S11</t>
        </is>
      </c>
      <c r="B192" s="4" t="n">
        <v>46078</v>
      </c>
      <c r="C192" t="inlineStr">
        <is>
          <t>S4</t>
        </is>
      </c>
      <c r="D192" t="inlineStr">
        <is>
          <t>ATH11</t>
        </is>
      </c>
      <c r="E192" t="inlineStr">
        <is>
          <t>Mercredi</t>
        </is>
      </c>
      <c r="F192" t="inlineStr">
        <is>
          <t>Intermittent</t>
        </is>
      </c>
      <c r="G192" t="n">
        <v>90</v>
      </c>
      <c r="H192" t="n">
        <v>85</v>
      </c>
      <c r="I192" t="n">
        <v>1</v>
      </c>
      <c r="J192" t="n">
        <v>9</v>
      </c>
      <c r="K192" t="n">
        <v>190</v>
      </c>
      <c r="L192" t="n">
        <v>9.24</v>
      </c>
    </row>
    <row r="193">
      <c r="A193" t="inlineStr">
        <is>
          <t>S12</t>
        </is>
      </c>
      <c r="B193" s="4" t="n">
        <v>46080</v>
      </c>
      <c r="C193" t="inlineStr">
        <is>
          <t>S4</t>
        </is>
      </c>
      <c r="D193" t="inlineStr">
        <is>
          <t>ATH11</t>
        </is>
      </c>
      <c r="E193" t="inlineStr">
        <is>
          <t>Vendredi</t>
        </is>
      </c>
      <c r="F193" t="inlineStr">
        <is>
          <t>Collectif</t>
        </is>
      </c>
      <c r="G193" t="n">
        <v>110</v>
      </c>
      <c r="H193" t="n">
        <v>113</v>
      </c>
      <c r="I193" t="n">
        <v>1</v>
      </c>
      <c r="J193" t="n">
        <v>5</v>
      </c>
      <c r="K193" t="n">
        <v>169</v>
      </c>
      <c r="L193" t="n">
        <v>12.6</v>
      </c>
    </row>
    <row r="194">
      <c r="A194" t="inlineStr">
        <is>
          <t>S13</t>
        </is>
      </c>
      <c r="B194" s="4" t="n">
        <v>46083</v>
      </c>
      <c r="C194" t="inlineStr">
        <is>
          <t>S5</t>
        </is>
      </c>
      <c r="D194" t="inlineStr">
        <is>
          <t>ATH11</t>
        </is>
      </c>
      <c r="E194" t="inlineStr">
        <is>
          <t>Lundi</t>
        </is>
      </c>
      <c r="F194" t="inlineStr">
        <is>
          <t>Technique</t>
        </is>
      </c>
      <c r="G194" t="n">
        <v>75</v>
      </c>
      <c r="H194" t="n">
        <v>74</v>
      </c>
      <c r="I194" t="n">
        <v>1</v>
      </c>
      <c r="J194" t="n">
        <v>4</v>
      </c>
      <c r="K194" t="n">
        <v>164</v>
      </c>
      <c r="L194" t="n">
        <v>7.68</v>
      </c>
    </row>
    <row r="195">
      <c r="A195" t="inlineStr">
        <is>
          <t>S14</t>
        </is>
      </c>
      <c r="B195" s="4" t="n">
        <v>46085</v>
      </c>
      <c r="C195" t="inlineStr">
        <is>
          <t>S5</t>
        </is>
      </c>
      <c r="D195" t="inlineStr">
        <is>
          <t>ATH11</t>
        </is>
      </c>
      <c r="E195" t="inlineStr">
        <is>
          <t>Mercredi</t>
        </is>
      </c>
      <c r="F195" t="inlineStr">
        <is>
          <t>Intermittent</t>
        </is>
      </c>
      <c r="G195" t="n">
        <v>95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</row>
    <row r="196">
      <c r="A196" t="inlineStr">
        <is>
          <t>S15</t>
        </is>
      </c>
      <c r="B196" s="4" t="n">
        <v>46087</v>
      </c>
      <c r="C196" t="inlineStr">
        <is>
          <t>S5</t>
        </is>
      </c>
      <c r="D196" t="inlineStr">
        <is>
          <t>ATH11</t>
        </is>
      </c>
      <c r="E196" t="inlineStr">
        <is>
          <t>Vendredi</t>
        </is>
      </c>
      <c r="F196" t="inlineStr">
        <is>
          <t>Collectif</t>
        </is>
      </c>
      <c r="G196" t="n">
        <v>105</v>
      </c>
      <c r="H196" t="n">
        <v>110</v>
      </c>
      <c r="I196" t="n">
        <v>1</v>
      </c>
      <c r="J196" t="n">
        <v>8</v>
      </c>
      <c r="K196" t="n">
        <v>184</v>
      </c>
      <c r="L196" t="n">
        <v>11.14</v>
      </c>
    </row>
    <row r="197">
      <c r="A197" t="inlineStr">
        <is>
          <t>S16</t>
        </is>
      </c>
      <c r="B197" s="4" t="n">
        <v>46090</v>
      </c>
      <c r="C197" t="inlineStr">
        <is>
          <t>S6</t>
        </is>
      </c>
      <c r="D197" t="inlineStr">
        <is>
          <t>ATH11</t>
        </is>
      </c>
      <c r="E197" t="inlineStr">
        <is>
          <t>Lundi</t>
        </is>
      </c>
      <c r="F197" t="inlineStr">
        <is>
          <t>Force</t>
        </is>
      </c>
      <c r="G197" t="n">
        <v>70</v>
      </c>
      <c r="H197" t="n">
        <v>74</v>
      </c>
      <c r="I197" t="n">
        <v>1</v>
      </c>
      <c r="J197" t="n">
        <v>4</v>
      </c>
      <c r="K197" t="n">
        <v>158</v>
      </c>
      <c r="L197" t="n">
        <v>8.609999999999999</v>
      </c>
    </row>
    <row r="198">
      <c r="A198" t="inlineStr">
        <is>
          <t>S17</t>
        </is>
      </c>
      <c r="B198" s="4" t="n">
        <v>46092</v>
      </c>
      <c r="C198" t="inlineStr">
        <is>
          <t>S6</t>
        </is>
      </c>
      <c r="D198" t="inlineStr">
        <is>
          <t>ATH11</t>
        </is>
      </c>
      <c r="E198" t="inlineStr">
        <is>
          <t>Mercredi</t>
        </is>
      </c>
      <c r="F198" t="inlineStr">
        <is>
          <t>Intermittent</t>
        </is>
      </c>
      <c r="G198" t="n">
        <v>90</v>
      </c>
      <c r="H198" t="n">
        <v>86</v>
      </c>
      <c r="I198" t="n">
        <v>1</v>
      </c>
      <c r="J198" t="n">
        <v>6</v>
      </c>
      <c r="K198" t="n">
        <v>181</v>
      </c>
      <c r="L198" t="n">
        <v>8.85</v>
      </c>
    </row>
    <row r="199">
      <c r="A199" t="inlineStr">
        <is>
          <t>S18</t>
        </is>
      </c>
      <c r="B199" s="4" t="n">
        <v>46094</v>
      </c>
      <c r="C199" t="inlineStr">
        <is>
          <t>S6</t>
        </is>
      </c>
      <c r="D199" t="inlineStr">
        <is>
          <t>ATH11</t>
        </is>
      </c>
      <c r="E199" t="inlineStr">
        <is>
          <t>Vendredi</t>
        </is>
      </c>
      <c r="F199" t="inlineStr">
        <is>
          <t>Collectif</t>
        </is>
      </c>
      <c r="G199" t="n">
        <v>100</v>
      </c>
      <c r="H199" t="n">
        <v>102</v>
      </c>
      <c r="I199" t="n">
        <v>1</v>
      </c>
      <c r="J199" t="n">
        <v>5</v>
      </c>
      <c r="K199" t="n">
        <v>180</v>
      </c>
      <c r="L199" t="n">
        <v>11.11</v>
      </c>
    </row>
    <row r="200">
      <c r="A200" t="inlineStr">
        <is>
          <t>S01</t>
        </is>
      </c>
      <c r="B200" s="4" t="n">
        <v>46055</v>
      </c>
      <c r="C200" t="inlineStr">
        <is>
          <t>S1</t>
        </is>
      </c>
      <c r="D200" t="inlineStr">
        <is>
          <t>ATH12</t>
        </is>
      </c>
      <c r="E200" t="inlineStr">
        <is>
          <t>Lundi</t>
        </is>
      </c>
      <c r="F200" t="inlineStr">
        <is>
          <t>Technique</t>
        </is>
      </c>
      <c r="G200" t="n">
        <v>75</v>
      </c>
      <c r="H200" t="n">
        <v>71</v>
      </c>
      <c r="I200" t="n">
        <v>1</v>
      </c>
      <c r="J200" t="n">
        <v>4</v>
      </c>
      <c r="K200" t="n">
        <v>169</v>
      </c>
      <c r="L200" t="n">
        <v>7.5</v>
      </c>
    </row>
    <row r="201">
      <c r="A201" t="inlineStr">
        <is>
          <t>S02</t>
        </is>
      </c>
      <c r="B201" s="4" t="n">
        <v>46057</v>
      </c>
      <c r="C201" t="inlineStr">
        <is>
          <t>S1</t>
        </is>
      </c>
      <c r="D201" t="inlineStr">
        <is>
          <t>ATH12</t>
        </is>
      </c>
      <c r="E201" t="inlineStr">
        <is>
          <t>Mercredi</t>
        </is>
      </c>
      <c r="F201" t="inlineStr">
        <is>
          <t>Intermittent</t>
        </is>
      </c>
      <c r="G201" t="n">
        <v>90</v>
      </c>
      <c r="H201" t="n">
        <v>87</v>
      </c>
      <c r="I201" t="n">
        <v>1</v>
      </c>
      <c r="J201" t="n">
        <v>7</v>
      </c>
      <c r="K201" t="n">
        <v>177</v>
      </c>
      <c r="L201" t="n">
        <v>10.12</v>
      </c>
    </row>
    <row r="202">
      <c r="A202" t="inlineStr">
        <is>
          <t>S03</t>
        </is>
      </c>
      <c r="B202" s="4" t="n">
        <v>46059</v>
      </c>
      <c r="C202" t="inlineStr">
        <is>
          <t>S1</t>
        </is>
      </c>
      <c r="D202" t="inlineStr">
        <is>
          <t>ATH12</t>
        </is>
      </c>
      <c r="E202" t="inlineStr">
        <is>
          <t>Vendredi</t>
        </is>
      </c>
      <c r="F202" t="inlineStr">
        <is>
          <t>Collectif</t>
        </is>
      </c>
      <c r="G202" t="n">
        <v>105</v>
      </c>
      <c r="H202" t="n">
        <v>104</v>
      </c>
      <c r="I202" t="n">
        <v>1</v>
      </c>
      <c r="J202" t="n">
        <v>6</v>
      </c>
      <c r="K202" t="n">
        <v>176</v>
      </c>
      <c r="L202" t="n">
        <v>9.52</v>
      </c>
    </row>
    <row r="203">
      <c r="A203" t="inlineStr">
        <is>
          <t>S04</t>
        </is>
      </c>
      <c r="B203" s="4" t="n">
        <v>46062</v>
      </c>
      <c r="C203" t="inlineStr">
        <is>
          <t>S2</t>
        </is>
      </c>
      <c r="D203" t="inlineStr">
        <is>
          <t>ATH12</t>
        </is>
      </c>
      <c r="E203" t="inlineStr">
        <is>
          <t>Lundi</t>
        </is>
      </c>
      <c r="F203" t="inlineStr">
        <is>
          <t>Force</t>
        </is>
      </c>
      <c r="G203" t="n">
        <v>70</v>
      </c>
      <c r="H203" t="n">
        <v>69</v>
      </c>
      <c r="I203" t="n">
        <v>1</v>
      </c>
      <c r="J203" t="n">
        <v>3</v>
      </c>
      <c r="K203" t="n">
        <v>157</v>
      </c>
      <c r="L203" t="n">
        <v>7.09</v>
      </c>
    </row>
    <row r="204">
      <c r="A204" t="inlineStr">
        <is>
          <t>S05</t>
        </is>
      </c>
      <c r="B204" s="4" t="n">
        <v>46064</v>
      </c>
      <c r="C204" t="inlineStr">
        <is>
          <t>S2</t>
        </is>
      </c>
      <c r="D204" t="inlineStr">
        <is>
          <t>ATH12</t>
        </is>
      </c>
      <c r="E204" t="inlineStr">
        <is>
          <t>Mercredi</t>
        </is>
      </c>
      <c r="F204" t="inlineStr">
        <is>
          <t>Intermittent</t>
        </is>
      </c>
      <c r="G204" t="n">
        <v>90</v>
      </c>
      <c r="H204" t="n">
        <v>92</v>
      </c>
      <c r="I204" t="n">
        <v>1</v>
      </c>
      <c r="J204" t="n">
        <v>7</v>
      </c>
      <c r="K204" t="n">
        <v>176</v>
      </c>
      <c r="L204" t="n">
        <v>9.630000000000001</v>
      </c>
    </row>
    <row r="205">
      <c r="A205" t="inlineStr">
        <is>
          <t>S06</t>
        </is>
      </c>
      <c r="B205" s="4" t="n">
        <v>46066</v>
      </c>
      <c r="C205" t="inlineStr">
        <is>
          <t>S2</t>
        </is>
      </c>
      <c r="D205" t="inlineStr">
        <is>
          <t>ATH12</t>
        </is>
      </c>
      <c r="E205" t="inlineStr">
        <is>
          <t>Vendredi</t>
        </is>
      </c>
      <c r="F205" t="inlineStr">
        <is>
          <t>Collectif</t>
        </is>
      </c>
      <c r="G205" t="n">
        <v>110</v>
      </c>
      <c r="H205" t="n">
        <v>105</v>
      </c>
      <c r="I205" t="n">
        <v>1</v>
      </c>
      <c r="J205" t="n">
        <v>6</v>
      </c>
      <c r="K205" t="n">
        <v>169</v>
      </c>
      <c r="L205" t="n">
        <v>11.6</v>
      </c>
    </row>
    <row r="206">
      <c r="A206" t="inlineStr">
        <is>
          <t>S07</t>
        </is>
      </c>
      <c r="B206" s="4" t="n">
        <v>46069</v>
      </c>
      <c r="C206" t="inlineStr">
        <is>
          <t>S3</t>
        </is>
      </c>
      <c r="D206" t="inlineStr">
        <is>
          <t>ATH12</t>
        </is>
      </c>
      <c r="E206" t="inlineStr">
        <is>
          <t>Lundi</t>
        </is>
      </c>
      <c r="F206" t="inlineStr">
        <is>
          <t>Technique</t>
        </is>
      </c>
      <c r="G206" t="n">
        <v>75</v>
      </c>
      <c r="H206" t="n">
        <v>79</v>
      </c>
      <c r="I206" t="n">
        <v>1</v>
      </c>
      <c r="J206" t="n">
        <v>6</v>
      </c>
      <c r="K206" t="n">
        <v>173</v>
      </c>
      <c r="L206" t="n">
        <v>8.26</v>
      </c>
    </row>
    <row r="207">
      <c r="A207" t="inlineStr">
        <is>
          <t>S08</t>
        </is>
      </c>
      <c r="B207" s="4" t="n">
        <v>46071</v>
      </c>
      <c r="C207" t="inlineStr">
        <is>
          <t>S3</t>
        </is>
      </c>
      <c r="D207" t="inlineStr">
        <is>
          <t>ATH12</t>
        </is>
      </c>
      <c r="E207" t="inlineStr">
        <is>
          <t>Mercredi</t>
        </is>
      </c>
      <c r="F207" t="inlineStr">
        <is>
          <t>Intermittent</t>
        </is>
      </c>
      <c r="G207" t="n">
        <v>95</v>
      </c>
      <c r="H207" t="n">
        <v>91</v>
      </c>
      <c r="I207" t="n">
        <v>1</v>
      </c>
      <c r="J207" t="n">
        <v>7</v>
      </c>
      <c r="K207" t="n">
        <v>179</v>
      </c>
      <c r="L207" t="n">
        <v>9.59</v>
      </c>
    </row>
    <row r="208">
      <c r="A208" t="inlineStr">
        <is>
          <t>S09</t>
        </is>
      </c>
      <c r="B208" s="4" t="n">
        <v>46073</v>
      </c>
      <c r="C208" t="inlineStr">
        <is>
          <t>S3</t>
        </is>
      </c>
      <c r="D208" t="inlineStr">
        <is>
          <t>ATH12</t>
        </is>
      </c>
      <c r="E208" t="inlineStr">
        <is>
          <t>Vendredi</t>
        </is>
      </c>
      <c r="F208" t="inlineStr">
        <is>
          <t>Collectif</t>
        </is>
      </c>
      <c r="G208" t="n">
        <v>105</v>
      </c>
      <c r="H208" t="n">
        <v>107</v>
      </c>
      <c r="I208" t="n">
        <v>1</v>
      </c>
      <c r="J208" t="n">
        <v>6</v>
      </c>
      <c r="K208" t="n">
        <v>177</v>
      </c>
      <c r="L208" t="n">
        <v>11.13</v>
      </c>
    </row>
    <row r="209">
      <c r="A209" t="inlineStr">
        <is>
          <t>S10</t>
        </is>
      </c>
      <c r="B209" s="4" t="n">
        <v>46076</v>
      </c>
      <c r="C209" t="inlineStr">
        <is>
          <t>S4</t>
        </is>
      </c>
      <c r="D209" t="inlineStr">
        <is>
          <t>ATH12</t>
        </is>
      </c>
      <c r="E209" t="inlineStr">
        <is>
          <t>Lundi</t>
        </is>
      </c>
      <c r="F209" t="inlineStr">
        <is>
          <t>Force</t>
        </is>
      </c>
      <c r="G209" t="n">
        <v>70</v>
      </c>
      <c r="H209" t="n">
        <v>73</v>
      </c>
      <c r="I209" t="n">
        <v>1</v>
      </c>
      <c r="J209" t="n">
        <v>3</v>
      </c>
      <c r="K209" t="n">
        <v>162</v>
      </c>
      <c r="L209" t="n">
        <v>8.359999999999999</v>
      </c>
    </row>
    <row r="210">
      <c r="A210" t="inlineStr">
        <is>
          <t>S11</t>
        </is>
      </c>
      <c r="B210" s="4" t="n">
        <v>46078</v>
      </c>
      <c r="C210" t="inlineStr">
        <is>
          <t>S4</t>
        </is>
      </c>
      <c r="D210" t="inlineStr">
        <is>
          <t>ATH12</t>
        </is>
      </c>
      <c r="E210" t="inlineStr">
        <is>
          <t>Mercredi</t>
        </is>
      </c>
      <c r="F210" t="inlineStr">
        <is>
          <t>Intermittent</t>
        </is>
      </c>
      <c r="G210" t="n">
        <v>90</v>
      </c>
      <c r="H210" t="n">
        <v>91</v>
      </c>
      <c r="I210" t="n">
        <v>1</v>
      </c>
      <c r="J210" t="n">
        <v>8</v>
      </c>
      <c r="K210" t="n">
        <v>187</v>
      </c>
      <c r="L210" t="n">
        <v>8.32</v>
      </c>
    </row>
    <row r="211">
      <c r="A211" t="inlineStr">
        <is>
          <t>S12</t>
        </is>
      </c>
      <c r="B211" s="4" t="n">
        <v>46080</v>
      </c>
      <c r="C211" t="inlineStr">
        <is>
          <t>S4</t>
        </is>
      </c>
      <c r="D211" t="inlineStr">
        <is>
          <t>ATH12</t>
        </is>
      </c>
      <c r="E211" t="inlineStr">
        <is>
          <t>Vendredi</t>
        </is>
      </c>
      <c r="F211" t="inlineStr">
        <is>
          <t>Collectif</t>
        </is>
      </c>
      <c r="G211" t="n">
        <v>110</v>
      </c>
      <c r="H211" t="n">
        <v>107</v>
      </c>
      <c r="I211" t="n">
        <v>1</v>
      </c>
      <c r="J211" t="n">
        <v>7</v>
      </c>
      <c r="K211" t="n">
        <v>180</v>
      </c>
      <c r="L211" t="n">
        <v>11.23</v>
      </c>
    </row>
    <row r="212">
      <c r="A212" t="inlineStr">
        <is>
          <t>S13</t>
        </is>
      </c>
      <c r="B212" s="4" t="n">
        <v>46083</v>
      </c>
      <c r="C212" t="inlineStr">
        <is>
          <t>S5</t>
        </is>
      </c>
      <c r="D212" t="inlineStr">
        <is>
          <t>ATH12</t>
        </is>
      </c>
      <c r="E212" t="inlineStr">
        <is>
          <t>Lundi</t>
        </is>
      </c>
      <c r="F212" t="inlineStr">
        <is>
          <t>Technique</t>
        </is>
      </c>
      <c r="G212" t="n">
        <v>75</v>
      </c>
      <c r="H212" t="n">
        <v>72</v>
      </c>
      <c r="I212" t="n">
        <v>1</v>
      </c>
      <c r="J212" t="n">
        <v>4</v>
      </c>
      <c r="K212" t="n">
        <v>161</v>
      </c>
      <c r="L212" t="n">
        <v>8.92</v>
      </c>
    </row>
    <row r="213">
      <c r="A213" t="inlineStr">
        <is>
          <t>S14</t>
        </is>
      </c>
      <c r="B213" s="4" t="n">
        <v>46085</v>
      </c>
      <c r="C213" t="inlineStr">
        <is>
          <t>S5</t>
        </is>
      </c>
      <c r="D213" t="inlineStr">
        <is>
          <t>ATH12</t>
        </is>
      </c>
      <c r="E213" t="inlineStr">
        <is>
          <t>Mercredi</t>
        </is>
      </c>
      <c r="F213" t="inlineStr">
        <is>
          <t>Intermittent</t>
        </is>
      </c>
      <c r="G213" t="n">
        <v>95</v>
      </c>
      <c r="H213" t="n">
        <v>94</v>
      </c>
      <c r="I213" t="n">
        <v>1</v>
      </c>
      <c r="J213" t="n">
        <v>8</v>
      </c>
      <c r="K213" t="n">
        <v>173</v>
      </c>
      <c r="L213" t="n">
        <v>9.210000000000001</v>
      </c>
    </row>
    <row r="214">
      <c r="A214" t="inlineStr">
        <is>
          <t>S15</t>
        </is>
      </c>
      <c r="B214" s="4" t="n">
        <v>46087</v>
      </c>
      <c r="C214" t="inlineStr">
        <is>
          <t>S5</t>
        </is>
      </c>
      <c r="D214" t="inlineStr">
        <is>
          <t>ATH12</t>
        </is>
      </c>
      <c r="E214" t="inlineStr">
        <is>
          <t>Vendredi</t>
        </is>
      </c>
      <c r="F214" t="inlineStr">
        <is>
          <t>Collectif</t>
        </is>
      </c>
      <c r="G214" t="n">
        <v>105</v>
      </c>
      <c r="H214" t="n">
        <v>110</v>
      </c>
      <c r="I214" t="n">
        <v>1</v>
      </c>
      <c r="J214" t="n">
        <v>6</v>
      </c>
      <c r="K214" t="n">
        <v>174</v>
      </c>
      <c r="L214" t="n">
        <v>12</v>
      </c>
    </row>
    <row r="215">
      <c r="A215" t="inlineStr">
        <is>
          <t>S16</t>
        </is>
      </c>
      <c r="B215" s="4" t="n">
        <v>46090</v>
      </c>
      <c r="C215" t="inlineStr">
        <is>
          <t>S6</t>
        </is>
      </c>
      <c r="D215" t="inlineStr">
        <is>
          <t>ATH12</t>
        </is>
      </c>
      <c r="E215" t="inlineStr">
        <is>
          <t>Lundi</t>
        </is>
      </c>
      <c r="F215" t="inlineStr">
        <is>
          <t>Force</t>
        </is>
      </c>
      <c r="G215" t="n">
        <v>70</v>
      </c>
      <c r="H215" t="n">
        <v>75</v>
      </c>
      <c r="I215" t="n">
        <v>1</v>
      </c>
      <c r="J215" t="n">
        <v>4</v>
      </c>
      <c r="K215" t="n">
        <v>160</v>
      </c>
      <c r="L215" t="n">
        <v>7.36</v>
      </c>
    </row>
    <row r="216">
      <c r="A216" t="inlineStr">
        <is>
          <t>S17</t>
        </is>
      </c>
      <c r="B216" s="4" t="n">
        <v>46092</v>
      </c>
      <c r="C216" t="inlineStr">
        <is>
          <t>S6</t>
        </is>
      </c>
      <c r="D216" t="inlineStr">
        <is>
          <t>ATH12</t>
        </is>
      </c>
      <c r="E216" t="inlineStr">
        <is>
          <t>Mercredi</t>
        </is>
      </c>
      <c r="F216" t="inlineStr">
        <is>
          <t>Intermittent</t>
        </is>
      </c>
      <c r="G216" t="n">
        <v>90</v>
      </c>
      <c r="H216" t="n">
        <v>90</v>
      </c>
      <c r="I216" t="n">
        <v>1</v>
      </c>
      <c r="J216" t="n">
        <v>6</v>
      </c>
      <c r="K216" t="n">
        <v>183</v>
      </c>
      <c r="L216" t="n">
        <v>9.08</v>
      </c>
    </row>
    <row r="217">
      <c r="A217" t="inlineStr">
        <is>
          <t>S18</t>
        </is>
      </c>
      <c r="B217" s="4" t="n">
        <v>46094</v>
      </c>
      <c r="C217" t="inlineStr">
        <is>
          <t>S6</t>
        </is>
      </c>
      <c r="D217" t="inlineStr">
        <is>
          <t>ATH12</t>
        </is>
      </c>
      <c r="E217" t="inlineStr">
        <is>
          <t>Vendredi</t>
        </is>
      </c>
      <c r="F217" t="inlineStr">
        <is>
          <t>Collectif</t>
        </is>
      </c>
      <c r="G217" t="n">
        <v>100</v>
      </c>
      <c r="H217" t="n">
        <v>95</v>
      </c>
      <c r="I217" t="n">
        <v>1</v>
      </c>
      <c r="J217" t="n">
        <v>6</v>
      </c>
      <c r="K217" t="n">
        <v>157</v>
      </c>
      <c r="L217" t="n">
        <v>9.31</v>
      </c>
    </row>
    <row r="218">
      <c r="A218" t="inlineStr">
        <is>
          <t>S03</t>
        </is>
      </c>
      <c r="B218" s="4" t="n">
        <v>46059</v>
      </c>
      <c r="C218" t="inlineStr">
        <is>
          <t>S1</t>
        </is>
      </c>
      <c r="D218" t="inlineStr">
        <is>
          <t>ATH03</t>
        </is>
      </c>
      <c r="E218" t="inlineStr">
        <is>
          <t>Vendredi</t>
        </is>
      </c>
      <c r="F218" t="inlineStr">
        <is>
          <t>Collectif</t>
        </is>
      </c>
      <c r="G218" t="n">
        <v>105</v>
      </c>
      <c r="H218" t="n">
        <v>102</v>
      </c>
      <c r="I218" t="n">
        <v>1</v>
      </c>
      <c r="J218" t="n">
        <v>6</v>
      </c>
      <c r="K218" t="n">
        <v>176</v>
      </c>
      <c r="L218" t="n">
        <v>10.16</v>
      </c>
    </row>
  </sheetData>
  <autoFilter ref="A1:L21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12" customWidth="1" min="3" max="3"/>
    <col width="12" customWidth="1" min="4" max="4"/>
    <col width="13" customWidth="1" min="5" max="5"/>
    <col width="17" customWidth="1" min="6" max="6"/>
    <col width="12" customWidth="1" min="7" max="7"/>
    <col width="13" customWidth="1" min="8" max="8"/>
    <col width="12" customWidth="1" min="9" max="9"/>
  </cols>
  <sheetData>
    <row r="1">
      <c r="A1" s="3" t="inlineStr">
        <is>
          <t>Date</t>
        </is>
      </c>
      <c r="B1" s="3" t="inlineStr">
        <is>
          <t>Week</t>
        </is>
      </c>
      <c r="C1" s="3" t="inlineStr">
        <is>
          <t>Athlete_ID</t>
        </is>
      </c>
      <c r="D1" s="3" t="inlineStr">
        <is>
          <t>Sommeil_h</t>
        </is>
      </c>
      <c r="E1" s="3" t="inlineStr">
        <is>
          <t>Fatigue_1_8</t>
        </is>
      </c>
      <c r="F1" s="3" t="inlineStr">
        <is>
          <t>Courbatures_1_8</t>
        </is>
      </c>
      <c r="G1" s="3" t="inlineStr">
        <is>
          <t>Stress_1_8</t>
        </is>
      </c>
      <c r="H1" s="3" t="inlineStr">
        <is>
          <t>Humeur_1_10</t>
        </is>
      </c>
      <c r="I1" s="3" t="inlineStr">
        <is>
          <t>Douleur</t>
        </is>
      </c>
    </row>
    <row r="2">
      <c r="A2" s="4" t="n">
        <v>46055</v>
      </c>
      <c r="B2" t="inlineStr">
        <is>
          <t>S1</t>
        </is>
      </c>
      <c r="C2" t="inlineStr">
        <is>
          <t>ATH01</t>
        </is>
      </c>
      <c r="D2" t="n">
        <v>8.300000000000001</v>
      </c>
      <c r="E2" t="n">
        <v>3</v>
      </c>
      <c r="F2" t="n">
        <v>4</v>
      </c>
      <c r="G2" t="n">
        <v>2</v>
      </c>
      <c r="H2" t="n">
        <v>5</v>
      </c>
      <c r="I2" t="inlineStr">
        <is>
          <t>Non</t>
        </is>
      </c>
    </row>
    <row r="3">
      <c r="A3" s="4" t="n">
        <v>46055</v>
      </c>
      <c r="B3" t="inlineStr">
        <is>
          <t>S1</t>
        </is>
      </c>
      <c r="C3" t="inlineStr">
        <is>
          <t>ATH02</t>
        </is>
      </c>
      <c r="D3" t="n">
        <v>7.8</v>
      </c>
      <c r="E3" t="n">
        <v>3</v>
      </c>
      <c r="F3" t="n">
        <v>3</v>
      </c>
      <c r="G3" t="n">
        <v>4</v>
      </c>
      <c r="H3" t="n">
        <v>7</v>
      </c>
      <c r="I3" t="inlineStr">
        <is>
          <t>Non</t>
        </is>
      </c>
    </row>
    <row r="4">
      <c r="A4" s="4" t="n">
        <v>46055</v>
      </c>
      <c r="B4" t="inlineStr">
        <is>
          <t>S1</t>
        </is>
      </c>
      <c r="C4" t="inlineStr">
        <is>
          <t>ATH03</t>
        </is>
      </c>
      <c r="D4" t="n">
        <v>7.8</v>
      </c>
      <c r="E4" t="n">
        <v>4</v>
      </c>
      <c r="F4" t="n">
        <v>3</v>
      </c>
      <c r="G4" t="n">
        <v>4</v>
      </c>
      <c r="H4" t="n">
        <v>8</v>
      </c>
      <c r="I4" t="inlineStr">
        <is>
          <t>Non</t>
        </is>
      </c>
    </row>
    <row r="5">
      <c r="A5" s="4" t="n">
        <v>46055</v>
      </c>
      <c r="B5" t="inlineStr">
        <is>
          <t>S1</t>
        </is>
      </c>
      <c r="C5" t="inlineStr">
        <is>
          <t>ATH04</t>
        </is>
      </c>
      <c r="D5" t="n">
        <v>8.6</v>
      </c>
      <c r="E5" t="n">
        <v>2</v>
      </c>
      <c r="F5" t="n">
        <v>3</v>
      </c>
      <c r="G5" t="n">
        <v>3</v>
      </c>
      <c r="H5" t="n">
        <v>6</v>
      </c>
      <c r="I5" t="inlineStr">
        <is>
          <t>Non</t>
        </is>
      </c>
    </row>
    <row r="6">
      <c r="A6" s="4" t="n">
        <v>46055</v>
      </c>
      <c r="B6" t="inlineStr">
        <is>
          <t>S1</t>
        </is>
      </c>
      <c r="C6" t="inlineStr">
        <is>
          <t>ATH05</t>
        </is>
      </c>
      <c r="D6" t="n">
        <v>7</v>
      </c>
      <c r="E6" t="n">
        <v>4</v>
      </c>
      <c r="F6" t="n">
        <v>3</v>
      </c>
      <c r="G6" t="n">
        <v>4</v>
      </c>
      <c r="H6" t="n">
        <v>6</v>
      </c>
      <c r="I6" t="inlineStr">
        <is>
          <t>Non</t>
        </is>
      </c>
    </row>
    <row r="7">
      <c r="A7" s="4" t="n">
        <v>46055</v>
      </c>
      <c r="B7" t="inlineStr">
        <is>
          <t>S1</t>
        </is>
      </c>
      <c r="C7" t="inlineStr">
        <is>
          <t>ATH06</t>
        </is>
      </c>
      <c r="D7" t="n">
        <v>7.5</v>
      </c>
      <c r="E7" t="n">
        <v>4</v>
      </c>
      <c r="F7" t="n">
        <v>1</v>
      </c>
      <c r="G7" t="n">
        <v>3</v>
      </c>
      <c r="H7" t="n">
        <v>7</v>
      </c>
      <c r="I7" t="inlineStr">
        <is>
          <t>Non</t>
        </is>
      </c>
    </row>
    <row r="8">
      <c r="A8" s="4" t="n">
        <v>46055</v>
      </c>
      <c r="B8" t="inlineStr">
        <is>
          <t>S1</t>
        </is>
      </c>
      <c r="C8" t="inlineStr">
        <is>
          <t>ATH07</t>
        </is>
      </c>
      <c r="D8" t="n">
        <v>8</v>
      </c>
      <c r="E8" t="n">
        <v>1</v>
      </c>
      <c r="F8" t="n">
        <v>5</v>
      </c>
      <c r="G8" t="n">
        <v>3</v>
      </c>
      <c r="H8" t="n">
        <v>7</v>
      </c>
      <c r="I8" t="inlineStr">
        <is>
          <t>Non</t>
        </is>
      </c>
    </row>
    <row r="9">
      <c r="A9" s="4" t="n">
        <v>46055</v>
      </c>
      <c r="B9" t="inlineStr">
        <is>
          <t>S1</t>
        </is>
      </c>
      <c r="C9" t="inlineStr">
        <is>
          <t>ATH08</t>
        </is>
      </c>
      <c r="D9" t="n">
        <v>7.2</v>
      </c>
      <c r="E9" t="n">
        <v>4</v>
      </c>
      <c r="F9" t="n">
        <v>3</v>
      </c>
      <c r="G9" t="n">
        <v>5</v>
      </c>
      <c r="H9" t="n">
        <v>5</v>
      </c>
      <c r="I9" t="inlineStr">
        <is>
          <t>Non</t>
        </is>
      </c>
    </row>
    <row r="10">
      <c r="A10" s="4" t="n">
        <v>46055</v>
      </c>
      <c r="B10" t="inlineStr">
        <is>
          <t>S1</t>
        </is>
      </c>
      <c r="C10" t="inlineStr">
        <is>
          <t>ATH09</t>
        </is>
      </c>
      <c r="D10" t="n">
        <v>7.6</v>
      </c>
      <c r="E10" t="n">
        <v>3</v>
      </c>
      <c r="F10" t="n">
        <v>2</v>
      </c>
      <c r="G10" t="n">
        <v>2</v>
      </c>
      <c r="H10" t="n">
        <v>6</v>
      </c>
      <c r="I10" t="inlineStr">
        <is>
          <t>Non</t>
        </is>
      </c>
    </row>
    <row r="11">
      <c r="A11" s="4" t="n">
        <v>46055</v>
      </c>
      <c r="B11" t="inlineStr">
        <is>
          <t>S1</t>
        </is>
      </c>
      <c r="C11" t="inlineStr">
        <is>
          <t>ATH10</t>
        </is>
      </c>
      <c r="D11" t="n">
        <v>7.6</v>
      </c>
      <c r="E11" t="n">
        <v>1</v>
      </c>
      <c r="F11" t="n">
        <v>4</v>
      </c>
      <c r="G11" t="n">
        <v>2</v>
      </c>
      <c r="H11" t="n">
        <v>7</v>
      </c>
      <c r="I11" t="inlineStr">
        <is>
          <t>Non</t>
        </is>
      </c>
    </row>
    <row r="12">
      <c r="A12" s="4" t="n">
        <v>46055</v>
      </c>
      <c r="B12" t="inlineStr">
        <is>
          <t>S1</t>
        </is>
      </c>
      <c r="C12" t="inlineStr">
        <is>
          <t>ATH11</t>
        </is>
      </c>
      <c r="D12" t="n">
        <v>7.8</v>
      </c>
      <c r="E12" t="n">
        <v>2</v>
      </c>
      <c r="F12" t="n">
        <v>2</v>
      </c>
      <c r="G12" t="n">
        <v>1</v>
      </c>
      <c r="H12" t="n">
        <v>7</v>
      </c>
      <c r="I12" t="inlineStr">
        <is>
          <t>Non</t>
        </is>
      </c>
    </row>
    <row r="13">
      <c r="A13" s="4" t="n">
        <v>46055</v>
      </c>
      <c r="B13" t="inlineStr">
        <is>
          <t>S1</t>
        </is>
      </c>
      <c r="C13" t="inlineStr">
        <is>
          <t>ATH12</t>
        </is>
      </c>
      <c r="D13" t="n">
        <v>8.300000000000001</v>
      </c>
      <c r="E13" t="n">
        <v>1</v>
      </c>
      <c r="F13" t="n">
        <v>2</v>
      </c>
      <c r="G13" t="n">
        <v>1</v>
      </c>
      <c r="H13" t="n">
        <v>6</v>
      </c>
      <c r="I13" t="inlineStr">
        <is>
          <t>Non</t>
        </is>
      </c>
    </row>
    <row r="14">
      <c r="A14" s="4" t="n">
        <v>46056</v>
      </c>
      <c r="B14" t="inlineStr">
        <is>
          <t>S1</t>
        </is>
      </c>
      <c r="C14" t="inlineStr">
        <is>
          <t>ATH01</t>
        </is>
      </c>
      <c r="D14" t="n">
        <v>8</v>
      </c>
      <c r="E14" t="n">
        <v>4</v>
      </c>
      <c r="F14" t="n">
        <v>4</v>
      </c>
      <c r="G14" t="n">
        <v>5</v>
      </c>
      <c r="H14" t="n">
        <v>6</v>
      </c>
      <c r="I14" t="inlineStr">
        <is>
          <t>Non</t>
        </is>
      </c>
    </row>
    <row r="15">
      <c r="A15" s="4" t="n">
        <v>46056</v>
      </c>
      <c r="B15" t="inlineStr">
        <is>
          <t>S1</t>
        </is>
      </c>
      <c r="C15" t="inlineStr">
        <is>
          <t>ATH02</t>
        </is>
      </c>
      <c r="D15" t="n">
        <v>6.7</v>
      </c>
      <c r="E15" t="n">
        <v>3</v>
      </c>
      <c r="F15" t="n">
        <v>3</v>
      </c>
      <c r="G15" t="n">
        <v>1</v>
      </c>
      <c r="H15" t="n">
        <v>8</v>
      </c>
      <c r="I15" t="inlineStr">
        <is>
          <t>Non</t>
        </is>
      </c>
    </row>
    <row r="16">
      <c r="A16" s="4" t="n">
        <v>46056</v>
      </c>
      <c r="B16" t="inlineStr">
        <is>
          <t>S1</t>
        </is>
      </c>
      <c r="C16" t="inlineStr">
        <is>
          <t>ATH03</t>
        </is>
      </c>
      <c r="D16" t="n">
        <v>8.1</v>
      </c>
      <c r="E16" t="n">
        <v>3</v>
      </c>
      <c r="F16" t="n">
        <v>2</v>
      </c>
      <c r="G16" t="n">
        <v>2</v>
      </c>
      <c r="H16" t="n">
        <v>7</v>
      </c>
      <c r="I16" t="inlineStr">
        <is>
          <t>Non</t>
        </is>
      </c>
    </row>
    <row r="17">
      <c r="A17" s="4" t="n">
        <v>46056</v>
      </c>
      <c r="B17" t="inlineStr">
        <is>
          <t>S1</t>
        </is>
      </c>
      <c r="C17" t="inlineStr">
        <is>
          <t>ATH04</t>
        </is>
      </c>
      <c r="D17" t="n">
        <v>7.3</v>
      </c>
      <c r="E17" t="n">
        <v>4</v>
      </c>
      <c r="F17" t="n">
        <v>2</v>
      </c>
      <c r="G17" t="n">
        <v>4</v>
      </c>
      <c r="H17" t="n">
        <v>6</v>
      </c>
      <c r="I17" t="inlineStr">
        <is>
          <t>Non</t>
        </is>
      </c>
    </row>
    <row r="18">
      <c r="A18" s="4" t="n">
        <v>46056</v>
      </c>
      <c r="B18" t="inlineStr">
        <is>
          <t>S1</t>
        </is>
      </c>
      <c r="C18" t="inlineStr">
        <is>
          <t>ATH05</t>
        </is>
      </c>
      <c r="D18" t="n">
        <v>7.7</v>
      </c>
      <c r="E18" t="n">
        <v>3</v>
      </c>
      <c r="F18" t="n">
        <v>3</v>
      </c>
      <c r="G18" t="n">
        <v>4</v>
      </c>
      <c r="H18" t="n">
        <v>7</v>
      </c>
      <c r="I18" t="inlineStr">
        <is>
          <t>Non</t>
        </is>
      </c>
    </row>
    <row r="19">
      <c r="A19" s="4" t="n">
        <v>46056</v>
      </c>
      <c r="B19" t="inlineStr">
        <is>
          <t>S1</t>
        </is>
      </c>
      <c r="C19" t="inlineStr">
        <is>
          <t>ATH06</t>
        </is>
      </c>
      <c r="D19" t="n">
        <v>7.9</v>
      </c>
      <c r="E19" t="n">
        <v>2</v>
      </c>
      <c r="F19" t="n">
        <v>3</v>
      </c>
      <c r="G19" t="n">
        <v>5</v>
      </c>
      <c r="H19" t="n">
        <v>7</v>
      </c>
      <c r="I19" t="inlineStr">
        <is>
          <t>Non</t>
        </is>
      </c>
    </row>
    <row r="20">
      <c r="A20" s="4" t="n">
        <v>46056</v>
      </c>
      <c r="B20" t="inlineStr">
        <is>
          <t>S1</t>
        </is>
      </c>
      <c r="C20" t="inlineStr">
        <is>
          <t>ATH07</t>
        </is>
      </c>
      <c r="D20" t="n">
        <v>6.8</v>
      </c>
      <c r="E20" t="n">
        <v>3</v>
      </c>
      <c r="F20" t="n">
        <v>3</v>
      </c>
      <c r="G20" t="n">
        <v>2</v>
      </c>
      <c r="H20" t="n">
        <v>5</v>
      </c>
      <c r="I20" t="inlineStr">
        <is>
          <t>Non</t>
        </is>
      </c>
    </row>
    <row r="21">
      <c r="A21" s="4" t="n">
        <v>46056</v>
      </c>
      <c r="B21" t="inlineStr">
        <is>
          <t>S1</t>
        </is>
      </c>
      <c r="C21" t="inlineStr">
        <is>
          <t>ATH08</t>
        </is>
      </c>
      <c r="D21" t="n">
        <v>7.3</v>
      </c>
      <c r="E21" t="n">
        <v>2</v>
      </c>
      <c r="F21" t="n">
        <v>2</v>
      </c>
      <c r="G21" t="n">
        <v>1</v>
      </c>
      <c r="H21" t="n">
        <v>7</v>
      </c>
      <c r="I21" t="inlineStr">
        <is>
          <t>Non</t>
        </is>
      </c>
    </row>
    <row r="22">
      <c r="A22" s="4" t="n">
        <v>46056</v>
      </c>
      <c r="B22" t="inlineStr">
        <is>
          <t>S1</t>
        </is>
      </c>
      <c r="C22" t="inlineStr">
        <is>
          <t>ATH09</t>
        </is>
      </c>
      <c r="D22" t="n">
        <v>7.1</v>
      </c>
      <c r="E22" t="n">
        <v>4</v>
      </c>
      <c r="F22" t="n">
        <v>2</v>
      </c>
      <c r="G22" t="n">
        <v>3</v>
      </c>
      <c r="H22" t="n">
        <v>6</v>
      </c>
      <c r="I22" t="inlineStr">
        <is>
          <t>Non</t>
        </is>
      </c>
    </row>
    <row r="23">
      <c r="A23" s="4" t="n">
        <v>46056</v>
      </c>
      <c r="B23" t="inlineStr">
        <is>
          <t>S1</t>
        </is>
      </c>
      <c r="C23" t="inlineStr">
        <is>
          <t>ATH10</t>
        </is>
      </c>
      <c r="D23" t="n">
        <v>7</v>
      </c>
      <c r="E23" t="n">
        <v>6</v>
      </c>
      <c r="F23" t="n">
        <v>2</v>
      </c>
      <c r="G23" t="n">
        <v>4</v>
      </c>
      <c r="H23" t="n">
        <v>5</v>
      </c>
      <c r="I23" t="inlineStr">
        <is>
          <t>Non</t>
        </is>
      </c>
    </row>
    <row r="24">
      <c r="A24" s="4" t="n">
        <v>46056</v>
      </c>
      <c r="B24" t="inlineStr">
        <is>
          <t>S1</t>
        </is>
      </c>
      <c r="C24" t="inlineStr">
        <is>
          <t>ATH11</t>
        </is>
      </c>
      <c r="D24" t="n">
        <v>7.8</v>
      </c>
      <c r="E24" t="n">
        <v>4</v>
      </c>
      <c r="F24" t="n">
        <v>2</v>
      </c>
      <c r="G24" t="n">
        <v>2</v>
      </c>
      <c r="H24" t="n">
        <v>6</v>
      </c>
      <c r="I24" t="inlineStr">
        <is>
          <t>Non</t>
        </is>
      </c>
    </row>
    <row r="25">
      <c r="A25" s="4" t="n">
        <v>46056</v>
      </c>
      <c r="B25" t="inlineStr">
        <is>
          <t>S1</t>
        </is>
      </c>
      <c r="C25" t="inlineStr">
        <is>
          <t>ATH12</t>
        </is>
      </c>
      <c r="D25" t="n">
        <v>7.2</v>
      </c>
      <c r="E25" t="n">
        <v>6</v>
      </c>
      <c r="F25" t="n">
        <v>2</v>
      </c>
      <c r="G25" t="n">
        <v>4</v>
      </c>
      <c r="H25" t="n">
        <v>8</v>
      </c>
      <c r="I25" t="inlineStr">
        <is>
          <t>Non</t>
        </is>
      </c>
    </row>
    <row r="26">
      <c r="A26" s="4" t="n">
        <v>46057</v>
      </c>
      <c r="B26" t="inlineStr">
        <is>
          <t>S1</t>
        </is>
      </c>
      <c r="C26" t="inlineStr">
        <is>
          <t>ATH01</t>
        </is>
      </c>
      <c r="D26" t="n">
        <v>6.9</v>
      </c>
      <c r="E26" t="n">
        <v>3</v>
      </c>
      <c r="F26" t="n">
        <v>2</v>
      </c>
      <c r="G26" t="n">
        <v>3</v>
      </c>
      <c r="H26" t="n">
        <v>6</v>
      </c>
      <c r="I26" t="inlineStr">
        <is>
          <t>Non</t>
        </is>
      </c>
    </row>
    <row r="27">
      <c r="A27" s="4" t="n">
        <v>46057</v>
      </c>
      <c r="B27" t="inlineStr">
        <is>
          <t>S1</t>
        </is>
      </c>
      <c r="C27" t="inlineStr">
        <is>
          <t>ATH02</t>
        </is>
      </c>
      <c r="D27" t="n">
        <v>7</v>
      </c>
      <c r="E27" t="n">
        <v>3</v>
      </c>
      <c r="F27" t="n">
        <v>1</v>
      </c>
      <c r="G27" t="n">
        <v>4</v>
      </c>
      <c r="H27" t="n">
        <v>7</v>
      </c>
      <c r="I27" t="inlineStr">
        <is>
          <t>Non</t>
        </is>
      </c>
    </row>
    <row r="28">
      <c r="A28" s="4" t="n">
        <v>46057</v>
      </c>
      <c r="B28" t="inlineStr">
        <is>
          <t>S1</t>
        </is>
      </c>
      <c r="C28" t="inlineStr">
        <is>
          <t>ATH03</t>
        </is>
      </c>
      <c r="D28" t="n">
        <v>7.2</v>
      </c>
      <c r="E28" t="n">
        <v>2</v>
      </c>
      <c r="F28" t="n">
        <v>3</v>
      </c>
      <c r="G28" t="n">
        <v>2</v>
      </c>
      <c r="H28" t="n">
        <v>8</v>
      </c>
      <c r="I28" t="inlineStr">
        <is>
          <t>Non</t>
        </is>
      </c>
    </row>
    <row r="29">
      <c r="A29" s="4" t="n">
        <v>46057</v>
      </c>
      <c r="B29" t="inlineStr">
        <is>
          <t>S1</t>
        </is>
      </c>
      <c r="C29" t="inlineStr">
        <is>
          <t>ATH04</t>
        </is>
      </c>
      <c r="D29" t="n">
        <v>7.8</v>
      </c>
      <c r="E29" t="n">
        <v>3</v>
      </c>
      <c r="F29" t="n">
        <v>3</v>
      </c>
      <c r="G29" t="n">
        <v>2</v>
      </c>
      <c r="H29" t="n">
        <v>8</v>
      </c>
      <c r="I29" t="inlineStr">
        <is>
          <t>Non</t>
        </is>
      </c>
    </row>
    <row r="30">
      <c r="A30" s="4" t="n">
        <v>46057</v>
      </c>
      <c r="B30" t="inlineStr">
        <is>
          <t>S1</t>
        </is>
      </c>
      <c r="C30" t="inlineStr">
        <is>
          <t>ATH05</t>
        </is>
      </c>
      <c r="D30" t="n">
        <v>7.6</v>
      </c>
      <c r="E30" t="n">
        <v>4</v>
      </c>
      <c r="F30" t="n">
        <v>2</v>
      </c>
      <c r="G30" t="n">
        <v>5</v>
      </c>
      <c r="H30" t="n">
        <v>7</v>
      </c>
      <c r="I30" t="inlineStr">
        <is>
          <t>Non</t>
        </is>
      </c>
    </row>
    <row r="31">
      <c r="A31" s="4" t="n">
        <v>46057</v>
      </c>
      <c r="B31" t="inlineStr">
        <is>
          <t>S1</t>
        </is>
      </c>
      <c r="C31" t="inlineStr">
        <is>
          <t>ATH06</t>
        </is>
      </c>
      <c r="D31" t="n">
        <v>9</v>
      </c>
      <c r="E31" t="n">
        <v>3</v>
      </c>
      <c r="F31" t="n">
        <v>3</v>
      </c>
      <c r="G31" t="n">
        <v>2</v>
      </c>
      <c r="H31" t="n">
        <v>6</v>
      </c>
      <c r="I31" t="inlineStr">
        <is>
          <t>Non</t>
        </is>
      </c>
    </row>
    <row r="32">
      <c r="A32" s="4" t="n">
        <v>46057</v>
      </c>
      <c r="B32" t="inlineStr">
        <is>
          <t>S1</t>
        </is>
      </c>
      <c r="C32" t="inlineStr">
        <is>
          <t>ATH07</t>
        </is>
      </c>
      <c r="D32" t="n">
        <v>7.9</v>
      </c>
      <c r="E32" t="n">
        <v>4</v>
      </c>
      <c r="F32" t="n">
        <v>7</v>
      </c>
      <c r="G32" t="n">
        <v>3</v>
      </c>
      <c r="H32" t="n">
        <v>5</v>
      </c>
      <c r="I32" t="inlineStr">
        <is>
          <t>Oui</t>
        </is>
      </c>
    </row>
    <row r="33">
      <c r="A33" s="4" t="n">
        <v>46057</v>
      </c>
      <c r="B33" t="inlineStr">
        <is>
          <t>S1</t>
        </is>
      </c>
      <c r="C33" t="inlineStr">
        <is>
          <t>ATH08</t>
        </is>
      </c>
      <c r="D33" t="n">
        <v>8</v>
      </c>
      <c r="E33" t="n">
        <v>2</v>
      </c>
      <c r="F33" t="n">
        <v>3</v>
      </c>
      <c r="G33" t="n">
        <v>2</v>
      </c>
      <c r="H33" t="n">
        <v>7</v>
      </c>
      <c r="I33" t="inlineStr">
        <is>
          <t>Non</t>
        </is>
      </c>
    </row>
    <row r="34">
      <c r="A34" s="4" t="n">
        <v>46057</v>
      </c>
      <c r="B34" t="inlineStr">
        <is>
          <t>S1</t>
        </is>
      </c>
      <c r="C34" t="inlineStr">
        <is>
          <t>ATH09</t>
        </is>
      </c>
      <c r="D34" t="n">
        <v>8.300000000000001</v>
      </c>
      <c r="E34" t="n">
        <v>3</v>
      </c>
      <c r="F34" t="n">
        <v>4</v>
      </c>
      <c r="G34" t="n">
        <v>4</v>
      </c>
      <c r="H34" t="n">
        <v>4</v>
      </c>
      <c r="I34" t="inlineStr">
        <is>
          <t>Non</t>
        </is>
      </c>
    </row>
    <row r="35">
      <c r="A35" s="4" t="n">
        <v>46057</v>
      </c>
      <c r="B35" t="inlineStr">
        <is>
          <t>S1</t>
        </is>
      </c>
      <c r="C35" t="inlineStr">
        <is>
          <t>ATH10</t>
        </is>
      </c>
      <c r="D35" t="n">
        <v>6.9</v>
      </c>
      <c r="E35" t="n">
        <v>1</v>
      </c>
      <c r="F35" t="n">
        <v>5</v>
      </c>
      <c r="G35" t="n">
        <v>3</v>
      </c>
      <c r="H35" t="n">
        <v>8</v>
      </c>
      <c r="I35" t="inlineStr">
        <is>
          <t>Non</t>
        </is>
      </c>
    </row>
    <row r="36">
      <c r="A36" s="4" t="n">
        <v>46057</v>
      </c>
      <c r="B36" t="inlineStr">
        <is>
          <t>S1</t>
        </is>
      </c>
      <c r="C36" t="inlineStr">
        <is>
          <t>ATH11</t>
        </is>
      </c>
      <c r="D36" t="n">
        <v>6.4</v>
      </c>
      <c r="E36" t="n">
        <v>2</v>
      </c>
      <c r="F36" t="n">
        <v>4</v>
      </c>
      <c r="G36" t="n">
        <v>3</v>
      </c>
      <c r="H36" t="n">
        <v>7</v>
      </c>
      <c r="I36" t="inlineStr">
        <is>
          <t>Non</t>
        </is>
      </c>
    </row>
    <row r="37">
      <c r="A37" s="4" t="n">
        <v>46057</v>
      </c>
      <c r="B37" t="inlineStr">
        <is>
          <t>S1</t>
        </is>
      </c>
      <c r="C37" t="inlineStr">
        <is>
          <t>ATH12</t>
        </is>
      </c>
      <c r="D37" t="n">
        <v>6.6</v>
      </c>
      <c r="E37" t="n">
        <v>5</v>
      </c>
      <c r="F37" t="n">
        <v>4</v>
      </c>
      <c r="G37" t="n">
        <v>4</v>
      </c>
      <c r="H37" t="n">
        <v>6</v>
      </c>
      <c r="I37" t="inlineStr">
        <is>
          <t>Non</t>
        </is>
      </c>
    </row>
    <row r="38">
      <c r="A38" s="4" t="n">
        <v>46058</v>
      </c>
      <c r="B38" t="inlineStr">
        <is>
          <t>S1</t>
        </is>
      </c>
      <c r="C38" t="inlineStr">
        <is>
          <t>ATH01</t>
        </is>
      </c>
      <c r="D38" t="n">
        <v>7.7</v>
      </c>
      <c r="E38" t="n">
        <v>3</v>
      </c>
      <c r="F38" t="n">
        <v>1</v>
      </c>
      <c r="G38" t="n">
        <v>3</v>
      </c>
      <c r="H38" t="n">
        <v>6</v>
      </c>
      <c r="I38" t="inlineStr">
        <is>
          <t>Non</t>
        </is>
      </c>
    </row>
    <row r="39">
      <c r="A39" s="4" t="n">
        <v>46058</v>
      </c>
      <c r="B39" t="inlineStr">
        <is>
          <t>S1</t>
        </is>
      </c>
      <c r="C39" t="inlineStr">
        <is>
          <t>ATH02</t>
        </is>
      </c>
      <c r="D39" t="n">
        <v>8.199999999999999</v>
      </c>
      <c r="E39" t="n">
        <v>1</v>
      </c>
      <c r="F39" t="n">
        <v>3</v>
      </c>
      <c r="G39" t="n">
        <v>1</v>
      </c>
      <c r="H39" t="n">
        <v>7</v>
      </c>
      <c r="I39" t="inlineStr">
        <is>
          <t>Non</t>
        </is>
      </c>
    </row>
    <row r="40">
      <c r="A40" s="4" t="n">
        <v>46058</v>
      </c>
      <c r="B40" t="inlineStr">
        <is>
          <t>S1</t>
        </is>
      </c>
      <c r="C40" t="inlineStr">
        <is>
          <t>ATH03</t>
        </is>
      </c>
      <c r="D40" t="n">
        <v>7.8</v>
      </c>
      <c r="E40" t="n">
        <v>3</v>
      </c>
      <c r="F40" t="n">
        <v>4</v>
      </c>
      <c r="G40" t="n">
        <v>1</v>
      </c>
      <c r="H40" t="n">
        <v>8</v>
      </c>
      <c r="I40" t="inlineStr">
        <is>
          <t>Non</t>
        </is>
      </c>
    </row>
    <row r="41">
      <c r="A41" s="4" t="n">
        <v>46058</v>
      </c>
      <c r="B41" t="inlineStr">
        <is>
          <t>S1</t>
        </is>
      </c>
      <c r="C41" t="inlineStr">
        <is>
          <t>ATH04</t>
        </is>
      </c>
      <c r="D41" t="n">
        <v>7</v>
      </c>
      <c r="E41" t="n">
        <v>1</v>
      </c>
      <c r="F41" t="n">
        <v>2</v>
      </c>
      <c r="G41" t="n">
        <v>1</v>
      </c>
      <c r="H41" t="n">
        <v>7</v>
      </c>
      <c r="I41" t="inlineStr">
        <is>
          <t>Non</t>
        </is>
      </c>
    </row>
    <row r="42">
      <c r="A42" s="4" t="n">
        <v>46058</v>
      </c>
      <c r="B42" t="inlineStr">
        <is>
          <t>S1</t>
        </is>
      </c>
      <c r="C42" t="inlineStr">
        <is>
          <t>ATH05</t>
        </is>
      </c>
      <c r="D42" t="n">
        <v>7.3</v>
      </c>
      <c r="E42" t="n">
        <v>4</v>
      </c>
      <c r="F42" t="n">
        <v>3</v>
      </c>
      <c r="G42" t="n">
        <v>1</v>
      </c>
      <c r="H42" t="n">
        <v>6</v>
      </c>
      <c r="I42" t="inlineStr">
        <is>
          <t>Non</t>
        </is>
      </c>
    </row>
    <row r="43">
      <c r="A43" s="4" t="n">
        <v>46058</v>
      </c>
      <c r="B43" t="inlineStr">
        <is>
          <t>S1</t>
        </is>
      </c>
      <c r="C43" t="inlineStr">
        <is>
          <t>ATH06</t>
        </is>
      </c>
      <c r="D43" t="n">
        <v>7.9</v>
      </c>
      <c r="E43" t="n">
        <v>4</v>
      </c>
      <c r="F43" t="n">
        <v>4</v>
      </c>
      <c r="G43" t="n">
        <v>5</v>
      </c>
      <c r="H43" t="n">
        <v>6</v>
      </c>
      <c r="I43" t="inlineStr">
        <is>
          <t>Non</t>
        </is>
      </c>
    </row>
    <row r="44">
      <c r="A44" s="4" t="n">
        <v>46058</v>
      </c>
      <c r="B44" t="inlineStr">
        <is>
          <t>S1</t>
        </is>
      </c>
      <c r="C44" t="inlineStr">
        <is>
          <t>ATH07</t>
        </is>
      </c>
      <c r="D44" t="n">
        <v>7.8</v>
      </c>
      <c r="E44" t="n">
        <v>5</v>
      </c>
      <c r="F44" t="n">
        <v>2</v>
      </c>
      <c r="G44" t="n">
        <v>3</v>
      </c>
      <c r="H44" t="n">
        <v>6</v>
      </c>
      <c r="I44" t="inlineStr">
        <is>
          <t>Non</t>
        </is>
      </c>
    </row>
    <row r="45">
      <c r="A45" s="4" t="n">
        <v>46058</v>
      </c>
      <c r="B45" t="inlineStr">
        <is>
          <t>S1</t>
        </is>
      </c>
      <c r="C45" t="inlineStr">
        <is>
          <t>ATH08</t>
        </is>
      </c>
      <c r="D45" t="n">
        <v>7.1</v>
      </c>
      <c r="E45" t="n">
        <v>3</v>
      </c>
      <c r="F45" t="n">
        <v>2</v>
      </c>
      <c r="G45" t="n">
        <v>3</v>
      </c>
      <c r="H45" t="n">
        <v>5</v>
      </c>
      <c r="I45" t="inlineStr">
        <is>
          <t>Non</t>
        </is>
      </c>
    </row>
    <row r="46">
      <c r="A46" s="4" t="n">
        <v>46058</v>
      </c>
      <c r="B46" t="inlineStr">
        <is>
          <t>S1</t>
        </is>
      </c>
      <c r="C46" t="inlineStr">
        <is>
          <t>ATH09</t>
        </is>
      </c>
      <c r="D46" t="n">
        <v>7.4</v>
      </c>
      <c r="E46" t="n">
        <v>4</v>
      </c>
      <c r="F46" t="n">
        <v>2</v>
      </c>
      <c r="G46" t="n">
        <v>3</v>
      </c>
      <c r="H46" t="n">
        <v>7</v>
      </c>
      <c r="I46" t="inlineStr">
        <is>
          <t>Non</t>
        </is>
      </c>
    </row>
    <row r="47">
      <c r="A47" s="4" t="n">
        <v>46058</v>
      </c>
      <c r="B47" t="inlineStr">
        <is>
          <t>S1</t>
        </is>
      </c>
      <c r="C47" t="inlineStr">
        <is>
          <t>ATH10</t>
        </is>
      </c>
      <c r="D47" t="n">
        <v>7.8</v>
      </c>
      <c r="E47" t="n">
        <v>3</v>
      </c>
      <c r="F47" t="n">
        <v>4</v>
      </c>
      <c r="G47" t="n">
        <v>1</v>
      </c>
      <c r="H47" t="n">
        <v>10</v>
      </c>
      <c r="I47" t="inlineStr">
        <is>
          <t>Non</t>
        </is>
      </c>
    </row>
    <row r="48">
      <c r="A48" s="4" t="n">
        <v>46058</v>
      </c>
      <c r="B48" t="inlineStr">
        <is>
          <t>S1</t>
        </is>
      </c>
      <c r="C48" t="inlineStr">
        <is>
          <t>ATH11</t>
        </is>
      </c>
      <c r="D48" t="n">
        <v>6.9</v>
      </c>
      <c r="E48" t="n">
        <v>3</v>
      </c>
      <c r="F48" t="n">
        <v>1</v>
      </c>
      <c r="G48" t="n">
        <v>4</v>
      </c>
      <c r="H48" t="n">
        <v>7</v>
      </c>
      <c r="I48" t="inlineStr">
        <is>
          <t>Non</t>
        </is>
      </c>
    </row>
    <row r="49">
      <c r="A49" s="4" t="n">
        <v>46058</v>
      </c>
      <c r="B49" t="inlineStr">
        <is>
          <t>S1</t>
        </is>
      </c>
      <c r="C49" t="inlineStr">
        <is>
          <t>ATH12</t>
        </is>
      </c>
      <c r="D49" t="n">
        <v>7</v>
      </c>
      <c r="E49" t="n">
        <v>4</v>
      </c>
      <c r="F49" t="n">
        <v>2</v>
      </c>
      <c r="G49" t="n">
        <v>4</v>
      </c>
      <c r="H49" t="n">
        <v>5</v>
      </c>
      <c r="I49" t="inlineStr">
        <is>
          <t>Non</t>
        </is>
      </c>
    </row>
    <row r="50">
      <c r="A50" s="4" t="n">
        <v>46059</v>
      </c>
      <c r="B50" t="inlineStr">
        <is>
          <t>S1</t>
        </is>
      </c>
      <c r="C50" t="inlineStr">
        <is>
          <t>ATH01</t>
        </is>
      </c>
      <c r="D50" t="n">
        <v>7.5</v>
      </c>
      <c r="E50" t="n">
        <v>5</v>
      </c>
      <c r="F50" t="n">
        <v>4</v>
      </c>
      <c r="G50" t="n">
        <v>3</v>
      </c>
      <c r="H50" t="n">
        <v>6</v>
      </c>
      <c r="I50" t="inlineStr">
        <is>
          <t>Non</t>
        </is>
      </c>
    </row>
    <row r="51">
      <c r="A51" s="4" t="n">
        <v>46059</v>
      </c>
      <c r="B51" t="inlineStr">
        <is>
          <t>S1</t>
        </is>
      </c>
      <c r="C51" t="inlineStr">
        <is>
          <t>ATH02</t>
        </is>
      </c>
      <c r="D51" t="n">
        <v>7.5</v>
      </c>
      <c r="E51" t="n">
        <v>3</v>
      </c>
      <c r="F51" t="n">
        <v>3</v>
      </c>
      <c r="G51" t="n">
        <v>2</v>
      </c>
      <c r="H51" t="n">
        <v>7</v>
      </c>
      <c r="I51" t="inlineStr">
        <is>
          <t>Non</t>
        </is>
      </c>
    </row>
    <row r="52">
      <c r="A52" s="4" t="n">
        <v>46059</v>
      </c>
      <c r="B52" t="inlineStr">
        <is>
          <t>S1</t>
        </is>
      </c>
      <c r="C52" t="inlineStr">
        <is>
          <t>ATH03</t>
        </is>
      </c>
      <c r="D52" t="n">
        <v>6.7</v>
      </c>
      <c r="E52" t="n">
        <v>5</v>
      </c>
      <c r="F52" t="n">
        <v>1</v>
      </c>
      <c r="G52" t="n">
        <v>3</v>
      </c>
      <c r="H52" t="n">
        <v>8</v>
      </c>
      <c r="I52" t="inlineStr">
        <is>
          <t>Non</t>
        </is>
      </c>
    </row>
    <row r="53">
      <c r="A53" s="4" t="n">
        <v>46059</v>
      </c>
      <c r="B53" t="inlineStr">
        <is>
          <t>S1</t>
        </is>
      </c>
      <c r="C53" t="inlineStr">
        <is>
          <t>ATH04</t>
        </is>
      </c>
      <c r="D53" t="n">
        <v>7.3</v>
      </c>
      <c r="E53" t="n">
        <v>3</v>
      </c>
      <c r="F53" t="n">
        <v>5</v>
      </c>
      <c r="G53" t="n">
        <v>4</v>
      </c>
      <c r="H53" t="n">
        <v>7</v>
      </c>
      <c r="I53" t="inlineStr">
        <is>
          <t>Non</t>
        </is>
      </c>
    </row>
    <row r="54">
      <c r="A54" s="4" t="n">
        <v>46059</v>
      </c>
      <c r="B54" t="inlineStr">
        <is>
          <t>S1</t>
        </is>
      </c>
      <c r="C54" t="inlineStr">
        <is>
          <t>ATH05</t>
        </is>
      </c>
      <c r="D54" t="n">
        <v>6.3</v>
      </c>
      <c r="E54" t="n">
        <v>2</v>
      </c>
      <c r="F54" t="n">
        <v>4</v>
      </c>
      <c r="G54" t="n">
        <v>4</v>
      </c>
      <c r="H54" t="n">
        <v>7</v>
      </c>
      <c r="I54" t="inlineStr">
        <is>
          <t>Non</t>
        </is>
      </c>
    </row>
    <row r="55">
      <c r="A55" s="4" t="n">
        <v>46059</v>
      </c>
      <c r="B55" t="inlineStr">
        <is>
          <t>S1</t>
        </is>
      </c>
      <c r="C55" t="inlineStr">
        <is>
          <t>ATH06</t>
        </is>
      </c>
      <c r="D55" t="n">
        <v>7.9</v>
      </c>
      <c r="E55" t="n">
        <v>5</v>
      </c>
      <c r="F55" t="n">
        <v>2</v>
      </c>
      <c r="G55" t="n">
        <v>3</v>
      </c>
      <c r="H55" t="n">
        <v>5</v>
      </c>
      <c r="I55" t="inlineStr">
        <is>
          <t>Non</t>
        </is>
      </c>
    </row>
    <row r="56">
      <c r="A56" s="4" t="n">
        <v>46059</v>
      </c>
      <c r="B56" t="inlineStr">
        <is>
          <t>S1</t>
        </is>
      </c>
      <c r="C56" t="inlineStr">
        <is>
          <t>ATH07</t>
        </is>
      </c>
      <c r="D56" t="n">
        <v>6.6</v>
      </c>
      <c r="E56" t="n">
        <v>1</v>
      </c>
      <c r="F56" t="n">
        <v>1</v>
      </c>
      <c r="G56" t="n">
        <v>5</v>
      </c>
      <c r="H56" t="n">
        <v>5</v>
      </c>
      <c r="I56" t="inlineStr">
        <is>
          <t>Non</t>
        </is>
      </c>
    </row>
    <row r="57">
      <c r="A57" s="4" t="n">
        <v>46059</v>
      </c>
      <c r="B57" t="inlineStr">
        <is>
          <t>S1</t>
        </is>
      </c>
      <c r="C57" t="inlineStr">
        <is>
          <t>ATH08</t>
        </is>
      </c>
      <c r="D57" t="n">
        <v>7.3</v>
      </c>
      <c r="E57" t="n">
        <v>1</v>
      </c>
      <c r="F57" t="n">
        <v>2</v>
      </c>
      <c r="G57" t="n">
        <v>3</v>
      </c>
      <c r="H57" t="n">
        <v>6</v>
      </c>
      <c r="I57" t="inlineStr">
        <is>
          <t>Non</t>
        </is>
      </c>
    </row>
    <row r="58">
      <c r="A58" s="4" t="n">
        <v>46059</v>
      </c>
      <c r="B58" t="inlineStr">
        <is>
          <t>S1</t>
        </is>
      </c>
      <c r="C58" t="inlineStr">
        <is>
          <t>ATH09</t>
        </is>
      </c>
      <c r="D58" t="n">
        <v>8.300000000000001</v>
      </c>
      <c r="E58" t="n">
        <v>5</v>
      </c>
      <c r="F58" t="n">
        <v>1</v>
      </c>
      <c r="G58" t="n">
        <v>2</v>
      </c>
      <c r="H58" t="n">
        <v>7</v>
      </c>
      <c r="I58" t="inlineStr">
        <is>
          <t>Non</t>
        </is>
      </c>
    </row>
    <row r="59">
      <c r="A59" s="4" t="n">
        <v>46059</v>
      </c>
      <c r="B59" t="inlineStr">
        <is>
          <t>S1</t>
        </is>
      </c>
      <c r="C59" t="inlineStr">
        <is>
          <t>ATH10</t>
        </is>
      </c>
      <c r="D59" t="n">
        <v>8.300000000000001</v>
      </c>
      <c r="E59" t="n">
        <v>2</v>
      </c>
      <c r="F59" t="n">
        <v>2</v>
      </c>
      <c r="G59" t="n">
        <v>1</v>
      </c>
      <c r="H59" t="n">
        <v>5</v>
      </c>
      <c r="I59" t="inlineStr">
        <is>
          <t>Non</t>
        </is>
      </c>
    </row>
    <row r="60">
      <c r="A60" s="4" t="n">
        <v>46059</v>
      </c>
      <c r="B60" t="inlineStr">
        <is>
          <t>S1</t>
        </is>
      </c>
      <c r="C60" t="inlineStr">
        <is>
          <t>ATH11</t>
        </is>
      </c>
      <c r="D60" t="n">
        <v>8.5</v>
      </c>
      <c r="E60" t="n">
        <v>1</v>
      </c>
      <c r="F60" t="n">
        <v>6</v>
      </c>
      <c r="G60" t="n">
        <v>4</v>
      </c>
      <c r="H60" t="n">
        <v>7</v>
      </c>
      <c r="I60" t="inlineStr">
        <is>
          <t>Non</t>
        </is>
      </c>
    </row>
    <row r="61">
      <c r="A61" s="4" t="n">
        <v>46059</v>
      </c>
      <c r="B61" t="inlineStr">
        <is>
          <t>S1</t>
        </is>
      </c>
      <c r="C61" t="inlineStr">
        <is>
          <t>ATH12</t>
        </is>
      </c>
      <c r="D61" t="n">
        <v>7.9</v>
      </c>
      <c r="E61" t="n">
        <v>3</v>
      </c>
      <c r="F61" t="n">
        <v>3</v>
      </c>
      <c r="G61" t="n">
        <v>3</v>
      </c>
      <c r="H61" t="n">
        <v>7</v>
      </c>
      <c r="I61" t="inlineStr">
        <is>
          <t>Non</t>
        </is>
      </c>
    </row>
    <row r="62">
      <c r="A62" s="4" t="n">
        <v>46060</v>
      </c>
      <c r="B62" t="inlineStr">
        <is>
          <t>S1</t>
        </is>
      </c>
      <c r="C62" t="inlineStr">
        <is>
          <t>ATH01</t>
        </is>
      </c>
      <c r="D62" t="n">
        <v>7.5</v>
      </c>
      <c r="E62" t="n">
        <v>2</v>
      </c>
      <c r="F62" t="n">
        <v>1</v>
      </c>
      <c r="G62" t="n">
        <v>2</v>
      </c>
      <c r="H62" t="n">
        <v>8</v>
      </c>
      <c r="I62" t="inlineStr">
        <is>
          <t>Non</t>
        </is>
      </c>
    </row>
    <row r="63">
      <c r="A63" s="4" t="n">
        <v>46060</v>
      </c>
      <c r="B63" t="inlineStr">
        <is>
          <t>S1</t>
        </is>
      </c>
      <c r="C63" t="inlineStr">
        <is>
          <t>ATH02</t>
        </is>
      </c>
      <c r="D63" t="n">
        <v>7.1</v>
      </c>
      <c r="E63" t="n">
        <v>1</v>
      </c>
      <c r="F63" t="n">
        <v>3</v>
      </c>
      <c r="G63" t="n">
        <v>5</v>
      </c>
      <c r="H63" t="n">
        <v>7</v>
      </c>
      <c r="I63" t="inlineStr">
        <is>
          <t>Non</t>
        </is>
      </c>
    </row>
    <row r="64">
      <c r="A64" s="4" t="n">
        <v>46060</v>
      </c>
      <c r="B64" t="inlineStr">
        <is>
          <t>S1</t>
        </is>
      </c>
      <c r="C64" t="inlineStr">
        <is>
          <t>ATH03</t>
        </is>
      </c>
      <c r="D64" t="n">
        <v>7.1</v>
      </c>
      <c r="E64" t="n">
        <v>1</v>
      </c>
      <c r="F64" t="n">
        <v>2</v>
      </c>
      <c r="G64" t="n">
        <v>3</v>
      </c>
      <c r="H64" t="n">
        <v>5</v>
      </c>
      <c r="I64" t="inlineStr">
        <is>
          <t>Non</t>
        </is>
      </c>
    </row>
    <row r="65">
      <c r="A65" s="4" t="n">
        <v>46060</v>
      </c>
      <c r="B65" t="inlineStr">
        <is>
          <t>S1</t>
        </is>
      </c>
      <c r="C65" t="inlineStr">
        <is>
          <t>ATH04</t>
        </is>
      </c>
      <c r="D65" t="n">
        <v>7.9</v>
      </c>
      <c r="E65" t="n">
        <v>5</v>
      </c>
      <c r="F65" t="n">
        <v>3</v>
      </c>
      <c r="G65" t="n">
        <v>3</v>
      </c>
      <c r="H65" t="n">
        <v>5</v>
      </c>
      <c r="I65" t="inlineStr">
        <is>
          <t>Non</t>
        </is>
      </c>
    </row>
    <row r="66">
      <c r="A66" s="4" t="n">
        <v>46060</v>
      </c>
      <c r="B66" t="inlineStr">
        <is>
          <t>S1</t>
        </is>
      </c>
      <c r="C66" t="inlineStr">
        <is>
          <t>ATH05</t>
        </is>
      </c>
      <c r="D66" t="n">
        <v>8.5</v>
      </c>
      <c r="E66" t="n">
        <v>3</v>
      </c>
      <c r="F66" t="n">
        <v>2</v>
      </c>
      <c r="G66" t="n">
        <v>3</v>
      </c>
      <c r="H66" t="n">
        <v>7</v>
      </c>
      <c r="I66" t="inlineStr">
        <is>
          <t>Non</t>
        </is>
      </c>
    </row>
    <row r="67">
      <c r="A67" s="4" t="n">
        <v>46060</v>
      </c>
      <c r="B67" t="inlineStr">
        <is>
          <t>S1</t>
        </is>
      </c>
      <c r="C67" t="inlineStr">
        <is>
          <t>ATH06</t>
        </is>
      </c>
      <c r="D67" t="n">
        <v>7.6</v>
      </c>
      <c r="E67" t="n">
        <v>4</v>
      </c>
      <c r="F67" t="n">
        <v>3</v>
      </c>
      <c r="G67" t="n">
        <v>3</v>
      </c>
      <c r="H67" t="n">
        <v>7</v>
      </c>
      <c r="I67" t="inlineStr">
        <is>
          <t>Non</t>
        </is>
      </c>
    </row>
    <row r="68">
      <c r="A68" s="4" t="n">
        <v>46060</v>
      </c>
      <c r="B68" t="inlineStr">
        <is>
          <t>S1</t>
        </is>
      </c>
      <c r="C68" t="inlineStr">
        <is>
          <t>ATH07</t>
        </is>
      </c>
      <c r="D68" t="n">
        <v>7.8</v>
      </c>
      <c r="E68" t="n">
        <v>1</v>
      </c>
      <c r="F68" t="n">
        <v>4</v>
      </c>
      <c r="G68" t="n">
        <v>3</v>
      </c>
      <c r="H68" t="n">
        <v>6</v>
      </c>
      <c r="I68" t="inlineStr">
        <is>
          <t>Non</t>
        </is>
      </c>
    </row>
    <row r="69">
      <c r="A69" s="4" t="n">
        <v>46060</v>
      </c>
      <c r="B69" t="inlineStr">
        <is>
          <t>S1</t>
        </is>
      </c>
      <c r="C69" t="inlineStr">
        <is>
          <t>ATH08</t>
        </is>
      </c>
      <c r="D69" t="n">
        <v>8</v>
      </c>
      <c r="E69" t="n">
        <v>4</v>
      </c>
      <c r="F69" t="n">
        <v>2</v>
      </c>
      <c r="G69" t="n">
        <v>4</v>
      </c>
      <c r="H69" t="n">
        <v>6</v>
      </c>
      <c r="I69" t="inlineStr">
        <is>
          <t>Non</t>
        </is>
      </c>
    </row>
    <row r="70">
      <c r="A70" s="4" t="n">
        <v>46060</v>
      </c>
      <c r="B70" t="inlineStr">
        <is>
          <t>S1</t>
        </is>
      </c>
      <c r="C70" t="inlineStr">
        <is>
          <t>ATH09</t>
        </is>
      </c>
      <c r="D70" t="n">
        <v>8.800000000000001</v>
      </c>
      <c r="E70" t="n">
        <v>2</v>
      </c>
      <c r="F70" t="n">
        <v>3</v>
      </c>
      <c r="G70" t="n">
        <v>2</v>
      </c>
      <c r="H70" t="n">
        <v>9</v>
      </c>
      <c r="I70" t="inlineStr">
        <is>
          <t>Non</t>
        </is>
      </c>
    </row>
    <row r="71">
      <c r="A71" s="4" t="n">
        <v>46060</v>
      </c>
      <c r="B71" t="inlineStr">
        <is>
          <t>S1</t>
        </is>
      </c>
      <c r="C71" t="inlineStr">
        <is>
          <t>ATH10</t>
        </is>
      </c>
      <c r="D71" t="n">
        <v>6.6</v>
      </c>
      <c r="E71" t="n">
        <v>4</v>
      </c>
      <c r="F71" t="n">
        <v>1</v>
      </c>
      <c r="G71" t="n">
        <v>3</v>
      </c>
      <c r="H71" t="n">
        <v>7</v>
      </c>
      <c r="I71" t="inlineStr">
        <is>
          <t>Non</t>
        </is>
      </c>
    </row>
    <row r="72">
      <c r="A72" s="4" t="n">
        <v>46060</v>
      </c>
      <c r="B72" t="inlineStr">
        <is>
          <t>S1</t>
        </is>
      </c>
      <c r="C72" t="inlineStr">
        <is>
          <t>ATH11</t>
        </is>
      </c>
      <c r="D72" t="n">
        <v>8.4</v>
      </c>
      <c r="E72" t="n">
        <v>5</v>
      </c>
      <c r="F72" t="n">
        <v>1</v>
      </c>
      <c r="G72" t="n">
        <v>3</v>
      </c>
      <c r="H72" t="n">
        <v>8</v>
      </c>
      <c r="I72" t="inlineStr">
        <is>
          <t>Non</t>
        </is>
      </c>
    </row>
    <row r="73">
      <c r="A73" s="4" t="n">
        <v>46060</v>
      </c>
      <c r="B73" t="inlineStr">
        <is>
          <t>S1</t>
        </is>
      </c>
      <c r="C73" t="inlineStr">
        <is>
          <t>ATH12</t>
        </is>
      </c>
      <c r="D73" t="n">
        <v>6.3</v>
      </c>
      <c r="E73" t="n">
        <v>3</v>
      </c>
      <c r="F73" t="n">
        <v>2</v>
      </c>
      <c r="G73" t="n">
        <v>4</v>
      </c>
      <c r="H73" t="n">
        <v>6</v>
      </c>
      <c r="I73" t="inlineStr">
        <is>
          <t>Non</t>
        </is>
      </c>
    </row>
    <row r="74">
      <c r="A74" s="4" t="n">
        <v>46061</v>
      </c>
      <c r="B74" t="inlineStr">
        <is>
          <t>S1</t>
        </is>
      </c>
      <c r="C74" t="inlineStr">
        <is>
          <t>ATH01</t>
        </is>
      </c>
      <c r="D74" t="n">
        <v>6.5</v>
      </c>
      <c r="E74" t="n">
        <v>1</v>
      </c>
      <c r="F74" t="n">
        <v>4</v>
      </c>
      <c r="G74" t="n">
        <v>4</v>
      </c>
      <c r="H74" t="n">
        <v>7</v>
      </c>
      <c r="I74" t="inlineStr">
        <is>
          <t>Non</t>
        </is>
      </c>
    </row>
    <row r="75">
      <c r="A75" s="4" t="n">
        <v>46061</v>
      </c>
      <c r="B75" t="inlineStr">
        <is>
          <t>S1</t>
        </is>
      </c>
      <c r="C75" t="inlineStr">
        <is>
          <t>ATH02</t>
        </is>
      </c>
      <c r="D75" t="n">
        <v>7.1</v>
      </c>
      <c r="E75" t="n">
        <v>1</v>
      </c>
      <c r="F75" t="n">
        <v>3</v>
      </c>
      <c r="G75" t="n">
        <v>2</v>
      </c>
      <c r="H75" t="n">
        <v>6</v>
      </c>
      <c r="I75" t="inlineStr">
        <is>
          <t>Non</t>
        </is>
      </c>
    </row>
    <row r="76">
      <c r="A76" s="4" t="n">
        <v>46061</v>
      </c>
      <c r="B76" t="inlineStr">
        <is>
          <t>S1</t>
        </is>
      </c>
      <c r="C76" t="inlineStr">
        <is>
          <t>ATH03</t>
        </is>
      </c>
      <c r="D76" t="n">
        <v>7.1</v>
      </c>
      <c r="E76" t="n">
        <v>3</v>
      </c>
      <c r="F76" t="n">
        <v>1</v>
      </c>
      <c r="G76" t="n">
        <v>3</v>
      </c>
      <c r="H76" t="n">
        <v>6</v>
      </c>
      <c r="I76" t="inlineStr">
        <is>
          <t>Non</t>
        </is>
      </c>
    </row>
    <row r="77">
      <c r="A77" s="4" t="n">
        <v>46061</v>
      </c>
      <c r="B77" t="inlineStr">
        <is>
          <t>S1</t>
        </is>
      </c>
      <c r="C77" t="inlineStr">
        <is>
          <t>ATH04</t>
        </is>
      </c>
      <c r="D77" t="n">
        <v>8</v>
      </c>
      <c r="E77" t="n">
        <v>4</v>
      </c>
      <c r="F77" t="n">
        <v>3</v>
      </c>
      <c r="G77" t="n">
        <v>4</v>
      </c>
      <c r="H77" t="n">
        <v>9</v>
      </c>
      <c r="I77" t="inlineStr">
        <is>
          <t>Non</t>
        </is>
      </c>
    </row>
    <row r="78">
      <c r="A78" s="4" t="n">
        <v>46061</v>
      </c>
      <c r="B78" t="inlineStr">
        <is>
          <t>S1</t>
        </is>
      </c>
      <c r="C78" t="inlineStr">
        <is>
          <t>ATH05</t>
        </is>
      </c>
      <c r="D78" t="n">
        <v>6.7</v>
      </c>
      <c r="E78" t="n">
        <v>2</v>
      </c>
      <c r="F78" t="n">
        <v>3</v>
      </c>
      <c r="G78" t="n">
        <v>6</v>
      </c>
      <c r="H78" t="n">
        <v>6</v>
      </c>
      <c r="I78" t="inlineStr">
        <is>
          <t>Non</t>
        </is>
      </c>
    </row>
    <row r="79">
      <c r="A79" s="4" t="n">
        <v>46061</v>
      </c>
      <c r="B79" t="inlineStr">
        <is>
          <t>S1</t>
        </is>
      </c>
      <c r="C79" t="inlineStr">
        <is>
          <t>ATH06</t>
        </is>
      </c>
      <c r="D79" t="n">
        <v>8.699999999999999</v>
      </c>
      <c r="E79" t="n">
        <v>3</v>
      </c>
      <c r="F79" t="n">
        <v>2</v>
      </c>
      <c r="G79" t="n">
        <v>2</v>
      </c>
      <c r="H79" t="n">
        <v>7</v>
      </c>
      <c r="I79" t="inlineStr">
        <is>
          <t>Non</t>
        </is>
      </c>
    </row>
    <row r="80">
      <c r="A80" s="4" t="n">
        <v>46061</v>
      </c>
      <c r="B80" t="inlineStr">
        <is>
          <t>S1</t>
        </is>
      </c>
      <c r="C80" t="inlineStr">
        <is>
          <t>ATH07</t>
        </is>
      </c>
      <c r="D80" t="n">
        <v>6.9</v>
      </c>
      <c r="E80" t="n">
        <v>3</v>
      </c>
      <c r="F80" t="n">
        <v>5</v>
      </c>
      <c r="G80" t="n">
        <v>3</v>
      </c>
      <c r="H80" t="n">
        <v>8</v>
      </c>
      <c r="I80" t="inlineStr">
        <is>
          <t>Non</t>
        </is>
      </c>
    </row>
    <row r="81">
      <c r="A81" s="4" t="n">
        <v>46061</v>
      </c>
      <c r="B81" t="inlineStr">
        <is>
          <t>S1</t>
        </is>
      </c>
      <c r="C81" t="inlineStr">
        <is>
          <t>ATH08</t>
        </is>
      </c>
      <c r="D81" t="n">
        <v>6.6</v>
      </c>
      <c r="E81" t="n">
        <v>2</v>
      </c>
      <c r="F81" t="n">
        <v>1</v>
      </c>
      <c r="G81" t="n">
        <v>3</v>
      </c>
      <c r="H81" t="n">
        <v>7</v>
      </c>
      <c r="I81" t="inlineStr">
        <is>
          <t>Non</t>
        </is>
      </c>
    </row>
    <row r="82">
      <c r="A82" s="4" t="n">
        <v>46061</v>
      </c>
      <c r="B82" t="inlineStr">
        <is>
          <t>S1</t>
        </is>
      </c>
      <c r="C82" t="inlineStr">
        <is>
          <t>ATH09</t>
        </is>
      </c>
      <c r="D82" t="n">
        <v>7.6</v>
      </c>
      <c r="E82" t="n">
        <v>4</v>
      </c>
      <c r="F82" t="n">
        <v>1</v>
      </c>
      <c r="G82" t="n">
        <v>3</v>
      </c>
      <c r="H82" t="n">
        <v>6</v>
      </c>
      <c r="I82" t="inlineStr">
        <is>
          <t>Non</t>
        </is>
      </c>
    </row>
    <row r="83">
      <c r="A83" s="4" t="n">
        <v>46061</v>
      </c>
      <c r="B83" t="inlineStr">
        <is>
          <t>S1</t>
        </is>
      </c>
      <c r="C83" t="inlineStr">
        <is>
          <t>ATH10</t>
        </is>
      </c>
      <c r="D83" t="n">
        <v>7.8</v>
      </c>
      <c r="E83" t="n">
        <v>4</v>
      </c>
      <c r="F83" t="n">
        <v>3</v>
      </c>
      <c r="G83" t="n">
        <v>2</v>
      </c>
      <c r="H83" t="n">
        <v>6</v>
      </c>
      <c r="I83" t="inlineStr">
        <is>
          <t>Non</t>
        </is>
      </c>
    </row>
    <row r="84">
      <c r="A84" s="4" t="n">
        <v>46061</v>
      </c>
      <c r="B84" t="inlineStr">
        <is>
          <t>S1</t>
        </is>
      </c>
      <c r="C84" t="inlineStr">
        <is>
          <t>ATH11</t>
        </is>
      </c>
      <c r="D84" t="n">
        <v>7</v>
      </c>
      <c r="E84" t="n">
        <v>3</v>
      </c>
      <c r="F84" t="n">
        <v>3</v>
      </c>
      <c r="G84" t="n">
        <v>4</v>
      </c>
      <c r="H84" t="n">
        <v>6</v>
      </c>
      <c r="I84" t="inlineStr">
        <is>
          <t>Non</t>
        </is>
      </c>
    </row>
    <row r="85">
      <c r="A85" s="4" t="n">
        <v>46061</v>
      </c>
      <c r="B85" t="inlineStr">
        <is>
          <t>S1</t>
        </is>
      </c>
      <c r="C85" t="inlineStr">
        <is>
          <t>ATH12</t>
        </is>
      </c>
      <c r="D85" t="n">
        <v>6.4</v>
      </c>
      <c r="E85" t="n">
        <v>6</v>
      </c>
      <c r="F85" t="n">
        <v>1</v>
      </c>
      <c r="G85" t="n">
        <v>4</v>
      </c>
      <c r="H85" t="n">
        <v>7</v>
      </c>
      <c r="I85" t="inlineStr">
        <is>
          <t>Non</t>
        </is>
      </c>
    </row>
    <row r="86">
      <c r="A86" s="4" t="n">
        <v>46062</v>
      </c>
      <c r="B86" t="inlineStr">
        <is>
          <t>S2</t>
        </is>
      </c>
      <c r="C86" t="inlineStr">
        <is>
          <t>ATH01</t>
        </is>
      </c>
      <c r="D86" t="n">
        <v>7.7</v>
      </c>
      <c r="E86" t="n">
        <v>3</v>
      </c>
      <c r="F86" t="n">
        <v>2</v>
      </c>
      <c r="G86" t="n">
        <v>4</v>
      </c>
      <c r="H86" t="n">
        <v>6</v>
      </c>
      <c r="I86" t="inlineStr">
        <is>
          <t>Non</t>
        </is>
      </c>
    </row>
    <row r="87">
      <c r="A87" s="4" t="n">
        <v>46062</v>
      </c>
      <c r="B87" t="inlineStr">
        <is>
          <t>S2</t>
        </is>
      </c>
      <c r="C87" t="inlineStr">
        <is>
          <t>ATH02</t>
        </is>
      </c>
      <c r="D87" t="n">
        <v>8.300000000000001</v>
      </c>
      <c r="E87" t="n">
        <v>4</v>
      </c>
      <c r="F87" t="n">
        <v>3</v>
      </c>
      <c r="G87" t="n">
        <v>2</v>
      </c>
      <c r="H87" t="n">
        <v>6</v>
      </c>
      <c r="I87" t="inlineStr">
        <is>
          <t>Non</t>
        </is>
      </c>
    </row>
    <row r="88">
      <c r="A88" s="4" t="n">
        <v>46062</v>
      </c>
      <c r="B88" t="inlineStr">
        <is>
          <t>S2</t>
        </is>
      </c>
      <c r="C88" t="inlineStr">
        <is>
          <t>ATH03</t>
        </is>
      </c>
      <c r="D88" t="n">
        <v>6.7</v>
      </c>
      <c r="E88" t="n">
        <v>3</v>
      </c>
      <c r="F88" t="n">
        <v>1</v>
      </c>
      <c r="G88" t="n">
        <v>5</v>
      </c>
      <c r="H88" t="n">
        <v>7</v>
      </c>
      <c r="I88" t="inlineStr">
        <is>
          <t>Non</t>
        </is>
      </c>
    </row>
    <row r="89">
      <c r="A89" s="4" t="n">
        <v>46062</v>
      </c>
      <c r="B89" t="inlineStr">
        <is>
          <t>S2</t>
        </is>
      </c>
      <c r="C89" t="inlineStr">
        <is>
          <t>ATH04</t>
        </is>
      </c>
      <c r="D89" t="n">
        <v>7.6</v>
      </c>
      <c r="E89" t="n">
        <v>3</v>
      </c>
      <c r="F89" t="n">
        <v>3</v>
      </c>
      <c r="G89" t="n">
        <v>6</v>
      </c>
      <c r="H89" t="n">
        <v>6</v>
      </c>
      <c r="I89" t="inlineStr">
        <is>
          <t>Non</t>
        </is>
      </c>
    </row>
    <row r="90">
      <c r="A90" s="4" t="n">
        <v>46062</v>
      </c>
      <c r="B90" t="inlineStr">
        <is>
          <t>S2</t>
        </is>
      </c>
      <c r="C90" t="inlineStr">
        <is>
          <t>ATH05</t>
        </is>
      </c>
      <c r="D90" t="n">
        <v>7</v>
      </c>
      <c r="E90" t="n">
        <v>4</v>
      </c>
      <c r="F90" t="n">
        <v>1</v>
      </c>
      <c r="G90" t="n">
        <v>3</v>
      </c>
      <c r="H90" t="n">
        <v>6</v>
      </c>
      <c r="I90" t="inlineStr">
        <is>
          <t>Non</t>
        </is>
      </c>
    </row>
    <row r="91">
      <c r="A91" s="4" t="n">
        <v>46062</v>
      </c>
      <c r="B91" t="inlineStr">
        <is>
          <t>S2</t>
        </is>
      </c>
      <c r="C91" t="inlineStr">
        <is>
          <t>ATH06</t>
        </is>
      </c>
      <c r="D91" t="n">
        <v>6.8</v>
      </c>
      <c r="E91" t="n">
        <v>4</v>
      </c>
      <c r="F91" t="n">
        <v>3</v>
      </c>
      <c r="G91" t="n">
        <v>1</v>
      </c>
      <c r="H91" t="n">
        <v>6</v>
      </c>
      <c r="I91" t="inlineStr">
        <is>
          <t>Non</t>
        </is>
      </c>
    </row>
    <row r="92">
      <c r="A92" s="4" t="n">
        <v>46062</v>
      </c>
      <c r="B92" t="inlineStr">
        <is>
          <t>S2</t>
        </is>
      </c>
      <c r="C92" t="inlineStr">
        <is>
          <t>ATH07</t>
        </is>
      </c>
      <c r="D92" t="n">
        <v>5.5</v>
      </c>
      <c r="E92" t="n">
        <v>3</v>
      </c>
      <c r="F92" t="n">
        <v>3</v>
      </c>
      <c r="G92" t="n">
        <v>2</v>
      </c>
      <c r="H92" t="n">
        <v>7</v>
      </c>
      <c r="I92" t="inlineStr">
        <is>
          <t>Non</t>
        </is>
      </c>
    </row>
    <row r="93">
      <c r="A93" s="4" t="n">
        <v>46062</v>
      </c>
      <c r="B93" t="inlineStr">
        <is>
          <t>S2</t>
        </is>
      </c>
      <c r="C93" t="inlineStr">
        <is>
          <t>ATH08</t>
        </is>
      </c>
      <c r="D93" t="n">
        <v>6.6</v>
      </c>
      <c r="E93" t="n">
        <v>2</v>
      </c>
      <c r="F93" t="n">
        <v>3</v>
      </c>
      <c r="G93" t="n">
        <v>2</v>
      </c>
      <c r="H93" t="n">
        <v>6</v>
      </c>
      <c r="I93" t="inlineStr">
        <is>
          <t>Non</t>
        </is>
      </c>
    </row>
    <row r="94">
      <c r="A94" s="4" t="n">
        <v>46062</v>
      </c>
      <c r="B94" t="inlineStr">
        <is>
          <t>S2</t>
        </is>
      </c>
      <c r="C94" t="inlineStr">
        <is>
          <t>ATH09</t>
        </is>
      </c>
      <c r="D94" t="n">
        <v>7.1</v>
      </c>
      <c r="E94" t="n">
        <v>3</v>
      </c>
      <c r="F94" t="n">
        <v>2</v>
      </c>
      <c r="G94" t="n">
        <v>2</v>
      </c>
      <c r="H94" t="n">
        <v>7</v>
      </c>
      <c r="I94" t="inlineStr">
        <is>
          <t>Non</t>
        </is>
      </c>
    </row>
    <row r="95">
      <c r="A95" s="4" t="n">
        <v>46062</v>
      </c>
      <c r="B95" t="inlineStr">
        <is>
          <t>S2</t>
        </is>
      </c>
      <c r="C95" t="inlineStr">
        <is>
          <t>ATH10</t>
        </is>
      </c>
      <c r="D95" t="n">
        <v>7.1</v>
      </c>
      <c r="E95" t="n">
        <v>3</v>
      </c>
      <c r="F95" t="n">
        <v>1</v>
      </c>
      <c r="G95" t="n">
        <v>1</v>
      </c>
      <c r="H95" t="n">
        <v>8</v>
      </c>
      <c r="I95" t="inlineStr">
        <is>
          <t>Non</t>
        </is>
      </c>
    </row>
    <row r="96">
      <c r="A96" s="4" t="n">
        <v>46062</v>
      </c>
      <c r="B96" t="inlineStr">
        <is>
          <t>S2</t>
        </is>
      </c>
      <c r="C96" t="inlineStr">
        <is>
          <t>ATH11</t>
        </is>
      </c>
      <c r="D96" t="n">
        <v>7.8</v>
      </c>
      <c r="E96" t="n">
        <v>6</v>
      </c>
      <c r="F96" t="n">
        <v>1</v>
      </c>
      <c r="G96" t="n">
        <v>3</v>
      </c>
      <c r="H96" t="n">
        <v>6</v>
      </c>
      <c r="I96" t="inlineStr">
        <is>
          <t>Non</t>
        </is>
      </c>
    </row>
    <row r="97">
      <c r="A97" s="4" t="n">
        <v>46062</v>
      </c>
      <c r="B97" t="inlineStr">
        <is>
          <t>S2</t>
        </is>
      </c>
      <c r="C97" t="inlineStr">
        <is>
          <t>ATH12</t>
        </is>
      </c>
      <c r="D97" t="n">
        <v>8.199999999999999</v>
      </c>
      <c r="E97" t="n">
        <v>2</v>
      </c>
      <c r="F97" t="n">
        <v>1</v>
      </c>
      <c r="G97" t="n">
        <v>5</v>
      </c>
      <c r="H97" t="n">
        <v>6</v>
      </c>
      <c r="I97" t="inlineStr">
        <is>
          <t>Non</t>
        </is>
      </c>
    </row>
    <row r="98">
      <c r="A98" s="4" t="n">
        <v>46063</v>
      </c>
      <c r="B98" t="inlineStr">
        <is>
          <t>S2</t>
        </is>
      </c>
      <c r="C98" t="inlineStr">
        <is>
          <t>ATH01</t>
        </is>
      </c>
      <c r="D98" t="n">
        <v>8.1</v>
      </c>
      <c r="E98" t="n">
        <v>4</v>
      </c>
      <c r="F98" t="n">
        <v>2</v>
      </c>
      <c r="G98" t="n">
        <v>3</v>
      </c>
      <c r="H98" t="n">
        <v>6</v>
      </c>
      <c r="I98" t="inlineStr">
        <is>
          <t>Non</t>
        </is>
      </c>
    </row>
    <row r="99">
      <c r="A99" s="4" t="n">
        <v>46063</v>
      </c>
      <c r="B99" t="inlineStr">
        <is>
          <t>S2</t>
        </is>
      </c>
      <c r="C99" t="inlineStr">
        <is>
          <t>ATH02</t>
        </is>
      </c>
      <c r="D99" t="n">
        <v>7.5</v>
      </c>
      <c r="E99" t="n">
        <v>4</v>
      </c>
      <c r="F99" t="n">
        <v>1</v>
      </c>
      <c r="G99" t="n">
        <v>3</v>
      </c>
      <c r="H99" t="n">
        <v>5</v>
      </c>
      <c r="I99" t="inlineStr">
        <is>
          <t>Non</t>
        </is>
      </c>
    </row>
    <row r="100">
      <c r="A100" s="4" t="n">
        <v>46063</v>
      </c>
      <c r="B100" t="inlineStr">
        <is>
          <t>S2</t>
        </is>
      </c>
      <c r="C100" t="inlineStr">
        <is>
          <t>ATH03</t>
        </is>
      </c>
      <c r="D100" t="n">
        <v>6.8</v>
      </c>
      <c r="E100" t="n">
        <v>3</v>
      </c>
      <c r="F100" t="n">
        <v>1</v>
      </c>
      <c r="G100" t="n">
        <v>6</v>
      </c>
      <c r="H100" t="n">
        <v>5</v>
      </c>
      <c r="I100" t="inlineStr">
        <is>
          <t>Non</t>
        </is>
      </c>
    </row>
    <row r="101">
      <c r="A101" s="4" t="n">
        <v>46063</v>
      </c>
      <c r="B101" t="inlineStr">
        <is>
          <t>S2</t>
        </is>
      </c>
      <c r="C101" t="inlineStr">
        <is>
          <t>ATH04</t>
        </is>
      </c>
      <c r="D101" t="n">
        <v>7.5</v>
      </c>
      <c r="E101" t="n">
        <v>4</v>
      </c>
      <c r="F101" t="n">
        <v>1</v>
      </c>
      <c r="G101" t="n">
        <v>1</v>
      </c>
      <c r="H101" t="n">
        <v>6</v>
      </c>
      <c r="I101" t="inlineStr">
        <is>
          <t>Non</t>
        </is>
      </c>
    </row>
    <row r="102">
      <c r="A102" s="4" t="n">
        <v>46063</v>
      </c>
      <c r="B102" t="inlineStr">
        <is>
          <t>S2</t>
        </is>
      </c>
      <c r="C102" t="inlineStr">
        <is>
          <t>ATH05</t>
        </is>
      </c>
      <c r="D102" t="n">
        <v>6.9</v>
      </c>
      <c r="E102" t="n">
        <v>1</v>
      </c>
      <c r="F102" t="n">
        <v>3</v>
      </c>
      <c r="G102" t="n">
        <v>3</v>
      </c>
      <c r="H102" t="n">
        <v>8</v>
      </c>
      <c r="I102" t="inlineStr">
        <is>
          <t>Non</t>
        </is>
      </c>
    </row>
    <row r="103">
      <c r="A103" s="4" t="n">
        <v>46063</v>
      </c>
      <c r="B103" t="inlineStr">
        <is>
          <t>S2</t>
        </is>
      </c>
      <c r="C103" t="inlineStr">
        <is>
          <t>ATH06</t>
        </is>
      </c>
      <c r="D103" t="n">
        <v>6.7</v>
      </c>
      <c r="E103" t="n">
        <v>1</v>
      </c>
      <c r="F103" t="n">
        <v>2</v>
      </c>
      <c r="G103" t="n">
        <v>3</v>
      </c>
      <c r="H103" t="n">
        <v>8</v>
      </c>
      <c r="I103" t="inlineStr">
        <is>
          <t>Non</t>
        </is>
      </c>
    </row>
    <row r="104">
      <c r="A104" s="4" t="n">
        <v>46063</v>
      </c>
      <c r="B104" t="inlineStr">
        <is>
          <t>S2</t>
        </is>
      </c>
      <c r="C104" t="inlineStr">
        <is>
          <t>ATH07</t>
        </is>
      </c>
      <c r="D104" t="n">
        <v>8.5</v>
      </c>
      <c r="E104" t="n">
        <v>4</v>
      </c>
      <c r="F104" t="n">
        <v>3</v>
      </c>
      <c r="G104" t="n">
        <v>4</v>
      </c>
      <c r="H104" t="n">
        <v>6</v>
      </c>
      <c r="I104" t="inlineStr">
        <is>
          <t>Non</t>
        </is>
      </c>
    </row>
    <row r="105">
      <c r="A105" s="4" t="n">
        <v>46063</v>
      </c>
      <c r="B105" t="inlineStr">
        <is>
          <t>S2</t>
        </is>
      </c>
      <c r="C105" t="inlineStr">
        <is>
          <t>ATH08</t>
        </is>
      </c>
      <c r="D105" t="n">
        <v>7.6</v>
      </c>
      <c r="E105" t="n">
        <v>2</v>
      </c>
      <c r="F105" t="n">
        <v>3</v>
      </c>
      <c r="G105" t="n">
        <v>3</v>
      </c>
      <c r="H105" t="n">
        <v>8</v>
      </c>
      <c r="I105" t="inlineStr">
        <is>
          <t>Non</t>
        </is>
      </c>
    </row>
    <row r="106">
      <c r="A106" s="4" t="n">
        <v>46063</v>
      </c>
      <c r="B106" t="inlineStr">
        <is>
          <t>S2</t>
        </is>
      </c>
      <c r="C106" t="inlineStr">
        <is>
          <t>ATH09</t>
        </is>
      </c>
      <c r="D106" t="n">
        <v>7.3</v>
      </c>
      <c r="E106" t="n">
        <v>3</v>
      </c>
      <c r="F106" t="n">
        <v>3</v>
      </c>
      <c r="G106" t="n">
        <v>2</v>
      </c>
      <c r="H106" t="n">
        <v>6</v>
      </c>
      <c r="I106" t="inlineStr">
        <is>
          <t>Non</t>
        </is>
      </c>
    </row>
    <row r="107">
      <c r="A107" s="4" t="n">
        <v>46063</v>
      </c>
      <c r="B107" t="inlineStr">
        <is>
          <t>S2</t>
        </is>
      </c>
      <c r="C107" t="inlineStr">
        <is>
          <t>ATH10</t>
        </is>
      </c>
      <c r="D107" t="n">
        <v>8.4</v>
      </c>
      <c r="E107" t="n">
        <v>2</v>
      </c>
      <c r="F107" t="n">
        <v>1</v>
      </c>
      <c r="G107" t="n">
        <v>4</v>
      </c>
      <c r="H107" t="n">
        <v>8</v>
      </c>
      <c r="I107" t="inlineStr">
        <is>
          <t>Non</t>
        </is>
      </c>
    </row>
    <row r="108">
      <c r="A108" s="4" t="n">
        <v>46063</v>
      </c>
      <c r="B108" t="inlineStr">
        <is>
          <t>S2</t>
        </is>
      </c>
      <c r="C108" t="inlineStr">
        <is>
          <t>ATH11</t>
        </is>
      </c>
      <c r="D108" t="n">
        <v>7.2</v>
      </c>
      <c r="E108" t="n">
        <v>2</v>
      </c>
      <c r="F108" t="n">
        <v>3</v>
      </c>
      <c r="G108" t="n">
        <v>2</v>
      </c>
      <c r="H108" t="n">
        <v>6</v>
      </c>
      <c r="I108" t="inlineStr">
        <is>
          <t>Non</t>
        </is>
      </c>
    </row>
    <row r="109">
      <c r="A109" s="4" t="n">
        <v>46063</v>
      </c>
      <c r="B109" t="inlineStr">
        <is>
          <t>S2</t>
        </is>
      </c>
      <c r="C109" t="inlineStr">
        <is>
          <t>ATH12</t>
        </is>
      </c>
      <c r="D109" t="n">
        <v>8.1</v>
      </c>
      <c r="E109" t="n">
        <v>4</v>
      </c>
      <c r="F109" t="n">
        <v>4</v>
      </c>
      <c r="G109" t="n">
        <v>1</v>
      </c>
      <c r="H109" t="n">
        <v>6</v>
      </c>
      <c r="I109" t="inlineStr">
        <is>
          <t>Non</t>
        </is>
      </c>
    </row>
    <row r="110">
      <c r="A110" s="4" t="n">
        <v>46064</v>
      </c>
      <c r="B110" t="inlineStr">
        <is>
          <t>S2</t>
        </is>
      </c>
      <c r="C110" t="inlineStr">
        <is>
          <t>ATH01</t>
        </is>
      </c>
      <c r="D110" t="n">
        <v>7.7</v>
      </c>
      <c r="E110" t="n">
        <v>2</v>
      </c>
      <c r="F110" t="n">
        <v>3</v>
      </c>
      <c r="G110" t="n">
        <v>5</v>
      </c>
      <c r="H110" t="n">
        <v>6</v>
      </c>
      <c r="I110" t="inlineStr">
        <is>
          <t>Non</t>
        </is>
      </c>
    </row>
    <row r="111">
      <c r="A111" s="4" t="n">
        <v>46064</v>
      </c>
      <c r="B111" t="inlineStr">
        <is>
          <t>S2</t>
        </is>
      </c>
      <c r="C111" t="inlineStr">
        <is>
          <t>ATH02</t>
        </is>
      </c>
      <c r="D111" t="n">
        <v>7.5</v>
      </c>
      <c r="E111" t="n">
        <v>5</v>
      </c>
      <c r="F111" t="n">
        <v>5</v>
      </c>
      <c r="G111" t="n">
        <v>4</v>
      </c>
      <c r="H111" t="n">
        <v>7</v>
      </c>
      <c r="I111" t="inlineStr">
        <is>
          <t>Non</t>
        </is>
      </c>
    </row>
    <row r="112">
      <c r="A112" s="4" t="n">
        <v>46064</v>
      </c>
      <c r="B112" t="inlineStr">
        <is>
          <t>S2</t>
        </is>
      </c>
      <c r="C112" t="inlineStr">
        <is>
          <t>ATH03</t>
        </is>
      </c>
      <c r="D112" t="n">
        <v>6.9</v>
      </c>
      <c r="E112" t="n">
        <v>3</v>
      </c>
      <c r="F112" t="n">
        <v>3</v>
      </c>
      <c r="G112" t="n">
        <v>3</v>
      </c>
      <c r="H112" t="n">
        <v>6</v>
      </c>
      <c r="I112" t="inlineStr">
        <is>
          <t>Non</t>
        </is>
      </c>
    </row>
    <row r="113">
      <c r="A113" s="4" t="n">
        <v>46064</v>
      </c>
      <c r="B113" t="inlineStr">
        <is>
          <t>S2</t>
        </is>
      </c>
      <c r="C113" t="inlineStr">
        <is>
          <t>ATH04</t>
        </is>
      </c>
      <c r="D113" t="n">
        <v>6.6</v>
      </c>
      <c r="E113" t="n">
        <v>1</v>
      </c>
      <c r="F113" t="n">
        <v>1</v>
      </c>
      <c r="G113" t="n">
        <v>4</v>
      </c>
      <c r="H113" t="n">
        <v>7</v>
      </c>
      <c r="I113" t="inlineStr">
        <is>
          <t>Non</t>
        </is>
      </c>
    </row>
    <row r="114">
      <c r="A114" s="4" t="n">
        <v>46064</v>
      </c>
      <c r="B114" t="inlineStr">
        <is>
          <t>S2</t>
        </is>
      </c>
      <c r="C114" t="inlineStr">
        <is>
          <t>ATH05</t>
        </is>
      </c>
      <c r="E114" t="n">
        <v>3</v>
      </c>
      <c r="F114" t="n">
        <v>3</v>
      </c>
      <c r="G114" t="n">
        <v>3</v>
      </c>
      <c r="H114" t="n">
        <v>5</v>
      </c>
      <c r="I114" t="inlineStr">
        <is>
          <t>Non</t>
        </is>
      </c>
    </row>
    <row r="115">
      <c r="A115" s="4" t="n">
        <v>46064</v>
      </c>
      <c r="B115" t="inlineStr">
        <is>
          <t>S2</t>
        </is>
      </c>
      <c r="C115" t="inlineStr">
        <is>
          <t>ATH06</t>
        </is>
      </c>
      <c r="D115" t="n">
        <v>8.1</v>
      </c>
      <c r="E115" t="n">
        <v>3</v>
      </c>
      <c r="F115" t="n">
        <v>3</v>
      </c>
      <c r="G115" t="n">
        <v>4</v>
      </c>
      <c r="H115" t="n">
        <v>6</v>
      </c>
      <c r="I115" t="inlineStr">
        <is>
          <t>Non</t>
        </is>
      </c>
    </row>
    <row r="116">
      <c r="A116" s="4" t="n">
        <v>46064</v>
      </c>
      <c r="B116" t="inlineStr">
        <is>
          <t>S2</t>
        </is>
      </c>
      <c r="C116" t="inlineStr">
        <is>
          <t>ATH07</t>
        </is>
      </c>
      <c r="D116" t="n">
        <v>8.300000000000001</v>
      </c>
      <c r="E116" t="n">
        <v>3</v>
      </c>
      <c r="F116" t="n">
        <v>4</v>
      </c>
      <c r="G116" t="n">
        <v>4</v>
      </c>
      <c r="H116" t="n">
        <v>5</v>
      </c>
      <c r="I116" t="inlineStr">
        <is>
          <t>Non</t>
        </is>
      </c>
    </row>
    <row r="117">
      <c r="A117" s="4" t="n">
        <v>46064</v>
      </c>
      <c r="B117" t="inlineStr">
        <is>
          <t>S2</t>
        </is>
      </c>
      <c r="C117" t="inlineStr">
        <is>
          <t>ATH08</t>
        </is>
      </c>
      <c r="D117" t="n">
        <v>7.9</v>
      </c>
      <c r="E117" t="n">
        <v>3</v>
      </c>
      <c r="F117" t="n">
        <v>3</v>
      </c>
      <c r="G117" t="n">
        <v>3</v>
      </c>
      <c r="H117" t="n">
        <v>6</v>
      </c>
      <c r="I117" t="inlineStr">
        <is>
          <t>Non</t>
        </is>
      </c>
    </row>
    <row r="118">
      <c r="A118" s="4" t="n">
        <v>46064</v>
      </c>
      <c r="B118" t="inlineStr">
        <is>
          <t>S2</t>
        </is>
      </c>
      <c r="C118" t="inlineStr">
        <is>
          <t>ATH09</t>
        </is>
      </c>
      <c r="D118" t="n">
        <v>8.1</v>
      </c>
      <c r="E118" t="n">
        <v>4</v>
      </c>
      <c r="F118" t="n">
        <v>3</v>
      </c>
      <c r="G118" t="n">
        <v>1</v>
      </c>
      <c r="H118" t="n">
        <v>7</v>
      </c>
      <c r="I118" t="inlineStr">
        <is>
          <t>Non</t>
        </is>
      </c>
    </row>
    <row r="119">
      <c r="A119" s="4" t="n">
        <v>46064</v>
      </c>
      <c r="B119" t="inlineStr">
        <is>
          <t>S2</t>
        </is>
      </c>
      <c r="C119" t="inlineStr">
        <is>
          <t>ATH10</t>
        </is>
      </c>
      <c r="D119" t="n">
        <v>8</v>
      </c>
      <c r="E119" t="n">
        <v>6</v>
      </c>
      <c r="F119" t="n">
        <v>4</v>
      </c>
      <c r="G119" t="n">
        <v>1</v>
      </c>
      <c r="H119" t="n">
        <v>7</v>
      </c>
      <c r="I119" t="inlineStr">
        <is>
          <t>Non</t>
        </is>
      </c>
    </row>
    <row r="120">
      <c r="A120" s="4" t="n">
        <v>46064</v>
      </c>
      <c r="B120" t="inlineStr">
        <is>
          <t>S2</t>
        </is>
      </c>
      <c r="C120" t="inlineStr">
        <is>
          <t>ATH11</t>
        </is>
      </c>
      <c r="D120" t="n">
        <v>8.800000000000001</v>
      </c>
      <c r="E120" t="n">
        <v>4</v>
      </c>
      <c r="F120" t="n">
        <v>3</v>
      </c>
      <c r="G120" t="n">
        <v>4</v>
      </c>
      <c r="H120" t="n">
        <v>6</v>
      </c>
      <c r="I120" t="inlineStr">
        <is>
          <t>Non</t>
        </is>
      </c>
    </row>
    <row r="121">
      <c r="A121" s="4" t="n">
        <v>46064</v>
      </c>
      <c r="B121" t="inlineStr">
        <is>
          <t>S2</t>
        </is>
      </c>
      <c r="C121" t="inlineStr">
        <is>
          <t>ATH12</t>
        </is>
      </c>
      <c r="D121" t="n">
        <v>7.8</v>
      </c>
      <c r="E121" t="n">
        <v>3</v>
      </c>
      <c r="F121" t="n">
        <v>2</v>
      </c>
      <c r="G121" t="n">
        <v>4</v>
      </c>
      <c r="H121" t="n">
        <v>5</v>
      </c>
      <c r="I121" t="inlineStr">
        <is>
          <t>Non</t>
        </is>
      </c>
    </row>
    <row r="122">
      <c r="A122" s="4" t="n">
        <v>46065</v>
      </c>
      <c r="B122" t="inlineStr">
        <is>
          <t>S2</t>
        </is>
      </c>
      <c r="C122" t="inlineStr">
        <is>
          <t>ATH01</t>
        </is>
      </c>
      <c r="D122" t="n">
        <v>8.4</v>
      </c>
      <c r="E122" t="n">
        <v>2</v>
      </c>
      <c r="F122" t="n">
        <v>3</v>
      </c>
      <c r="G122" t="n">
        <v>1</v>
      </c>
      <c r="H122" t="n">
        <v>7</v>
      </c>
      <c r="I122" t="inlineStr">
        <is>
          <t>Non</t>
        </is>
      </c>
    </row>
    <row r="123">
      <c r="A123" s="4" t="n">
        <v>46065</v>
      </c>
      <c r="B123" t="inlineStr">
        <is>
          <t>S2</t>
        </is>
      </c>
      <c r="C123" t="inlineStr">
        <is>
          <t>ATH02</t>
        </is>
      </c>
      <c r="D123" t="n">
        <v>8.5</v>
      </c>
      <c r="E123" t="n">
        <v>2</v>
      </c>
      <c r="F123" t="n">
        <v>1</v>
      </c>
      <c r="G123" t="n">
        <v>3</v>
      </c>
      <c r="H123" t="n">
        <v>8</v>
      </c>
      <c r="I123" t="inlineStr">
        <is>
          <t>Non</t>
        </is>
      </c>
    </row>
    <row r="124">
      <c r="A124" s="4" t="n">
        <v>46065</v>
      </c>
      <c r="B124" t="inlineStr">
        <is>
          <t>S2</t>
        </is>
      </c>
      <c r="C124" t="inlineStr">
        <is>
          <t>ATH03</t>
        </is>
      </c>
      <c r="D124" t="n">
        <v>6.5</v>
      </c>
      <c r="E124" t="n">
        <v>2</v>
      </c>
      <c r="F124" t="n">
        <v>2</v>
      </c>
      <c r="G124" t="n">
        <v>2</v>
      </c>
      <c r="H124" t="n">
        <v>6</v>
      </c>
      <c r="I124" t="inlineStr">
        <is>
          <t>Non</t>
        </is>
      </c>
    </row>
    <row r="125">
      <c r="A125" s="4" t="n">
        <v>46065</v>
      </c>
      <c r="B125" t="inlineStr">
        <is>
          <t>S2</t>
        </is>
      </c>
      <c r="C125" t="inlineStr">
        <is>
          <t>ATH04</t>
        </is>
      </c>
      <c r="D125" t="n">
        <v>6</v>
      </c>
      <c r="E125" t="n">
        <v>4</v>
      </c>
      <c r="F125" t="n">
        <v>3</v>
      </c>
      <c r="G125" t="n">
        <v>1</v>
      </c>
      <c r="H125" t="n">
        <v>8</v>
      </c>
      <c r="I125" t="inlineStr">
        <is>
          <t>Non</t>
        </is>
      </c>
    </row>
    <row r="126">
      <c r="A126" s="4" t="n">
        <v>46065</v>
      </c>
      <c r="B126" t="inlineStr">
        <is>
          <t>S2</t>
        </is>
      </c>
      <c r="C126" t="inlineStr">
        <is>
          <t>ATH05</t>
        </is>
      </c>
      <c r="D126" t="n">
        <v>8.699999999999999</v>
      </c>
      <c r="E126" t="n">
        <v>2</v>
      </c>
      <c r="F126" t="n">
        <v>4</v>
      </c>
      <c r="G126" t="n">
        <v>2</v>
      </c>
      <c r="H126" t="n">
        <v>7</v>
      </c>
      <c r="I126" t="inlineStr">
        <is>
          <t>Non</t>
        </is>
      </c>
    </row>
    <row r="127">
      <c r="A127" s="4" t="n">
        <v>46065</v>
      </c>
      <c r="B127" t="inlineStr">
        <is>
          <t>S2</t>
        </is>
      </c>
      <c r="C127" t="inlineStr">
        <is>
          <t>ATH06</t>
        </is>
      </c>
      <c r="D127" t="n">
        <v>6.9</v>
      </c>
      <c r="E127" t="n">
        <v>6</v>
      </c>
      <c r="F127" t="n">
        <v>2</v>
      </c>
      <c r="G127" t="n">
        <v>3</v>
      </c>
      <c r="H127" t="n">
        <v>6</v>
      </c>
      <c r="I127" t="inlineStr">
        <is>
          <t>Non</t>
        </is>
      </c>
    </row>
    <row r="128">
      <c r="A128" s="4" t="n">
        <v>46065</v>
      </c>
      <c r="B128" t="inlineStr">
        <is>
          <t>S2</t>
        </is>
      </c>
      <c r="C128" t="inlineStr">
        <is>
          <t>ATH07</t>
        </is>
      </c>
      <c r="D128" t="n">
        <v>8.800000000000001</v>
      </c>
      <c r="E128" t="n">
        <v>5</v>
      </c>
      <c r="F128" t="n">
        <v>5</v>
      </c>
      <c r="G128" t="n">
        <v>4</v>
      </c>
      <c r="H128" t="n">
        <v>6</v>
      </c>
      <c r="I128" t="inlineStr">
        <is>
          <t>Non</t>
        </is>
      </c>
    </row>
    <row r="129">
      <c r="A129" s="4" t="n">
        <v>46065</v>
      </c>
      <c r="B129" t="inlineStr">
        <is>
          <t>S2</t>
        </is>
      </c>
      <c r="C129" t="inlineStr">
        <is>
          <t>ATH08</t>
        </is>
      </c>
      <c r="D129" t="n">
        <v>8.1</v>
      </c>
      <c r="E129" t="n">
        <v>3</v>
      </c>
      <c r="F129" t="n">
        <v>4</v>
      </c>
      <c r="G129" t="n">
        <v>4</v>
      </c>
      <c r="H129" t="n">
        <v>6</v>
      </c>
      <c r="I129" t="inlineStr">
        <is>
          <t>Non</t>
        </is>
      </c>
    </row>
    <row r="130">
      <c r="A130" s="4" t="n">
        <v>46065</v>
      </c>
      <c r="B130" t="inlineStr">
        <is>
          <t>S2</t>
        </is>
      </c>
      <c r="C130" t="inlineStr">
        <is>
          <t>ATH09</t>
        </is>
      </c>
      <c r="D130" t="n">
        <v>8.199999999999999</v>
      </c>
      <c r="E130" t="n">
        <v>4</v>
      </c>
      <c r="F130" t="n">
        <v>1</v>
      </c>
      <c r="G130" t="n">
        <v>4</v>
      </c>
      <c r="H130" t="n">
        <v>6</v>
      </c>
      <c r="I130" t="inlineStr">
        <is>
          <t>Non</t>
        </is>
      </c>
    </row>
    <row r="131">
      <c r="A131" s="4" t="n">
        <v>46065</v>
      </c>
      <c r="B131" t="inlineStr">
        <is>
          <t>S2</t>
        </is>
      </c>
      <c r="C131" t="inlineStr">
        <is>
          <t>ATH10</t>
        </is>
      </c>
      <c r="D131" t="n">
        <v>6.9</v>
      </c>
      <c r="E131" t="n">
        <v>2</v>
      </c>
      <c r="F131" t="n">
        <v>2</v>
      </c>
      <c r="G131" t="n">
        <v>4</v>
      </c>
      <c r="H131" t="n">
        <v>5</v>
      </c>
      <c r="I131" t="inlineStr">
        <is>
          <t>Non</t>
        </is>
      </c>
    </row>
    <row r="132">
      <c r="A132" s="4" t="n">
        <v>46065</v>
      </c>
      <c r="B132" t="inlineStr">
        <is>
          <t>S2</t>
        </is>
      </c>
      <c r="C132" t="inlineStr">
        <is>
          <t>ATH11</t>
        </is>
      </c>
      <c r="D132" t="n">
        <v>7.6</v>
      </c>
      <c r="E132" t="n">
        <v>4</v>
      </c>
      <c r="F132" t="n">
        <v>5</v>
      </c>
      <c r="G132" t="n">
        <v>2</v>
      </c>
      <c r="H132" t="n">
        <v>6</v>
      </c>
      <c r="I132" t="inlineStr">
        <is>
          <t>Non</t>
        </is>
      </c>
    </row>
    <row r="133">
      <c r="A133" s="4" t="n">
        <v>46065</v>
      </c>
      <c r="B133" t="inlineStr">
        <is>
          <t>S2</t>
        </is>
      </c>
      <c r="C133" t="inlineStr">
        <is>
          <t>ATH12</t>
        </is>
      </c>
      <c r="D133" t="n">
        <v>7.7</v>
      </c>
      <c r="E133" t="n">
        <v>4</v>
      </c>
      <c r="F133" t="n">
        <v>2</v>
      </c>
      <c r="G133" t="n">
        <v>5</v>
      </c>
      <c r="H133" t="n">
        <v>4</v>
      </c>
      <c r="I133" t="inlineStr">
        <is>
          <t>Non</t>
        </is>
      </c>
    </row>
    <row r="134">
      <c r="A134" s="4" t="n">
        <v>46066</v>
      </c>
      <c r="B134" t="inlineStr">
        <is>
          <t>S2</t>
        </is>
      </c>
      <c r="C134" t="inlineStr">
        <is>
          <t>ATH01</t>
        </is>
      </c>
      <c r="D134" t="n">
        <v>6.6</v>
      </c>
      <c r="E134" t="n">
        <v>3</v>
      </c>
      <c r="F134" t="n">
        <v>1</v>
      </c>
      <c r="G134" t="n">
        <v>1</v>
      </c>
      <c r="H134" t="n">
        <v>6</v>
      </c>
      <c r="I134" t="inlineStr">
        <is>
          <t>Non</t>
        </is>
      </c>
    </row>
    <row r="135">
      <c r="A135" s="4" t="n">
        <v>46066</v>
      </c>
      <c r="B135" t="inlineStr">
        <is>
          <t>S2</t>
        </is>
      </c>
      <c r="C135" t="inlineStr">
        <is>
          <t>ATH02</t>
        </is>
      </c>
      <c r="D135" t="n">
        <v>8</v>
      </c>
      <c r="E135" t="n">
        <v>1</v>
      </c>
      <c r="F135" t="n">
        <v>3</v>
      </c>
      <c r="G135" t="n">
        <v>4</v>
      </c>
      <c r="H135" t="n">
        <v>6</v>
      </c>
      <c r="I135" t="inlineStr">
        <is>
          <t>Non</t>
        </is>
      </c>
    </row>
    <row r="136">
      <c r="A136" s="4" t="n">
        <v>46066</v>
      </c>
      <c r="B136" t="inlineStr">
        <is>
          <t>S2</t>
        </is>
      </c>
      <c r="C136" t="inlineStr">
        <is>
          <t>ATH03</t>
        </is>
      </c>
      <c r="D136" t="n">
        <v>7.2</v>
      </c>
      <c r="E136" t="n">
        <v>3</v>
      </c>
      <c r="F136" t="n">
        <v>2</v>
      </c>
      <c r="G136" t="n">
        <v>5</v>
      </c>
      <c r="H136" t="n">
        <v>5</v>
      </c>
      <c r="I136" t="inlineStr">
        <is>
          <t>Non</t>
        </is>
      </c>
    </row>
    <row r="137">
      <c r="A137" s="4" t="n">
        <v>46066</v>
      </c>
      <c r="B137" t="inlineStr">
        <is>
          <t>S2</t>
        </is>
      </c>
      <c r="C137" t="inlineStr">
        <is>
          <t>ATH04</t>
        </is>
      </c>
      <c r="D137" t="n">
        <v>7.5</v>
      </c>
      <c r="E137" t="n">
        <v>3</v>
      </c>
      <c r="F137" t="n">
        <v>2</v>
      </c>
      <c r="G137" t="n">
        <v>1</v>
      </c>
      <c r="H137" t="n">
        <v>6</v>
      </c>
      <c r="I137" t="inlineStr">
        <is>
          <t>Non</t>
        </is>
      </c>
    </row>
    <row r="138">
      <c r="A138" s="4" t="n">
        <v>46066</v>
      </c>
      <c r="B138" t="inlineStr">
        <is>
          <t>S2</t>
        </is>
      </c>
      <c r="C138" t="inlineStr">
        <is>
          <t>ATH05</t>
        </is>
      </c>
      <c r="D138" t="n">
        <v>8.1</v>
      </c>
      <c r="E138" t="n">
        <v>4</v>
      </c>
      <c r="F138" t="n">
        <v>3</v>
      </c>
      <c r="G138" t="n">
        <v>2</v>
      </c>
      <c r="H138" t="n">
        <v>7</v>
      </c>
      <c r="I138" t="inlineStr">
        <is>
          <t>Non</t>
        </is>
      </c>
    </row>
    <row r="139">
      <c r="A139" s="4" t="n">
        <v>46066</v>
      </c>
      <c r="B139" t="inlineStr">
        <is>
          <t>S2</t>
        </is>
      </c>
      <c r="C139" t="inlineStr">
        <is>
          <t>ATH06</t>
        </is>
      </c>
      <c r="D139" t="n">
        <v>7.1</v>
      </c>
      <c r="E139" t="n">
        <v>3</v>
      </c>
      <c r="F139" t="n">
        <v>3</v>
      </c>
      <c r="G139" t="n">
        <v>2</v>
      </c>
      <c r="H139" t="n">
        <v>6</v>
      </c>
      <c r="I139" t="inlineStr">
        <is>
          <t>Non</t>
        </is>
      </c>
    </row>
    <row r="140">
      <c r="A140" s="4" t="n">
        <v>46066</v>
      </c>
      <c r="B140" t="inlineStr">
        <is>
          <t>S2</t>
        </is>
      </c>
      <c r="C140" t="inlineStr">
        <is>
          <t>ATH07</t>
        </is>
      </c>
      <c r="D140" t="n">
        <v>7.7</v>
      </c>
      <c r="E140" t="n">
        <v>3</v>
      </c>
      <c r="F140" t="n">
        <v>1</v>
      </c>
      <c r="G140" t="n">
        <v>2</v>
      </c>
      <c r="H140" t="n">
        <v>6</v>
      </c>
      <c r="I140" t="inlineStr">
        <is>
          <t>Non</t>
        </is>
      </c>
    </row>
    <row r="141">
      <c r="A141" s="4" t="n">
        <v>46066</v>
      </c>
      <c r="B141" t="inlineStr">
        <is>
          <t>S2</t>
        </is>
      </c>
      <c r="C141" t="inlineStr">
        <is>
          <t>ATH08</t>
        </is>
      </c>
      <c r="D141" t="n">
        <v>8.6</v>
      </c>
      <c r="E141" t="n">
        <v>2</v>
      </c>
      <c r="F141" t="n">
        <v>2</v>
      </c>
      <c r="G141" t="n">
        <v>3</v>
      </c>
      <c r="H141" t="n">
        <v>5</v>
      </c>
      <c r="I141" t="inlineStr">
        <is>
          <t>Non</t>
        </is>
      </c>
    </row>
    <row r="142">
      <c r="A142" s="4" t="n">
        <v>46066</v>
      </c>
      <c r="B142" t="inlineStr">
        <is>
          <t>S2</t>
        </is>
      </c>
      <c r="C142" t="inlineStr">
        <is>
          <t>ATH09</t>
        </is>
      </c>
      <c r="D142" t="n">
        <v>6.3</v>
      </c>
      <c r="E142" t="n">
        <v>2</v>
      </c>
      <c r="F142" t="n">
        <v>3</v>
      </c>
      <c r="G142" t="n">
        <v>3</v>
      </c>
      <c r="H142" t="n">
        <v>7</v>
      </c>
      <c r="I142" t="inlineStr">
        <is>
          <t>Non</t>
        </is>
      </c>
    </row>
    <row r="143">
      <c r="A143" s="4" t="n">
        <v>46066</v>
      </c>
      <c r="B143" t="inlineStr">
        <is>
          <t>S2</t>
        </is>
      </c>
      <c r="C143" t="inlineStr">
        <is>
          <t>ATH10</t>
        </is>
      </c>
      <c r="D143" t="n">
        <v>7.6</v>
      </c>
      <c r="E143" t="n">
        <v>3</v>
      </c>
      <c r="F143" t="n">
        <v>2</v>
      </c>
      <c r="G143" t="n">
        <v>4</v>
      </c>
      <c r="H143" t="n">
        <v>5</v>
      </c>
      <c r="I143" t="inlineStr">
        <is>
          <t>Non</t>
        </is>
      </c>
    </row>
    <row r="144">
      <c r="A144" s="4" t="n">
        <v>46066</v>
      </c>
      <c r="B144" t="inlineStr">
        <is>
          <t>S2</t>
        </is>
      </c>
      <c r="C144" t="inlineStr">
        <is>
          <t>ATH11</t>
        </is>
      </c>
      <c r="D144" t="n">
        <v>6.7</v>
      </c>
      <c r="E144" t="n">
        <v>4</v>
      </c>
      <c r="F144" t="n">
        <v>1</v>
      </c>
      <c r="G144" t="n">
        <v>6</v>
      </c>
      <c r="H144" t="n">
        <v>7</v>
      </c>
      <c r="I144" t="inlineStr">
        <is>
          <t>Non</t>
        </is>
      </c>
    </row>
    <row r="145">
      <c r="A145" s="4" t="n">
        <v>46066</v>
      </c>
      <c r="B145" t="inlineStr">
        <is>
          <t>S2</t>
        </is>
      </c>
      <c r="C145" t="inlineStr">
        <is>
          <t>ATH12</t>
        </is>
      </c>
      <c r="D145" t="n">
        <v>7.7</v>
      </c>
      <c r="E145" t="n">
        <v>2</v>
      </c>
      <c r="F145" t="n">
        <v>2</v>
      </c>
      <c r="G145" t="n">
        <v>2</v>
      </c>
      <c r="H145" t="n">
        <v>6</v>
      </c>
      <c r="I145" t="inlineStr">
        <is>
          <t>Non</t>
        </is>
      </c>
    </row>
    <row r="146">
      <c r="A146" s="4" t="n">
        <v>46067</v>
      </c>
      <c r="B146" t="inlineStr">
        <is>
          <t>S2</t>
        </is>
      </c>
      <c r="C146" t="inlineStr">
        <is>
          <t>ATH01</t>
        </is>
      </c>
      <c r="D146" t="n">
        <v>7.9</v>
      </c>
      <c r="E146" t="n">
        <v>2</v>
      </c>
      <c r="F146" t="n">
        <v>4</v>
      </c>
      <c r="G146" t="n">
        <v>6</v>
      </c>
      <c r="H146" t="n">
        <v>6</v>
      </c>
      <c r="I146" t="inlineStr">
        <is>
          <t>Non</t>
        </is>
      </c>
    </row>
    <row r="147">
      <c r="A147" s="4" t="n">
        <v>46067</v>
      </c>
      <c r="B147" t="inlineStr">
        <is>
          <t>S2</t>
        </is>
      </c>
      <c r="C147" t="inlineStr">
        <is>
          <t>ATH02</t>
        </is>
      </c>
      <c r="D147" t="n">
        <v>7.6</v>
      </c>
      <c r="E147" t="n">
        <v>3</v>
      </c>
      <c r="F147" t="n">
        <v>5</v>
      </c>
      <c r="G147" t="n">
        <v>3</v>
      </c>
      <c r="H147" t="n">
        <v>6</v>
      </c>
      <c r="I147" t="inlineStr">
        <is>
          <t>Non</t>
        </is>
      </c>
    </row>
    <row r="148">
      <c r="A148" s="4" t="n">
        <v>46067</v>
      </c>
      <c r="B148" t="inlineStr">
        <is>
          <t>S2</t>
        </is>
      </c>
      <c r="C148" t="inlineStr">
        <is>
          <t>ATH03</t>
        </is>
      </c>
      <c r="D148" t="n">
        <v>6.6</v>
      </c>
      <c r="E148" t="n">
        <v>3</v>
      </c>
      <c r="F148" t="n">
        <v>2</v>
      </c>
      <c r="G148" t="n">
        <v>6</v>
      </c>
      <c r="H148" t="n">
        <v>8</v>
      </c>
      <c r="I148" t="inlineStr">
        <is>
          <t>Non</t>
        </is>
      </c>
    </row>
    <row r="149">
      <c r="A149" s="4" t="n">
        <v>46067</v>
      </c>
      <c r="B149" t="inlineStr">
        <is>
          <t>S2</t>
        </is>
      </c>
      <c r="C149" t="inlineStr">
        <is>
          <t>ATH04</t>
        </is>
      </c>
      <c r="D149" t="n">
        <v>6.8</v>
      </c>
      <c r="E149" t="n">
        <v>2</v>
      </c>
      <c r="F149" t="n">
        <v>3</v>
      </c>
      <c r="G149" t="n">
        <v>5</v>
      </c>
      <c r="H149" t="n">
        <v>7</v>
      </c>
      <c r="I149" t="inlineStr">
        <is>
          <t>Non</t>
        </is>
      </c>
    </row>
    <row r="150">
      <c r="A150" s="4" t="n">
        <v>46067</v>
      </c>
      <c r="B150" t="inlineStr">
        <is>
          <t>S2</t>
        </is>
      </c>
      <c r="C150" t="inlineStr">
        <is>
          <t>ATH05</t>
        </is>
      </c>
      <c r="D150" t="n">
        <v>7</v>
      </c>
      <c r="E150" t="n">
        <v>3</v>
      </c>
      <c r="F150" t="n">
        <v>2</v>
      </c>
      <c r="G150" t="n">
        <v>4</v>
      </c>
      <c r="H150" t="n">
        <v>6</v>
      </c>
      <c r="I150" t="inlineStr">
        <is>
          <t>Non</t>
        </is>
      </c>
    </row>
    <row r="151">
      <c r="A151" s="4" t="n">
        <v>46067</v>
      </c>
      <c r="B151" t="inlineStr">
        <is>
          <t>S2</t>
        </is>
      </c>
      <c r="C151" t="inlineStr">
        <is>
          <t>ATH06</t>
        </is>
      </c>
      <c r="D151" t="n">
        <v>7.1</v>
      </c>
      <c r="E151" t="n">
        <v>4</v>
      </c>
      <c r="F151" t="n">
        <v>1</v>
      </c>
      <c r="G151" t="n">
        <v>1</v>
      </c>
      <c r="H151" t="n">
        <v>7</v>
      </c>
      <c r="I151" t="inlineStr">
        <is>
          <t>Non</t>
        </is>
      </c>
    </row>
    <row r="152">
      <c r="A152" s="4" t="n">
        <v>46067</v>
      </c>
      <c r="B152" t="inlineStr">
        <is>
          <t>S2</t>
        </is>
      </c>
      <c r="C152" t="inlineStr">
        <is>
          <t>ATH07</t>
        </is>
      </c>
      <c r="D152" t="n">
        <v>7.2</v>
      </c>
      <c r="E152" t="n">
        <v>4</v>
      </c>
      <c r="F152" t="n">
        <v>3</v>
      </c>
      <c r="G152" t="n">
        <v>3</v>
      </c>
      <c r="H152" t="n">
        <v>6</v>
      </c>
      <c r="I152" t="inlineStr">
        <is>
          <t>Non</t>
        </is>
      </c>
    </row>
    <row r="153">
      <c r="A153" s="4" t="n">
        <v>46067</v>
      </c>
      <c r="B153" t="inlineStr">
        <is>
          <t>S2</t>
        </is>
      </c>
      <c r="C153" t="inlineStr">
        <is>
          <t>ATH08</t>
        </is>
      </c>
      <c r="D153" t="n">
        <v>7</v>
      </c>
      <c r="E153" t="n">
        <v>3</v>
      </c>
      <c r="F153" t="n">
        <v>4</v>
      </c>
      <c r="G153" t="n">
        <v>2</v>
      </c>
      <c r="H153" t="n">
        <v>6</v>
      </c>
      <c r="I153" t="inlineStr">
        <is>
          <t>Non</t>
        </is>
      </c>
    </row>
    <row r="154">
      <c r="A154" s="4" t="n">
        <v>46067</v>
      </c>
      <c r="B154" t="inlineStr">
        <is>
          <t>S2</t>
        </is>
      </c>
      <c r="C154" t="inlineStr">
        <is>
          <t>ATH09</t>
        </is>
      </c>
      <c r="D154" t="n">
        <v>8.199999999999999</v>
      </c>
      <c r="E154" t="n">
        <v>4</v>
      </c>
      <c r="F154" t="n">
        <v>4</v>
      </c>
      <c r="G154" t="n">
        <v>2</v>
      </c>
      <c r="H154" t="n">
        <v>4</v>
      </c>
      <c r="I154" t="inlineStr">
        <is>
          <t>Non</t>
        </is>
      </c>
    </row>
    <row r="155">
      <c r="A155" s="4" t="n">
        <v>46067</v>
      </c>
      <c r="B155" t="inlineStr">
        <is>
          <t>S2</t>
        </is>
      </c>
      <c r="C155" t="inlineStr">
        <is>
          <t>ATH10</t>
        </is>
      </c>
      <c r="D155" t="n">
        <v>7.6</v>
      </c>
      <c r="E155" t="n">
        <v>3</v>
      </c>
      <c r="F155" t="n">
        <v>4</v>
      </c>
      <c r="G155" t="n">
        <v>5</v>
      </c>
      <c r="H155" t="n">
        <v>7</v>
      </c>
      <c r="I155" t="inlineStr">
        <is>
          <t>Non</t>
        </is>
      </c>
    </row>
    <row r="156">
      <c r="A156" s="4" t="n">
        <v>46067</v>
      </c>
      <c r="B156" t="inlineStr">
        <is>
          <t>S2</t>
        </is>
      </c>
      <c r="C156" t="inlineStr">
        <is>
          <t>ATH11</t>
        </is>
      </c>
      <c r="D156" t="n">
        <v>8</v>
      </c>
      <c r="E156" t="n">
        <v>3</v>
      </c>
      <c r="F156" t="n">
        <v>1</v>
      </c>
      <c r="G156" t="n">
        <v>3</v>
      </c>
      <c r="H156" t="n">
        <v>8</v>
      </c>
      <c r="I156" t="inlineStr">
        <is>
          <t>Non</t>
        </is>
      </c>
    </row>
    <row r="157">
      <c r="A157" s="4" t="n">
        <v>46067</v>
      </c>
      <c r="B157" t="inlineStr">
        <is>
          <t>S2</t>
        </is>
      </c>
      <c r="C157" t="inlineStr">
        <is>
          <t>ATH12</t>
        </is>
      </c>
      <c r="D157" t="n">
        <v>8</v>
      </c>
      <c r="E157" t="n">
        <v>4</v>
      </c>
      <c r="F157" t="n">
        <v>2</v>
      </c>
      <c r="G157" t="n">
        <v>3</v>
      </c>
      <c r="H157" t="n">
        <v>7</v>
      </c>
      <c r="I157" t="inlineStr">
        <is>
          <t>Non</t>
        </is>
      </c>
    </row>
    <row r="158">
      <c r="A158" s="4" t="n">
        <v>46068</v>
      </c>
      <c r="B158" t="inlineStr">
        <is>
          <t>S2</t>
        </is>
      </c>
      <c r="C158" t="inlineStr">
        <is>
          <t>ATH01</t>
        </is>
      </c>
      <c r="D158" t="n">
        <v>7.1</v>
      </c>
      <c r="E158" t="n">
        <v>2</v>
      </c>
      <c r="F158" t="n">
        <v>3</v>
      </c>
      <c r="G158" t="n">
        <v>4</v>
      </c>
      <c r="H158" t="n">
        <v>6</v>
      </c>
      <c r="I158" t="inlineStr">
        <is>
          <t>Non</t>
        </is>
      </c>
    </row>
    <row r="159">
      <c r="A159" s="4" t="n">
        <v>46068</v>
      </c>
      <c r="B159" t="inlineStr">
        <is>
          <t>S2</t>
        </is>
      </c>
      <c r="C159" t="inlineStr">
        <is>
          <t>ATH02</t>
        </is>
      </c>
      <c r="D159" t="n">
        <v>6.7</v>
      </c>
      <c r="E159" t="n">
        <v>2</v>
      </c>
      <c r="F159" t="n">
        <v>3</v>
      </c>
      <c r="G159" t="n">
        <v>3</v>
      </c>
      <c r="H159" t="n">
        <v>7</v>
      </c>
      <c r="I159" t="inlineStr">
        <is>
          <t>Non</t>
        </is>
      </c>
    </row>
    <row r="160">
      <c r="A160" s="4" t="n">
        <v>46068</v>
      </c>
      <c r="B160" t="inlineStr">
        <is>
          <t>S2</t>
        </is>
      </c>
      <c r="C160" t="inlineStr">
        <is>
          <t>ATH03</t>
        </is>
      </c>
      <c r="D160" t="n">
        <v>7.9</v>
      </c>
      <c r="E160" t="n">
        <v>3</v>
      </c>
      <c r="F160" t="n">
        <v>3</v>
      </c>
      <c r="G160" t="n">
        <v>3</v>
      </c>
      <c r="H160" t="n">
        <v>8</v>
      </c>
      <c r="I160" t="inlineStr">
        <is>
          <t>Non</t>
        </is>
      </c>
    </row>
    <row r="161">
      <c r="A161" s="4" t="n">
        <v>46068</v>
      </c>
      <c r="B161" t="inlineStr">
        <is>
          <t>S2</t>
        </is>
      </c>
      <c r="C161" t="inlineStr">
        <is>
          <t>ATH04</t>
        </is>
      </c>
      <c r="D161" t="n">
        <v>8.5</v>
      </c>
      <c r="E161" t="n">
        <v>2</v>
      </c>
      <c r="F161" t="n">
        <v>2</v>
      </c>
      <c r="G161" t="n">
        <v>3</v>
      </c>
      <c r="H161" t="n">
        <v>6</v>
      </c>
      <c r="I161" t="inlineStr">
        <is>
          <t>Non</t>
        </is>
      </c>
    </row>
    <row r="162">
      <c r="A162" s="4" t="n">
        <v>46068</v>
      </c>
      <c r="B162" t="inlineStr">
        <is>
          <t>S2</t>
        </is>
      </c>
      <c r="C162" t="inlineStr">
        <is>
          <t>ATH05</t>
        </is>
      </c>
      <c r="D162" t="n">
        <v>8.800000000000001</v>
      </c>
      <c r="E162" t="n">
        <v>3</v>
      </c>
      <c r="F162" t="n">
        <v>1</v>
      </c>
      <c r="G162" t="n">
        <v>4</v>
      </c>
      <c r="H162" t="n">
        <v>7</v>
      </c>
      <c r="I162" t="inlineStr">
        <is>
          <t>Non</t>
        </is>
      </c>
    </row>
    <row r="163">
      <c r="A163" s="4" t="n">
        <v>46068</v>
      </c>
      <c r="B163" t="inlineStr">
        <is>
          <t>S2</t>
        </is>
      </c>
      <c r="C163" t="inlineStr">
        <is>
          <t>ATH06</t>
        </is>
      </c>
      <c r="D163" t="n">
        <v>7.7</v>
      </c>
      <c r="E163" t="n">
        <v>5</v>
      </c>
      <c r="F163" t="n">
        <v>3</v>
      </c>
      <c r="G163" t="n">
        <v>3</v>
      </c>
      <c r="H163" t="n">
        <v>4</v>
      </c>
      <c r="I163" t="inlineStr">
        <is>
          <t>Non</t>
        </is>
      </c>
    </row>
    <row r="164">
      <c r="A164" s="4" t="n">
        <v>46068</v>
      </c>
      <c r="B164" t="inlineStr">
        <is>
          <t>S2</t>
        </is>
      </c>
      <c r="C164" t="inlineStr">
        <is>
          <t>ATH07</t>
        </is>
      </c>
      <c r="D164" t="n">
        <v>7.4</v>
      </c>
      <c r="E164" t="n">
        <v>5</v>
      </c>
      <c r="F164" t="n">
        <v>2</v>
      </c>
      <c r="G164" t="n">
        <v>1</v>
      </c>
      <c r="H164" t="n">
        <v>6</v>
      </c>
      <c r="I164" t="inlineStr">
        <is>
          <t>Non</t>
        </is>
      </c>
    </row>
    <row r="165">
      <c r="A165" s="4" t="n">
        <v>46068</v>
      </c>
      <c r="B165" t="inlineStr">
        <is>
          <t>S2</t>
        </is>
      </c>
      <c r="C165" t="inlineStr">
        <is>
          <t>ATH08</t>
        </is>
      </c>
      <c r="D165" t="n">
        <v>8.199999999999999</v>
      </c>
      <c r="E165" t="n">
        <v>4</v>
      </c>
      <c r="F165" t="n">
        <v>1</v>
      </c>
      <c r="G165" t="n">
        <v>2</v>
      </c>
      <c r="H165" t="n">
        <v>6</v>
      </c>
      <c r="I165" t="inlineStr">
        <is>
          <t>Non</t>
        </is>
      </c>
    </row>
    <row r="166">
      <c r="A166" s="4" t="n">
        <v>46068</v>
      </c>
      <c r="B166" t="inlineStr">
        <is>
          <t>S2</t>
        </is>
      </c>
      <c r="C166" t="inlineStr">
        <is>
          <t>ATH09</t>
        </is>
      </c>
      <c r="D166" t="n">
        <v>7</v>
      </c>
      <c r="E166" t="n">
        <v>1</v>
      </c>
      <c r="F166" t="n">
        <v>4</v>
      </c>
      <c r="G166" t="n">
        <v>5</v>
      </c>
      <c r="H166" t="n">
        <v>5</v>
      </c>
      <c r="I166" t="inlineStr">
        <is>
          <t>Non</t>
        </is>
      </c>
    </row>
    <row r="167">
      <c r="A167" s="4" t="n">
        <v>46068</v>
      </c>
      <c r="B167" t="inlineStr">
        <is>
          <t>S2</t>
        </is>
      </c>
      <c r="C167" t="inlineStr">
        <is>
          <t>ATH10</t>
        </is>
      </c>
      <c r="D167" t="n">
        <v>8.4</v>
      </c>
      <c r="E167" t="n">
        <v>3</v>
      </c>
      <c r="F167" t="n">
        <v>4</v>
      </c>
      <c r="G167" t="n">
        <v>3</v>
      </c>
      <c r="H167" t="n">
        <v>7</v>
      </c>
      <c r="I167" t="inlineStr">
        <is>
          <t>Non</t>
        </is>
      </c>
    </row>
    <row r="168">
      <c r="A168" s="4" t="n">
        <v>46068</v>
      </c>
      <c r="B168" t="inlineStr">
        <is>
          <t>S2</t>
        </is>
      </c>
      <c r="C168" t="inlineStr">
        <is>
          <t>ATH11</t>
        </is>
      </c>
      <c r="D168" t="n">
        <v>7.8</v>
      </c>
      <c r="E168" t="n">
        <v>2</v>
      </c>
      <c r="F168" t="n">
        <v>4</v>
      </c>
      <c r="G168" t="n">
        <v>2</v>
      </c>
      <c r="H168" t="n">
        <v>6</v>
      </c>
      <c r="I168" t="inlineStr">
        <is>
          <t>Non</t>
        </is>
      </c>
    </row>
    <row r="169">
      <c r="A169" s="4" t="n">
        <v>46068</v>
      </c>
      <c r="B169" t="inlineStr">
        <is>
          <t>S2</t>
        </is>
      </c>
      <c r="C169" t="inlineStr">
        <is>
          <t>ATH12</t>
        </is>
      </c>
      <c r="D169" t="n">
        <v>7.9</v>
      </c>
      <c r="E169" t="n">
        <v>2</v>
      </c>
      <c r="F169" t="n">
        <v>4</v>
      </c>
      <c r="G169" t="n">
        <v>5</v>
      </c>
      <c r="H169" t="n">
        <v>8</v>
      </c>
      <c r="I169" t="inlineStr">
        <is>
          <t>Non</t>
        </is>
      </c>
    </row>
    <row r="170">
      <c r="A170" s="4" t="n">
        <v>46069</v>
      </c>
      <c r="B170" t="inlineStr">
        <is>
          <t>S3</t>
        </is>
      </c>
      <c r="C170" t="inlineStr">
        <is>
          <t>ATH01</t>
        </is>
      </c>
      <c r="D170" t="n">
        <v>6.1</v>
      </c>
      <c r="E170" t="n">
        <v>3</v>
      </c>
      <c r="F170" t="n">
        <v>4</v>
      </c>
      <c r="G170" t="n">
        <v>1</v>
      </c>
      <c r="H170" t="n">
        <v>7</v>
      </c>
      <c r="I170" t="inlineStr">
        <is>
          <t>Non</t>
        </is>
      </c>
    </row>
    <row r="171">
      <c r="A171" s="4" t="n">
        <v>46069</v>
      </c>
      <c r="B171" t="inlineStr">
        <is>
          <t>S3</t>
        </is>
      </c>
      <c r="C171" t="inlineStr">
        <is>
          <t>ATH02</t>
        </is>
      </c>
      <c r="D171" t="n">
        <v>8</v>
      </c>
      <c r="E171" t="n">
        <v>2</v>
      </c>
      <c r="F171" t="n">
        <v>4</v>
      </c>
      <c r="G171" t="n">
        <v>3</v>
      </c>
      <c r="H171" t="n">
        <v>7</v>
      </c>
      <c r="I171" t="inlineStr">
        <is>
          <t>Non</t>
        </is>
      </c>
    </row>
    <row r="172">
      <c r="A172" s="4" t="n">
        <v>46069</v>
      </c>
      <c r="B172" t="inlineStr">
        <is>
          <t>S3</t>
        </is>
      </c>
      <c r="C172" t="inlineStr">
        <is>
          <t>ATH03</t>
        </is>
      </c>
      <c r="D172" t="n">
        <v>6.8</v>
      </c>
      <c r="E172" t="n">
        <v>3</v>
      </c>
      <c r="F172" t="n">
        <v>1</v>
      </c>
      <c r="G172" t="n">
        <v>1</v>
      </c>
      <c r="H172" t="n">
        <v>7</v>
      </c>
      <c r="I172" t="inlineStr">
        <is>
          <t>Non</t>
        </is>
      </c>
    </row>
    <row r="173">
      <c r="A173" s="4" t="n">
        <v>46069</v>
      </c>
      <c r="B173" t="inlineStr">
        <is>
          <t>S3</t>
        </is>
      </c>
      <c r="C173" t="inlineStr">
        <is>
          <t>ATH04</t>
        </is>
      </c>
      <c r="D173" t="n">
        <v>8.300000000000001</v>
      </c>
      <c r="E173" t="n">
        <v>3</v>
      </c>
      <c r="F173" t="n">
        <v>2</v>
      </c>
      <c r="G173" t="n">
        <v>3</v>
      </c>
      <c r="H173" t="n">
        <v>5</v>
      </c>
      <c r="I173" t="inlineStr">
        <is>
          <t>Non</t>
        </is>
      </c>
    </row>
    <row r="174">
      <c r="A174" s="4" t="n">
        <v>46069</v>
      </c>
      <c r="B174" t="inlineStr">
        <is>
          <t>S3</t>
        </is>
      </c>
      <c r="C174" t="inlineStr">
        <is>
          <t>ATH05</t>
        </is>
      </c>
      <c r="D174" t="n">
        <v>7.3</v>
      </c>
      <c r="E174" t="n">
        <v>4</v>
      </c>
      <c r="F174" t="n">
        <v>2</v>
      </c>
      <c r="G174" t="n">
        <v>4</v>
      </c>
      <c r="H174" t="n">
        <v>7</v>
      </c>
      <c r="I174" t="inlineStr">
        <is>
          <t>Non</t>
        </is>
      </c>
    </row>
    <row r="175">
      <c r="A175" s="4" t="n">
        <v>46069</v>
      </c>
      <c r="B175" t="inlineStr">
        <is>
          <t>S3</t>
        </is>
      </c>
      <c r="C175" t="inlineStr">
        <is>
          <t>ATH06</t>
        </is>
      </c>
      <c r="D175" t="n">
        <v>7.7</v>
      </c>
      <c r="E175" t="n">
        <v>4</v>
      </c>
      <c r="F175" t="n">
        <v>2</v>
      </c>
      <c r="G175" t="n">
        <v>4</v>
      </c>
      <c r="H175" t="n">
        <v>6</v>
      </c>
      <c r="I175" t="inlineStr">
        <is>
          <t>Non</t>
        </is>
      </c>
    </row>
    <row r="176">
      <c r="A176" s="4" t="n">
        <v>46069</v>
      </c>
      <c r="B176" t="inlineStr">
        <is>
          <t>S3</t>
        </is>
      </c>
      <c r="C176" t="inlineStr">
        <is>
          <t>ATH07</t>
        </is>
      </c>
      <c r="D176" t="n">
        <v>7.7</v>
      </c>
      <c r="E176" t="n">
        <v>2</v>
      </c>
      <c r="F176" t="n">
        <v>1</v>
      </c>
      <c r="G176" t="n">
        <v>3</v>
      </c>
      <c r="H176" t="n">
        <v>4</v>
      </c>
      <c r="I176" t="inlineStr">
        <is>
          <t>Non</t>
        </is>
      </c>
    </row>
    <row r="177">
      <c r="A177" s="4" t="n">
        <v>46069</v>
      </c>
      <c r="B177" t="inlineStr">
        <is>
          <t>S3</t>
        </is>
      </c>
      <c r="C177" t="inlineStr">
        <is>
          <t>ATH08</t>
        </is>
      </c>
      <c r="D177" t="n">
        <v>7.3</v>
      </c>
      <c r="E177" t="n">
        <v>1</v>
      </c>
      <c r="F177" t="n">
        <v>4</v>
      </c>
      <c r="G177" t="n">
        <v>4</v>
      </c>
      <c r="H177" t="n">
        <v>6</v>
      </c>
      <c r="I177" t="inlineStr">
        <is>
          <t>Non</t>
        </is>
      </c>
    </row>
    <row r="178">
      <c r="A178" s="4" t="n">
        <v>46069</v>
      </c>
      <c r="B178" t="inlineStr">
        <is>
          <t>S3</t>
        </is>
      </c>
      <c r="C178" t="inlineStr">
        <is>
          <t>ATH09</t>
        </is>
      </c>
      <c r="D178" t="n">
        <v>7.8</v>
      </c>
      <c r="E178" t="n">
        <v>4</v>
      </c>
      <c r="F178" t="n">
        <v>4</v>
      </c>
      <c r="G178" t="n">
        <v>3</v>
      </c>
      <c r="H178" t="n">
        <v>7</v>
      </c>
      <c r="I178" t="inlineStr">
        <is>
          <t>Non</t>
        </is>
      </c>
    </row>
    <row r="179">
      <c r="A179" s="4" t="n">
        <v>46069</v>
      </c>
      <c r="B179" t="inlineStr">
        <is>
          <t>S3</t>
        </is>
      </c>
      <c r="C179" t="inlineStr">
        <is>
          <t>ATH10</t>
        </is>
      </c>
      <c r="D179" t="n">
        <v>7</v>
      </c>
      <c r="E179" t="n">
        <v>3</v>
      </c>
      <c r="F179" t="n">
        <v>2</v>
      </c>
      <c r="G179" t="n">
        <v>2</v>
      </c>
      <c r="H179" t="n">
        <v>7</v>
      </c>
      <c r="I179" t="inlineStr">
        <is>
          <t>Non</t>
        </is>
      </c>
    </row>
    <row r="180">
      <c r="A180" s="4" t="n">
        <v>46069</v>
      </c>
      <c r="B180" t="inlineStr">
        <is>
          <t>S3</t>
        </is>
      </c>
      <c r="C180" t="inlineStr">
        <is>
          <t>ATH11</t>
        </is>
      </c>
      <c r="D180" t="n">
        <v>7.7</v>
      </c>
      <c r="E180" t="n">
        <v>4</v>
      </c>
      <c r="F180" t="n">
        <v>3</v>
      </c>
      <c r="G180" t="n">
        <v>4</v>
      </c>
      <c r="H180" t="n">
        <v>7</v>
      </c>
      <c r="I180" t="inlineStr">
        <is>
          <t>Non</t>
        </is>
      </c>
    </row>
    <row r="181">
      <c r="A181" s="4" t="n">
        <v>46069</v>
      </c>
      <c r="B181" t="inlineStr">
        <is>
          <t>S3</t>
        </is>
      </c>
      <c r="C181" t="inlineStr">
        <is>
          <t>ATH12</t>
        </is>
      </c>
      <c r="D181" t="n">
        <v>9.4</v>
      </c>
      <c r="E181" t="n">
        <v>1</v>
      </c>
      <c r="F181" t="n">
        <v>2</v>
      </c>
      <c r="G181" t="n">
        <v>5</v>
      </c>
      <c r="H181" t="n">
        <v>6</v>
      </c>
      <c r="I181" t="inlineStr">
        <is>
          <t>Non</t>
        </is>
      </c>
    </row>
    <row r="182">
      <c r="A182" s="4" t="n">
        <v>46070</v>
      </c>
      <c r="B182" t="inlineStr">
        <is>
          <t>S3</t>
        </is>
      </c>
      <c r="C182" t="inlineStr">
        <is>
          <t>ATH01</t>
        </is>
      </c>
      <c r="D182" t="n">
        <v>8.1</v>
      </c>
      <c r="E182" t="n">
        <v>3</v>
      </c>
      <c r="F182" t="n">
        <v>5</v>
      </c>
      <c r="G182" t="n">
        <v>2</v>
      </c>
      <c r="H182" t="n">
        <v>8</v>
      </c>
      <c r="I182" t="inlineStr">
        <is>
          <t>Non</t>
        </is>
      </c>
    </row>
    <row r="183">
      <c r="A183" s="4" t="n">
        <v>46070</v>
      </c>
      <c r="B183" t="inlineStr">
        <is>
          <t>S3</t>
        </is>
      </c>
      <c r="C183" t="inlineStr">
        <is>
          <t>ATH02</t>
        </is>
      </c>
      <c r="D183" t="n">
        <v>8.699999999999999</v>
      </c>
      <c r="E183" t="n">
        <v>2</v>
      </c>
      <c r="F183" t="n">
        <v>4</v>
      </c>
      <c r="G183" t="n">
        <v>2</v>
      </c>
      <c r="H183" t="n">
        <v>7</v>
      </c>
      <c r="I183" t="inlineStr">
        <is>
          <t>Non</t>
        </is>
      </c>
    </row>
    <row r="184">
      <c r="A184" s="4" t="n">
        <v>46070</v>
      </c>
      <c r="B184" t="inlineStr">
        <is>
          <t>S3</t>
        </is>
      </c>
      <c r="C184" t="inlineStr">
        <is>
          <t>ATH03</t>
        </is>
      </c>
      <c r="D184" t="n">
        <v>7.3</v>
      </c>
      <c r="E184" t="n">
        <v>1</v>
      </c>
      <c r="F184" t="n">
        <v>3</v>
      </c>
      <c r="G184" t="n">
        <v>3</v>
      </c>
      <c r="H184" t="n">
        <v>8</v>
      </c>
      <c r="I184" t="inlineStr">
        <is>
          <t>Non</t>
        </is>
      </c>
    </row>
    <row r="185">
      <c r="A185" s="4" t="n">
        <v>46070</v>
      </c>
      <c r="B185" t="inlineStr">
        <is>
          <t>S3</t>
        </is>
      </c>
      <c r="C185" t="inlineStr">
        <is>
          <t>ATH04</t>
        </is>
      </c>
      <c r="D185" t="n">
        <v>7.9</v>
      </c>
      <c r="E185" t="n">
        <v>6</v>
      </c>
      <c r="F185" t="n">
        <v>3</v>
      </c>
      <c r="G185" t="n">
        <v>3</v>
      </c>
      <c r="H185" t="n">
        <v>6</v>
      </c>
      <c r="I185" t="inlineStr">
        <is>
          <t>Non</t>
        </is>
      </c>
    </row>
    <row r="186">
      <c r="A186" s="4" t="n">
        <v>46070</v>
      </c>
      <c r="B186" t="inlineStr">
        <is>
          <t>S3</t>
        </is>
      </c>
      <c r="C186" t="inlineStr">
        <is>
          <t>ATH05</t>
        </is>
      </c>
      <c r="D186" t="n">
        <v>7.2</v>
      </c>
      <c r="E186" t="n">
        <v>1</v>
      </c>
      <c r="F186" t="n">
        <v>2</v>
      </c>
      <c r="G186" t="n">
        <v>1</v>
      </c>
      <c r="H186" t="n">
        <v>7</v>
      </c>
      <c r="I186" t="inlineStr">
        <is>
          <t>Non</t>
        </is>
      </c>
    </row>
    <row r="187">
      <c r="A187" s="4" t="n">
        <v>46070</v>
      </c>
      <c r="B187" t="inlineStr">
        <is>
          <t>S3</t>
        </is>
      </c>
      <c r="C187" t="inlineStr">
        <is>
          <t>ATH06</t>
        </is>
      </c>
      <c r="D187" t="n">
        <v>6.6</v>
      </c>
      <c r="E187" t="n">
        <v>2</v>
      </c>
      <c r="F187" t="n">
        <v>2</v>
      </c>
      <c r="G187" t="n">
        <v>3</v>
      </c>
      <c r="H187" t="n">
        <v>7</v>
      </c>
      <c r="I187" t="inlineStr">
        <is>
          <t>Non</t>
        </is>
      </c>
    </row>
    <row r="188">
      <c r="A188" s="4" t="n">
        <v>46070</v>
      </c>
      <c r="B188" t="inlineStr">
        <is>
          <t>S3</t>
        </is>
      </c>
      <c r="C188" t="inlineStr">
        <is>
          <t>ATH07</t>
        </is>
      </c>
      <c r="D188" t="n">
        <v>8.300000000000001</v>
      </c>
      <c r="E188" t="n">
        <v>2</v>
      </c>
      <c r="F188" t="n">
        <v>3</v>
      </c>
      <c r="G188" t="n">
        <v>7</v>
      </c>
      <c r="H188" t="n">
        <v>7</v>
      </c>
      <c r="I188" t="inlineStr">
        <is>
          <t>Non</t>
        </is>
      </c>
    </row>
    <row r="189">
      <c r="A189" s="4" t="n">
        <v>46070</v>
      </c>
      <c r="B189" t="inlineStr">
        <is>
          <t>S3</t>
        </is>
      </c>
      <c r="C189" t="inlineStr">
        <is>
          <t>ATH08</t>
        </is>
      </c>
      <c r="D189" t="n">
        <v>7.4</v>
      </c>
      <c r="E189" t="n">
        <v>2</v>
      </c>
      <c r="F189" t="n">
        <v>2</v>
      </c>
      <c r="G189" t="n">
        <v>2</v>
      </c>
      <c r="H189" t="n">
        <v>7</v>
      </c>
      <c r="I189" t="inlineStr">
        <is>
          <t>Non</t>
        </is>
      </c>
    </row>
    <row r="190">
      <c r="A190" s="4" t="n">
        <v>46070</v>
      </c>
      <c r="B190" t="inlineStr">
        <is>
          <t>S3</t>
        </is>
      </c>
      <c r="C190" t="inlineStr">
        <is>
          <t>ATH09</t>
        </is>
      </c>
      <c r="D190" t="n">
        <v>7.6</v>
      </c>
      <c r="E190" t="n">
        <v>1</v>
      </c>
      <c r="F190" t="n">
        <v>2</v>
      </c>
      <c r="G190" t="n">
        <v>4</v>
      </c>
      <c r="H190" t="n">
        <v>6</v>
      </c>
      <c r="I190" t="inlineStr">
        <is>
          <t>Non</t>
        </is>
      </c>
    </row>
    <row r="191">
      <c r="A191" s="4" t="n">
        <v>46070</v>
      </c>
      <c r="B191" t="inlineStr">
        <is>
          <t>S3</t>
        </is>
      </c>
      <c r="C191" t="inlineStr">
        <is>
          <t>ATH10</t>
        </is>
      </c>
      <c r="D191" t="n">
        <v>7</v>
      </c>
      <c r="E191" t="n">
        <v>1</v>
      </c>
      <c r="F191" t="n">
        <v>1</v>
      </c>
      <c r="G191" t="n">
        <v>4</v>
      </c>
      <c r="H191" t="n">
        <v>6</v>
      </c>
      <c r="I191" t="inlineStr">
        <is>
          <t>Non</t>
        </is>
      </c>
    </row>
    <row r="192">
      <c r="A192" s="4" t="n">
        <v>46070</v>
      </c>
      <c r="B192" t="inlineStr">
        <is>
          <t>S3</t>
        </is>
      </c>
      <c r="C192" t="inlineStr">
        <is>
          <t>ATH11</t>
        </is>
      </c>
      <c r="D192" t="n">
        <v>8</v>
      </c>
      <c r="E192" t="n">
        <v>5</v>
      </c>
      <c r="F192" t="n">
        <v>4</v>
      </c>
      <c r="G192" t="n">
        <v>2</v>
      </c>
      <c r="H192" t="n">
        <v>7</v>
      </c>
      <c r="I192" t="inlineStr">
        <is>
          <t>Non</t>
        </is>
      </c>
    </row>
    <row r="193">
      <c r="A193" s="4" t="n">
        <v>46070</v>
      </c>
      <c r="B193" t="inlineStr">
        <is>
          <t>S3</t>
        </is>
      </c>
      <c r="C193" t="inlineStr">
        <is>
          <t>ATH12</t>
        </is>
      </c>
      <c r="D193" t="n">
        <v>7.1</v>
      </c>
      <c r="E193" t="n">
        <v>2</v>
      </c>
      <c r="F193" t="n">
        <v>3</v>
      </c>
      <c r="G193" t="n">
        <v>2</v>
      </c>
      <c r="H193" t="n">
        <v>4</v>
      </c>
      <c r="I193" t="inlineStr">
        <is>
          <t>Non</t>
        </is>
      </c>
    </row>
    <row r="194">
      <c r="A194" s="4" t="n">
        <v>46071</v>
      </c>
      <c r="B194" t="inlineStr">
        <is>
          <t>S3</t>
        </is>
      </c>
      <c r="C194" t="inlineStr">
        <is>
          <t>ATH01</t>
        </is>
      </c>
      <c r="D194" t="n">
        <v>6.9</v>
      </c>
      <c r="E194" t="n">
        <v>3</v>
      </c>
      <c r="F194" t="n">
        <v>5</v>
      </c>
      <c r="G194" t="n">
        <v>2</v>
      </c>
      <c r="H194" t="n">
        <v>7</v>
      </c>
      <c r="I194" t="inlineStr">
        <is>
          <t>Non</t>
        </is>
      </c>
    </row>
    <row r="195">
      <c r="A195" s="4" t="n">
        <v>46071</v>
      </c>
      <c r="B195" t="inlineStr">
        <is>
          <t>S3</t>
        </is>
      </c>
      <c r="C195" t="inlineStr">
        <is>
          <t>ATH02</t>
        </is>
      </c>
      <c r="D195" t="n">
        <v>7.4</v>
      </c>
      <c r="E195" t="n">
        <v>4</v>
      </c>
      <c r="F195" t="n">
        <v>4</v>
      </c>
      <c r="G195" t="n">
        <v>5</v>
      </c>
      <c r="H195" t="n">
        <v>5</v>
      </c>
      <c r="I195" t="inlineStr">
        <is>
          <t>Non</t>
        </is>
      </c>
    </row>
    <row r="196">
      <c r="A196" s="4" t="n">
        <v>46071</v>
      </c>
      <c r="B196" t="inlineStr">
        <is>
          <t>S3</t>
        </is>
      </c>
      <c r="C196" t="inlineStr">
        <is>
          <t>ATH03</t>
        </is>
      </c>
      <c r="D196" t="n">
        <v>7.6</v>
      </c>
      <c r="E196" t="n">
        <v>4</v>
      </c>
      <c r="F196" t="n">
        <v>3</v>
      </c>
      <c r="G196" t="n">
        <v>4</v>
      </c>
      <c r="H196" t="n">
        <v>7</v>
      </c>
      <c r="I196" t="inlineStr">
        <is>
          <t>Non</t>
        </is>
      </c>
    </row>
    <row r="197">
      <c r="A197" s="4" t="n">
        <v>46071</v>
      </c>
      <c r="B197" t="inlineStr">
        <is>
          <t>S3</t>
        </is>
      </c>
      <c r="C197" t="inlineStr">
        <is>
          <t>ATH04</t>
        </is>
      </c>
      <c r="D197" t="n">
        <v>7</v>
      </c>
      <c r="E197" t="n">
        <v>1</v>
      </c>
      <c r="F197" t="n">
        <v>2</v>
      </c>
      <c r="G197" t="n">
        <v>6</v>
      </c>
      <c r="H197" t="n">
        <v>6</v>
      </c>
      <c r="I197" t="inlineStr">
        <is>
          <t>Non</t>
        </is>
      </c>
    </row>
    <row r="198">
      <c r="A198" s="4" t="n">
        <v>46071</v>
      </c>
      <c r="B198" t="inlineStr">
        <is>
          <t>S3</t>
        </is>
      </c>
      <c r="C198" t="inlineStr">
        <is>
          <t>ATH05</t>
        </is>
      </c>
      <c r="D198" t="n">
        <v>6.1</v>
      </c>
      <c r="E198" t="n">
        <v>4</v>
      </c>
      <c r="F198" t="n">
        <v>4</v>
      </c>
      <c r="G198" t="n">
        <v>5</v>
      </c>
      <c r="H198" t="n">
        <v>7</v>
      </c>
      <c r="I198" t="inlineStr">
        <is>
          <t>Non</t>
        </is>
      </c>
    </row>
    <row r="199">
      <c r="A199" s="4" t="n">
        <v>46071</v>
      </c>
      <c r="B199" t="inlineStr">
        <is>
          <t>S3</t>
        </is>
      </c>
      <c r="C199" t="inlineStr">
        <is>
          <t>ATH06</t>
        </is>
      </c>
      <c r="D199" t="n">
        <v>8.1</v>
      </c>
      <c r="E199" t="n">
        <v>5</v>
      </c>
      <c r="F199" t="n">
        <v>1</v>
      </c>
      <c r="G199" t="n">
        <v>2</v>
      </c>
      <c r="H199" t="n">
        <v>5</v>
      </c>
      <c r="I199" t="inlineStr">
        <is>
          <t>Non</t>
        </is>
      </c>
    </row>
    <row r="200">
      <c r="A200" s="4" t="n">
        <v>46071</v>
      </c>
      <c r="B200" t="inlineStr">
        <is>
          <t>S3</t>
        </is>
      </c>
      <c r="C200" t="inlineStr">
        <is>
          <t>ATH07</t>
        </is>
      </c>
      <c r="D200" t="n">
        <v>7.3</v>
      </c>
      <c r="E200" t="n">
        <v>5</v>
      </c>
      <c r="F200" t="n">
        <v>3</v>
      </c>
      <c r="G200" t="n">
        <v>4</v>
      </c>
      <c r="H200" t="n">
        <v>4</v>
      </c>
      <c r="I200" t="inlineStr">
        <is>
          <t>Non</t>
        </is>
      </c>
    </row>
    <row r="201">
      <c r="A201" s="4" t="n">
        <v>46071</v>
      </c>
      <c r="B201" t="inlineStr">
        <is>
          <t>S3</t>
        </is>
      </c>
      <c r="C201" t="inlineStr">
        <is>
          <t>ATH08</t>
        </is>
      </c>
      <c r="D201" t="n">
        <v>7</v>
      </c>
      <c r="E201" t="n">
        <v>1</v>
      </c>
      <c r="F201" t="n">
        <v>4</v>
      </c>
      <c r="G201" t="n">
        <v>5</v>
      </c>
      <c r="H201" t="n">
        <v>7</v>
      </c>
      <c r="I201" t="inlineStr">
        <is>
          <t>Non</t>
        </is>
      </c>
    </row>
    <row r="202">
      <c r="A202" s="4" t="n">
        <v>46071</v>
      </c>
      <c r="B202" t="inlineStr">
        <is>
          <t>S3</t>
        </is>
      </c>
      <c r="C202" t="inlineStr">
        <is>
          <t>ATH09</t>
        </is>
      </c>
      <c r="D202" t="n">
        <v>6.8</v>
      </c>
      <c r="E202" t="n">
        <v>5</v>
      </c>
      <c r="F202" t="n">
        <v>2</v>
      </c>
      <c r="G202" t="n">
        <v>1</v>
      </c>
      <c r="H202" t="n">
        <v>5</v>
      </c>
      <c r="I202" t="inlineStr">
        <is>
          <t>Non</t>
        </is>
      </c>
    </row>
    <row r="203">
      <c r="A203" s="4" t="n">
        <v>46071</v>
      </c>
      <c r="B203" t="inlineStr">
        <is>
          <t>S3</t>
        </is>
      </c>
      <c r="C203" t="inlineStr">
        <is>
          <t>ATH10</t>
        </is>
      </c>
      <c r="D203" t="n">
        <v>7.2</v>
      </c>
      <c r="E203" t="n">
        <v>3</v>
      </c>
      <c r="F203" t="n">
        <v>2</v>
      </c>
      <c r="G203" t="n">
        <v>1</v>
      </c>
      <c r="H203" t="n">
        <v>8</v>
      </c>
      <c r="I203" t="inlineStr">
        <is>
          <t>Non</t>
        </is>
      </c>
    </row>
    <row r="204">
      <c r="A204" s="4" t="n">
        <v>46071</v>
      </c>
      <c r="B204" t="inlineStr">
        <is>
          <t>S3</t>
        </is>
      </c>
      <c r="C204" t="inlineStr">
        <is>
          <t>ATH11</t>
        </is>
      </c>
      <c r="D204" t="n">
        <v>7.4</v>
      </c>
      <c r="E204" t="n">
        <v>2</v>
      </c>
      <c r="F204" t="n">
        <v>4</v>
      </c>
      <c r="G204" t="n">
        <v>1</v>
      </c>
      <c r="H204" t="n">
        <v>5</v>
      </c>
      <c r="I204" t="inlineStr">
        <is>
          <t>Non</t>
        </is>
      </c>
    </row>
    <row r="205">
      <c r="A205" s="4" t="n">
        <v>46071</v>
      </c>
      <c r="B205" t="inlineStr">
        <is>
          <t>S3</t>
        </is>
      </c>
      <c r="C205" t="inlineStr">
        <is>
          <t>ATH12</t>
        </is>
      </c>
      <c r="D205" t="n">
        <v>8.4</v>
      </c>
      <c r="E205" t="n">
        <v>5</v>
      </c>
      <c r="F205" t="n">
        <v>2</v>
      </c>
      <c r="G205" t="n">
        <v>3</v>
      </c>
      <c r="H205" t="n">
        <v>5</v>
      </c>
      <c r="I205" t="inlineStr">
        <is>
          <t>Non</t>
        </is>
      </c>
    </row>
    <row r="206">
      <c r="A206" s="4" t="n">
        <v>46072</v>
      </c>
      <c r="B206" t="inlineStr">
        <is>
          <t>S3</t>
        </is>
      </c>
      <c r="C206" t="inlineStr">
        <is>
          <t>ATH01</t>
        </is>
      </c>
      <c r="D206" t="n">
        <v>7.5</v>
      </c>
      <c r="E206" t="n">
        <v>2</v>
      </c>
      <c r="F206" t="n">
        <v>2</v>
      </c>
      <c r="G206" t="n">
        <v>4</v>
      </c>
      <c r="H206" t="n">
        <v>5</v>
      </c>
      <c r="I206" t="inlineStr">
        <is>
          <t>Non</t>
        </is>
      </c>
    </row>
    <row r="207">
      <c r="A207" s="4" t="n">
        <v>46072</v>
      </c>
      <c r="B207" t="inlineStr">
        <is>
          <t>S3</t>
        </is>
      </c>
      <c r="C207" t="inlineStr">
        <is>
          <t>ATH02</t>
        </is>
      </c>
      <c r="D207" t="n">
        <v>7.2</v>
      </c>
      <c r="E207" t="n">
        <v>1</v>
      </c>
      <c r="F207" t="n">
        <v>2</v>
      </c>
      <c r="G207" t="n">
        <v>3</v>
      </c>
      <c r="H207" t="n">
        <v>7</v>
      </c>
      <c r="I207" t="inlineStr">
        <is>
          <t>Non</t>
        </is>
      </c>
    </row>
    <row r="208">
      <c r="A208" s="4" t="n">
        <v>46072</v>
      </c>
      <c r="B208" t="inlineStr">
        <is>
          <t>S3</t>
        </is>
      </c>
      <c r="C208" t="inlineStr">
        <is>
          <t>ATH03</t>
        </is>
      </c>
      <c r="D208" t="n">
        <v>7.7</v>
      </c>
      <c r="E208" t="n">
        <v>4</v>
      </c>
      <c r="F208" t="n">
        <v>1</v>
      </c>
      <c r="G208" t="n">
        <v>1</v>
      </c>
      <c r="H208" t="n">
        <v>7</v>
      </c>
      <c r="I208" t="inlineStr">
        <is>
          <t>Non</t>
        </is>
      </c>
    </row>
    <row r="209">
      <c r="A209" s="4" t="n">
        <v>46072</v>
      </c>
      <c r="B209" t="inlineStr">
        <is>
          <t>S3</t>
        </is>
      </c>
      <c r="C209" t="inlineStr">
        <is>
          <t>ATH04</t>
        </is>
      </c>
      <c r="D209" t="n">
        <v>6.1</v>
      </c>
      <c r="E209" t="n">
        <v>3</v>
      </c>
      <c r="F209" t="n">
        <v>1</v>
      </c>
      <c r="G209" t="n">
        <v>5</v>
      </c>
      <c r="H209" t="n">
        <v>7</v>
      </c>
      <c r="I209" t="inlineStr">
        <is>
          <t>Non</t>
        </is>
      </c>
    </row>
    <row r="210">
      <c r="A210" s="4" t="n">
        <v>46072</v>
      </c>
      <c r="B210" t="inlineStr">
        <is>
          <t>S3</t>
        </is>
      </c>
      <c r="C210" t="inlineStr">
        <is>
          <t>ATH05</t>
        </is>
      </c>
      <c r="D210" t="n">
        <v>7.3</v>
      </c>
      <c r="E210" t="n">
        <v>4</v>
      </c>
      <c r="F210" t="n">
        <v>1</v>
      </c>
      <c r="G210" t="n">
        <v>2</v>
      </c>
      <c r="H210" t="n">
        <v>5</v>
      </c>
      <c r="I210" t="inlineStr">
        <is>
          <t>Non</t>
        </is>
      </c>
    </row>
    <row r="211">
      <c r="A211" s="4" t="n">
        <v>46072</v>
      </c>
      <c r="B211" t="inlineStr">
        <is>
          <t>S3</t>
        </is>
      </c>
      <c r="C211" t="inlineStr">
        <is>
          <t>ATH06</t>
        </is>
      </c>
      <c r="D211" t="n">
        <v>6.9</v>
      </c>
      <c r="E211" t="n">
        <v>3</v>
      </c>
      <c r="F211" t="n">
        <v>3</v>
      </c>
      <c r="G211" t="n">
        <v>4</v>
      </c>
      <c r="H211" t="n">
        <v>4</v>
      </c>
      <c r="I211" t="inlineStr">
        <is>
          <t>Non</t>
        </is>
      </c>
    </row>
    <row r="212">
      <c r="A212" s="4" t="n">
        <v>46072</v>
      </c>
      <c r="B212" t="inlineStr">
        <is>
          <t>S3</t>
        </is>
      </c>
      <c r="C212" t="inlineStr">
        <is>
          <t>ATH07</t>
        </is>
      </c>
      <c r="D212" t="n">
        <v>7.4</v>
      </c>
      <c r="E212" t="n">
        <v>2</v>
      </c>
      <c r="F212" t="n">
        <v>2</v>
      </c>
      <c r="G212" t="n">
        <v>6</v>
      </c>
      <c r="H212" t="n">
        <v>7</v>
      </c>
      <c r="I212" t="inlineStr">
        <is>
          <t>Non</t>
        </is>
      </c>
    </row>
    <row r="213">
      <c r="A213" s="4" t="n">
        <v>46072</v>
      </c>
      <c r="B213" t="inlineStr">
        <is>
          <t>S3</t>
        </is>
      </c>
      <c r="C213" t="inlineStr">
        <is>
          <t>ATH08</t>
        </is>
      </c>
      <c r="D213" t="n">
        <v>8.1</v>
      </c>
      <c r="E213" t="n">
        <v>5</v>
      </c>
      <c r="F213" t="n">
        <v>4</v>
      </c>
      <c r="G213" t="n">
        <v>2</v>
      </c>
      <c r="H213" t="n">
        <v>5</v>
      </c>
      <c r="I213" t="inlineStr">
        <is>
          <t>Non</t>
        </is>
      </c>
    </row>
    <row r="214">
      <c r="A214" s="4" t="n">
        <v>46072</v>
      </c>
      <c r="B214" t="inlineStr">
        <is>
          <t>S3</t>
        </is>
      </c>
      <c r="C214" t="inlineStr">
        <is>
          <t>ATH09</t>
        </is>
      </c>
      <c r="D214" t="n">
        <v>7.5</v>
      </c>
      <c r="E214" t="n">
        <v>2</v>
      </c>
      <c r="F214" t="n">
        <v>1</v>
      </c>
      <c r="G214" t="n">
        <v>3</v>
      </c>
      <c r="H214" t="n">
        <v>7</v>
      </c>
      <c r="I214" t="inlineStr">
        <is>
          <t>Non</t>
        </is>
      </c>
    </row>
    <row r="215">
      <c r="A215" s="4" t="n">
        <v>46072</v>
      </c>
      <c r="B215" t="inlineStr">
        <is>
          <t>S3</t>
        </is>
      </c>
      <c r="C215" t="inlineStr">
        <is>
          <t>ATH10</t>
        </is>
      </c>
      <c r="D215" t="n">
        <v>8.699999999999999</v>
      </c>
      <c r="E215" t="n">
        <v>3</v>
      </c>
      <c r="F215" t="n">
        <v>3</v>
      </c>
      <c r="G215" t="n">
        <v>2</v>
      </c>
      <c r="H215" t="n">
        <v>7</v>
      </c>
      <c r="I215" t="inlineStr">
        <is>
          <t>Non</t>
        </is>
      </c>
    </row>
    <row r="216">
      <c r="A216" s="4" t="n">
        <v>46072</v>
      </c>
      <c r="B216" t="inlineStr">
        <is>
          <t>S3</t>
        </is>
      </c>
      <c r="C216" t="inlineStr">
        <is>
          <t>ATH11</t>
        </is>
      </c>
      <c r="D216" t="n">
        <v>7.4</v>
      </c>
      <c r="E216" t="n">
        <v>2</v>
      </c>
      <c r="F216" t="n">
        <v>2</v>
      </c>
      <c r="G216" t="n">
        <v>4</v>
      </c>
      <c r="H216" t="n">
        <v>7</v>
      </c>
      <c r="I216" t="inlineStr">
        <is>
          <t>Non</t>
        </is>
      </c>
    </row>
    <row r="217">
      <c r="A217" s="4" t="n">
        <v>46072</v>
      </c>
      <c r="B217" t="inlineStr">
        <is>
          <t>S3</t>
        </is>
      </c>
      <c r="C217" t="inlineStr">
        <is>
          <t>ATH12</t>
        </is>
      </c>
      <c r="D217" t="n">
        <v>8.199999999999999</v>
      </c>
      <c r="E217" t="n">
        <v>1</v>
      </c>
      <c r="F217" t="n">
        <v>1</v>
      </c>
      <c r="G217" t="n">
        <v>4</v>
      </c>
      <c r="H217" t="n">
        <v>6</v>
      </c>
      <c r="I217" t="inlineStr">
        <is>
          <t>Non</t>
        </is>
      </c>
    </row>
    <row r="218">
      <c r="A218" s="4" t="n">
        <v>46073</v>
      </c>
      <c r="B218" t="inlineStr">
        <is>
          <t>S3</t>
        </is>
      </c>
      <c r="C218" t="inlineStr">
        <is>
          <t>ATH01</t>
        </is>
      </c>
      <c r="D218" t="n">
        <v>7.7</v>
      </c>
      <c r="E218" t="n">
        <v>1</v>
      </c>
      <c r="F218" t="n">
        <v>6</v>
      </c>
      <c r="G218" t="n">
        <v>3</v>
      </c>
      <c r="H218" t="n">
        <v>8</v>
      </c>
      <c r="I218" t="inlineStr">
        <is>
          <t>Non</t>
        </is>
      </c>
    </row>
    <row r="219">
      <c r="A219" s="4" t="n">
        <v>46073</v>
      </c>
      <c r="B219" t="inlineStr">
        <is>
          <t>S3</t>
        </is>
      </c>
      <c r="C219" t="inlineStr">
        <is>
          <t>ATH02</t>
        </is>
      </c>
      <c r="D219" t="n">
        <v>7.3</v>
      </c>
      <c r="E219" t="n">
        <v>3</v>
      </c>
      <c r="F219" t="n">
        <v>5</v>
      </c>
      <c r="G219" t="n">
        <v>5</v>
      </c>
      <c r="H219" t="n">
        <v>6</v>
      </c>
      <c r="I219" t="inlineStr">
        <is>
          <t>Non</t>
        </is>
      </c>
    </row>
    <row r="220">
      <c r="A220" s="4" t="n">
        <v>46073</v>
      </c>
      <c r="B220" t="inlineStr">
        <is>
          <t>S3</t>
        </is>
      </c>
      <c r="C220" t="inlineStr">
        <is>
          <t>ATH03</t>
        </is>
      </c>
      <c r="D220" t="n">
        <v>7.4</v>
      </c>
      <c r="E220" t="n">
        <v>4</v>
      </c>
      <c r="F220" t="n">
        <v>6</v>
      </c>
      <c r="G220" t="n">
        <v>3</v>
      </c>
      <c r="H220" t="n">
        <v>9</v>
      </c>
      <c r="I220" t="inlineStr">
        <is>
          <t>Non</t>
        </is>
      </c>
    </row>
    <row r="221">
      <c r="A221" s="4" t="n">
        <v>46073</v>
      </c>
      <c r="B221" t="inlineStr">
        <is>
          <t>S3</t>
        </is>
      </c>
      <c r="C221" t="inlineStr">
        <is>
          <t>ATH04</t>
        </is>
      </c>
      <c r="D221" t="n">
        <v>7.3</v>
      </c>
      <c r="E221" t="n">
        <v>4</v>
      </c>
      <c r="F221" t="n">
        <v>4</v>
      </c>
      <c r="G221" t="n">
        <v>2</v>
      </c>
      <c r="H221" t="n">
        <v>6</v>
      </c>
      <c r="I221" t="inlineStr">
        <is>
          <t>Non</t>
        </is>
      </c>
    </row>
    <row r="222">
      <c r="A222" s="4" t="n">
        <v>46073</v>
      </c>
      <c r="B222" t="inlineStr">
        <is>
          <t>S3</t>
        </is>
      </c>
      <c r="C222" t="inlineStr">
        <is>
          <t>ATH05</t>
        </is>
      </c>
      <c r="D222" t="n">
        <v>8.300000000000001</v>
      </c>
      <c r="E222" t="n">
        <v>2</v>
      </c>
      <c r="F222" t="n">
        <v>1</v>
      </c>
      <c r="G222" t="n">
        <v>2</v>
      </c>
      <c r="H222" t="n">
        <v>6</v>
      </c>
      <c r="I222" t="inlineStr">
        <is>
          <t>Non</t>
        </is>
      </c>
    </row>
    <row r="223">
      <c r="A223" s="4" t="n">
        <v>46073</v>
      </c>
      <c r="B223" t="inlineStr">
        <is>
          <t>S3</t>
        </is>
      </c>
      <c r="C223" t="inlineStr">
        <is>
          <t>ATH06</t>
        </is>
      </c>
      <c r="D223" t="n">
        <v>8.1</v>
      </c>
      <c r="E223" t="n">
        <v>4</v>
      </c>
      <c r="F223" t="n">
        <v>4</v>
      </c>
      <c r="G223" t="n">
        <v>4</v>
      </c>
      <c r="H223" t="n">
        <v>6</v>
      </c>
      <c r="I223" t="inlineStr">
        <is>
          <t>Non</t>
        </is>
      </c>
    </row>
    <row r="224">
      <c r="A224" s="4" t="n">
        <v>46073</v>
      </c>
      <c r="B224" t="inlineStr">
        <is>
          <t>S3</t>
        </is>
      </c>
      <c r="C224" t="inlineStr">
        <is>
          <t>ATH07</t>
        </is>
      </c>
      <c r="D224" t="n">
        <v>8</v>
      </c>
      <c r="E224" t="n">
        <v>4</v>
      </c>
      <c r="F224" t="n">
        <v>3</v>
      </c>
      <c r="G224" t="n">
        <v>4</v>
      </c>
      <c r="H224" t="n">
        <v>6</v>
      </c>
      <c r="I224" t="inlineStr">
        <is>
          <t>Non</t>
        </is>
      </c>
    </row>
    <row r="225">
      <c r="A225" s="4" t="n">
        <v>46073</v>
      </c>
      <c r="B225" t="inlineStr">
        <is>
          <t>S3</t>
        </is>
      </c>
      <c r="C225" t="inlineStr">
        <is>
          <t>ATH08</t>
        </is>
      </c>
      <c r="D225" t="n">
        <v>7.6</v>
      </c>
      <c r="E225" t="n">
        <v>2</v>
      </c>
      <c r="F225" t="n">
        <v>2</v>
      </c>
      <c r="G225" t="n">
        <v>1</v>
      </c>
      <c r="H225" t="n">
        <v>5</v>
      </c>
      <c r="I225" t="inlineStr">
        <is>
          <t>Non</t>
        </is>
      </c>
    </row>
    <row r="226">
      <c r="A226" s="4" t="n">
        <v>46073</v>
      </c>
      <c r="B226" t="inlineStr">
        <is>
          <t>S3</t>
        </is>
      </c>
      <c r="C226" t="inlineStr">
        <is>
          <t>ATH09</t>
        </is>
      </c>
      <c r="D226" t="n">
        <v>7.4</v>
      </c>
      <c r="E226" t="n">
        <v>2</v>
      </c>
      <c r="F226" t="n">
        <v>3</v>
      </c>
      <c r="G226" t="n">
        <v>3</v>
      </c>
      <c r="H226" t="n">
        <v>7</v>
      </c>
      <c r="I226" t="inlineStr">
        <is>
          <t>Non</t>
        </is>
      </c>
    </row>
    <row r="227">
      <c r="A227" s="4" t="n">
        <v>46073</v>
      </c>
      <c r="B227" t="inlineStr">
        <is>
          <t>S3</t>
        </is>
      </c>
      <c r="C227" t="inlineStr">
        <is>
          <t>ATH10</t>
        </is>
      </c>
      <c r="D227" t="n">
        <v>7.9</v>
      </c>
      <c r="E227" t="n">
        <v>2</v>
      </c>
      <c r="F227" t="n">
        <v>2</v>
      </c>
      <c r="G227" t="n">
        <v>5</v>
      </c>
      <c r="H227" t="n">
        <v>7</v>
      </c>
      <c r="I227" t="inlineStr">
        <is>
          <t>Non</t>
        </is>
      </c>
    </row>
    <row r="228">
      <c r="A228" s="4" t="n">
        <v>46073</v>
      </c>
      <c r="B228" t="inlineStr">
        <is>
          <t>S3</t>
        </is>
      </c>
      <c r="C228" t="inlineStr">
        <is>
          <t>ATH11</t>
        </is>
      </c>
      <c r="D228" t="n">
        <v>7.4</v>
      </c>
      <c r="E228" t="n">
        <v>3</v>
      </c>
      <c r="F228" t="n">
        <v>2</v>
      </c>
      <c r="G228" t="n">
        <v>2</v>
      </c>
      <c r="H228" t="n">
        <v>5</v>
      </c>
      <c r="I228" t="inlineStr">
        <is>
          <t>Non</t>
        </is>
      </c>
    </row>
    <row r="229">
      <c r="A229" s="4" t="n">
        <v>46073</v>
      </c>
      <c r="B229" t="inlineStr">
        <is>
          <t>S3</t>
        </is>
      </c>
      <c r="C229" t="inlineStr">
        <is>
          <t>ATH12</t>
        </is>
      </c>
      <c r="D229" t="n">
        <v>7</v>
      </c>
      <c r="E229" t="n">
        <v>4</v>
      </c>
      <c r="F229" t="n">
        <v>2</v>
      </c>
      <c r="G229" t="n">
        <v>3</v>
      </c>
      <c r="H229" t="n">
        <v>7</v>
      </c>
      <c r="I229" t="inlineStr">
        <is>
          <t>Non</t>
        </is>
      </c>
    </row>
    <row r="230">
      <c r="A230" s="4" t="n">
        <v>46074</v>
      </c>
      <c r="B230" t="inlineStr">
        <is>
          <t>S3</t>
        </is>
      </c>
      <c r="C230" t="inlineStr">
        <is>
          <t>ATH01</t>
        </is>
      </c>
      <c r="D230" t="n">
        <v>7.3</v>
      </c>
      <c r="E230" t="n">
        <v>4</v>
      </c>
      <c r="F230" t="n">
        <v>1</v>
      </c>
      <c r="G230" t="n">
        <v>3</v>
      </c>
      <c r="H230" t="n">
        <v>7</v>
      </c>
      <c r="I230" t="inlineStr">
        <is>
          <t>Non</t>
        </is>
      </c>
    </row>
    <row r="231">
      <c r="A231" s="4" t="n">
        <v>46074</v>
      </c>
      <c r="B231" t="inlineStr">
        <is>
          <t>S3</t>
        </is>
      </c>
      <c r="C231" t="inlineStr">
        <is>
          <t>ATH02</t>
        </is>
      </c>
      <c r="D231" t="n">
        <v>7.5</v>
      </c>
      <c r="E231" t="n">
        <v>1</v>
      </c>
      <c r="F231" t="n">
        <v>4</v>
      </c>
      <c r="G231" t="n">
        <v>2</v>
      </c>
      <c r="H231" t="n">
        <v>7</v>
      </c>
      <c r="I231" t="inlineStr">
        <is>
          <t>Non</t>
        </is>
      </c>
    </row>
    <row r="232">
      <c r="A232" s="4" t="n">
        <v>46074</v>
      </c>
      <c r="B232" t="inlineStr">
        <is>
          <t>S3</t>
        </is>
      </c>
      <c r="C232" t="inlineStr">
        <is>
          <t>ATH03</t>
        </is>
      </c>
      <c r="D232" t="n">
        <v>7.5</v>
      </c>
      <c r="E232" t="n">
        <v>4</v>
      </c>
      <c r="F232" t="n">
        <v>6</v>
      </c>
      <c r="G232" t="n">
        <v>1</v>
      </c>
      <c r="H232" t="n">
        <v>6</v>
      </c>
      <c r="I232" t="inlineStr">
        <is>
          <t>Non</t>
        </is>
      </c>
    </row>
    <row r="233">
      <c r="A233" s="4" t="n">
        <v>46074</v>
      </c>
      <c r="B233" t="inlineStr">
        <is>
          <t>S3</t>
        </is>
      </c>
      <c r="C233" t="inlineStr">
        <is>
          <t>ATH04</t>
        </is>
      </c>
      <c r="D233" t="n">
        <v>7.6</v>
      </c>
      <c r="E233" t="n">
        <v>2</v>
      </c>
      <c r="F233" t="n">
        <v>4</v>
      </c>
      <c r="G233" t="n">
        <v>4</v>
      </c>
      <c r="H233" t="n">
        <v>7</v>
      </c>
      <c r="I233" t="inlineStr">
        <is>
          <t>Non</t>
        </is>
      </c>
    </row>
    <row r="234">
      <c r="A234" s="4" t="n">
        <v>46074</v>
      </c>
      <c r="B234" t="inlineStr">
        <is>
          <t>S3</t>
        </is>
      </c>
      <c r="C234" t="inlineStr">
        <is>
          <t>ATH05</t>
        </is>
      </c>
      <c r="D234" t="n">
        <v>7.7</v>
      </c>
      <c r="E234" t="n">
        <v>5</v>
      </c>
      <c r="F234" t="n">
        <v>1</v>
      </c>
      <c r="G234" t="n">
        <v>3</v>
      </c>
      <c r="H234" t="n">
        <v>6</v>
      </c>
      <c r="I234" t="inlineStr">
        <is>
          <t>Non</t>
        </is>
      </c>
    </row>
    <row r="235">
      <c r="A235" s="4" t="n">
        <v>46074</v>
      </c>
      <c r="B235" t="inlineStr">
        <is>
          <t>S3</t>
        </is>
      </c>
      <c r="C235" t="inlineStr">
        <is>
          <t>ATH06</t>
        </is>
      </c>
      <c r="D235" t="n">
        <v>8.1</v>
      </c>
      <c r="E235" t="n">
        <v>1</v>
      </c>
      <c r="F235" t="n">
        <v>2</v>
      </c>
      <c r="G235" t="n">
        <v>3</v>
      </c>
      <c r="H235" t="n">
        <v>5</v>
      </c>
      <c r="I235" t="inlineStr">
        <is>
          <t>Non</t>
        </is>
      </c>
    </row>
    <row r="236">
      <c r="A236" s="4" t="n">
        <v>46074</v>
      </c>
      <c r="B236" t="inlineStr">
        <is>
          <t>S3</t>
        </is>
      </c>
      <c r="C236" t="inlineStr">
        <is>
          <t>ATH07</t>
        </is>
      </c>
      <c r="D236" t="n">
        <v>7.1</v>
      </c>
      <c r="E236" t="n">
        <v>3</v>
      </c>
      <c r="F236" t="n">
        <v>4</v>
      </c>
      <c r="G236" t="n">
        <v>2</v>
      </c>
      <c r="H236" t="n">
        <v>6</v>
      </c>
      <c r="I236" t="inlineStr">
        <is>
          <t>Non</t>
        </is>
      </c>
    </row>
    <row r="237">
      <c r="A237" s="4" t="n">
        <v>46074</v>
      </c>
      <c r="B237" t="inlineStr">
        <is>
          <t>S3</t>
        </is>
      </c>
      <c r="C237" t="inlineStr">
        <is>
          <t>ATH08</t>
        </is>
      </c>
      <c r="D237" t="n">
        <v>8.300000000000001</v>
      </c>
      <c r="E237" t="n">
        <v>3</v>
      </c>
      <c r="F237" t="n">
        <v>1</v>
      </c>
      <c r="G237" t="n">
        <v>4</v>
      </c>
      <c r="H237" t="n">
        <v>6</v>
      </c>
      <c r="I237" t="inlineStr">
        <is>
          <t>Non</t>
        </is>
      </c>
    </row>
    <row r="238">
      <c r="A238" s="4" t="n">
        <v>46074</v>
      </c>
      <c r="B238" t="inlineStr">
        <is>
          <t>S3</t>
        </is>
      </c>
      <c r="C238" t="inlineStr">
        <is>
          <t>ATH09</t>
        </is>
      </c>
      <c r="D238" t="n">
        <v>8.199999999999999</v>
      </c>
      <c r="E238" t="n">
        <v>2</v>
      </c>
      <c r="F238" t="n">
        <v>2</v>
      </c>
      <c r="G238" t="n">
        <v>4</v>
      </c>
      <c r="H238" t="n">
        <v>6</v>
      </c>
      <c r="I238" t="inlineStr">
        <is>
          <t>Non</t>
        </is>
      </c>
    </row>
    <row r="239">
      <c r="A239" s="4" t="n">
        <v>46074</v>
      </c>
      <c r="B239" t="inlineStr">
        <is>
          <t>S3</t>
        </is>
      </c>
      <c r="C239" t="inlineStr">
        <is>
          <t>ATH10</t>
        </is>
      </c>
      <c r="D239" t="n">
        <v>8</v>
      </c>
      <c r="E239" t="n">
        <v>3</v>
      </c>
      <c r="F239" t="n">
        <v>5</v>
      </c>
      <c r="G239" t="n">
        <v>5</v>
      </c>
      <c r="H239" t="n">
        <v>5</v>
      </c>
      <c r="I239" t="inlineStr">
        <is>
          <t>Non</t>
        </is>
      </c>
    </row>
    <row r="240">
      <c r="A240" s="4" t="n">
        <v>46074</v>
      </c>
      <c r="B240" t="inlineStr">
        <is>
          <t>S3</t>
        </is>
      </c>
      <c r="C240" t="inlineStr">
        <is>
          <t>ATH11</t>
        </is>
      </c>
      <c r="D240" t="n">
        <v>7.9</v>
      </c>
      <c r="E240" t="n">
        <v>2</v>
      </c>
      <c r="F240" t="n">
        <v>3</v>
      </c>
      <c r="G240" t="n">
        <v>3</v>
      </c>
      <c r="H240" t="n">
        <v>5</v>
      </c>
      <c r="I240" t="inlineStr">
        <is>
          <t>Non</t>
        </is>
      </c>
    </row>
    <row r="241">
      <c r="A241" s="4" t="n">
        <v>46074</v>
      </c>
      <c r="B241" t="inlineStr">
        <is>
          <t>S3</t>
        </is>
      </c>
      <c r="C241" t="inlineStr">
        <is>
          <t>ATH12</t>
        </is>
      </c>
      <c r="D241" t="n">
        <v>8.199999999999999</v>
      </c>
      <c r="E241" t="n">
        <v>3</v>
      </c>
      <c r="F241" t="n">
        <v>2</v>
      </c>
      <c r="G241" t="n">
        <v>2</v>
      </c>
      <c r="H241" t="n">
        <v>7</v>
      </c>
      <c r="I241" t="inlineStr">
        <is>
          <t>Non</t>
        </is>
      </c>
    </row>
    <row r="242">
      <c r="A242" s="4" t="n">
        <v>46075</v>
      </c>
      <c r="B242" t="inlineStr">
        <is>
          <t>S3</t>
        </is>
      </c>
      <c r="C242" t="inlineStr">
        <is>
          <t>ATH01</t>
        </is>
      </c>
      <c r="D242" t="n">
        <v>7.8</v>
      </c>
      <c r="E242" t="n">
        <v>3</v>
      </c>
      <c r="F242" t="n">
        <v>1</v>
      </c>
      <c r="G242" t="n">
        <v>3</v>
      </c>
      <c r="H242" t="n">
        <v>5</v>
      </c>
      <c r="I242" t="inlineStr">
        <is>
          <t>Non</t>
        </is>
      </c>
    </row>
    <row r="243">
      <c r="A243" s="4" t="n">
        <v>46075</v>
      </c>
      <c r="B243" t="inlineStr">
        <is>
          <t>S3</t>
        </is>
      </c>
      <c r="C243" t="inlineStr">
        <is>
          <t>ATH02</t>
        </is>
      </c>
      <c r="D243" t="n">
        <v>7.4</v>
      </c>
      <c r="E243" t="n">
        <v>1</v>
      </c>
      <c r="F243" t="n">
        <v>1</v>
      </c>
      <c r="G243" t="n">
        <v>5</v>
      </c>
      <c r="H243" t="n">
        <v>6</v>
      </c>
      <c r="I243" t="inlineStr">
        <is>
          <t>Non</t>
        </is>
      </c>
    </row>
    <row r="244">
      <c r="A244" s="4" t="n">
        <v>46075</v>
      </c>
      <c r="B244" t="inlineStr">
        <is>
          <t>S3</t>
        </is>
      </c>
      <c r="C244" t="inlineStr">
        <is>
          <t>ATH03</t>
        </is>
      </c>
      <c r="D244" t="n">
        <v>7.2</v>
      </c>
      <c r="E244" t="n">
        <v>4</v>
      </c>
      <c r="F244" t="n">
        <v>2</v>
      </c>
      <c r="G244" t="n">
        <v>6</v>
      </c>
      <c r="H244" t="n">
        <v>6</v>
      </c>
      <c r="I244" t="inlineStr">
        <is>
          <t>Non</t>
        </is>
      </c>
    </row>
    <row r="245">
      <c r="A245" s="4" t="n">
        <v>46075</v>
      </c>
      <c r="B245" t="inlineStr">
        <is>
          <t>S3</t>
        </is>
      </c>
      <c r="C245" t="inlineStr">
        <is>
          <t>ATH04</t>
        </is>
      </c>
      <c r="D245" t="n">
        <v>7.8</v>
      </c>
      <c r="E245" t="n">
        <v>4</v>
      </c>
      <c r="F245" t="n">
        <v>5</v>
      </c>
      <c r="G245" t="n">
        <v>2</v>
      </c>
      <c r="H245" t="n">
        <v>6</v>
      </c>
      <c r="I245" t="inlineStr">
        <is>
          <t>Non</t>
        </is>
      </c>
    </row>
    <row r="246">
      <c r="A246" s="4" t="n">
        <v>46075</v>
      </c>
      <c r="B246" t="inlineStr">
        <is>
          <t>S3</t>
        </is>
      </c>
      <c r="C246" t="inlineStr">
        <is>
          <t>ATH05</t>
        </is>
      </c>
      <c r="D246" t="n">
        <v>8.4</v>
      </c>
      <c r="E246" t="n">
        <v>4</v>
      </c>
      <c r="F246" t="n">
        <v>4</v>
      </c>
      <c r="G246" t="n">
        <v>1</v>
      </c>
      <c r="H246" t="n">
        <v>8</v>
      </c>
      <c r="I246" t="inlineStr">
        <is>
          <t>Non</t>
        </is>
      </c>
    </row>
    <row r="247">
      <c r="A247" s="4" t="n">
        <v>46075</v>
      </c>
      <c r="B247" t="inlineStr">
        <is>
          <t>S3</t>
        </is>
      </c>
      <c r="C247" t="inlineStr">
        <is>
          <t>ATH06</t>
        </is>
      </c>
      <c r="D247" t="n">
        <v>7</v>
      </c>
      <c r="E247" t="n">
        <v>3</v>
      </c>
      <c r="F247" t="n">
        <v>2</v>
      </c>
      <c r="G247" t="n">
        <v>2</v>
      </c>
      <c r="H247" t="n">
        <v>5</v>
      </c>
      <c r="I247" t="inlineStr">
        <is>
          <t>Non</t>
        </is>
      </c>
    </row>
    <row r="248">
      <c r="A248" s="4" t="n">
        <v>46075</v>
      </c>
      <c r="B248" t="inlineStr">
        <is>
          <t>S3</t>
        </is>
      </c>
      <c r="C248" t="inlineStr">
        <is>
          <t>ATH07</t>
        </is>
      </c>
      <c r="D248" t="n">
        <v>6.3</v>
      </c>
      <c r="E248" t="n">
        <v>3</v>
      </c>
      <c r="F248" t="n">
        <v>1</v>
      </c>
      <c r="G248" t="n">
        <v>2</v>
      </c>
      <c r="H248" t="n">
        <v>6</v>
      </c>
      <c r="I248" t="inlineStr">
        <is>
          <t>Non</t>
        </is>
      </c>
    </row>
    <row r="249">
      <c r="A249" s="4" t="n">
        <v>46075</v>
      </c>
      <c r="B249" t="inlineStr">
        <is>
          <t>S3</t>
        </is>
      </c>
      <c r="C249" t="inlineStr">
        <is>
          <t>ATH08</t>
        </is>
      </c>
      <c r="D249" t="n">
        <v>5.7</v>
      </c>
      <c r="E249" t="n">
        <v>4</v>
      </c>
      <c r="F249" t="n">
        <v>1</v>
      </c>
      <c r="G249" t="n">
        <v>3</v>
      </c>
      <c r="H249" t="n">
        <v>7</v>
      </c>
      <c r="I249" t="inlineStr">
        <is>
          <t>Non</t>
        </is>
      </c>
    </row>
    <row r="250">
      <c r="A250" s="4" t="n">
        <v>46075</v>
      </c>
      <c r="B250" t="inlineStr">
        <is>
          <t>S3</t>
        </is>
      </c>
      <c r="C250" t="inlineStr">
        <is>
          <t>ATH09</t>
        </is>
      </c>
      <c r="D250" t="n">
        <v>7.9</v>
      </c>
      <c r="E250" t="n">
        <v>3</v>
      </c>
      <c r="F250" t="n">
        <v>5</v>
      </c>
      <c r="G250" t="n">
        <v>3</v>
      </c>
      <c r="H250" t="n">
        <v>8</v>
      </c>
      <c r="I250" t="inlineStr">
        <is>
          <t>Non</t>
        </is>
      </c>
    </row>
    <row r="251">
      <c r="A251" s="4" t="n">
        <v>46075</v>
      </c>
      <c r="B251" t="inlineStr">
        <is>
          <t>S3</t>
        </is>
      </c>
      <c r="C251" t="inlineStr">
        <is>
          <t>ATH10</t>
        </is>
      </c>
      <c r="D251" t="n">
        <v>7</v>
      </c>
      <c r="E251" t="n">
        <v>3</v>
      </c>
      <c r="F251" t="n">
        <v>5</v>
      </c>
      <c r="G251" t="n">
        <v>3</v>
      </c>
      <c r="H251" t="n">
        <v>7</v>
      </c>
      <c r="I251" t="inlineStr">
        <is>
          <t>Non</t>
        </is>
      </c>
    </row>
    <row r="252">
      <c r="A252" s="4" t="n">
        <v>46075</v>
      </c>
      <c r="B252" t="inlineStr">
        <is>
          <t>S3</t>
        </is>
      </c>
      <c r="C252" t="inlineStr">
        <is>
          <t>ATH11</t>
        </is>
      </c>
      <c r="D252" t="n">
        <v>8.199999999999999</v>
      </c>
      <c r="E252" t="n">
        <v>2</v>
      </c>
      <c r="F252" t="n">
        <v>1</v>
      </c>
      <c r="G252" t="n">
        <v>3</v>
      </c>
      <c r="H252" t="n">
        <v>8</v>
      </c>
      <c r="I252" t="inlineStr">
        <is>
          <t>Non</t>
        </is>
      </c>
    </row>
    <row r="253">
      <c r="A253" s="4" t="n">
        <v>46075</v>
      </c>
      <c r="B253" t="inlineStr">
        <is>
          <t>S3</t>
        </is>
      </c>
      <c r="C253" t="inlineStr">
        <is>
          <t>ATH12</t>
        </is>
      </c>
      <c r="D253" t="n">
        <v>6.6</v>
      </c>
      <c r="E253" t="n">
        <v>4</v>
      </c>
      <c r="F253" t="n">
        <v>3</v>
      </c>
      <c r="G253" t="n">
        <v>1</v>
      </c>
      <c r="H253" t="n">
        <v>5</v>
      </c>
      <c r="I253" t="inlineStr">
        <is>
          <t>Non</t>
        </is>
      </c>
    </row>
    <row r="254">
      <c r="A254" s="4" t="n">
        <v>46076</v>
      </c>
      <c r="B254" t="inlineStr">
        <is>
          <t>S4</t>
        </is>
      </c>
      <c r="C254" t="inlineStr">
        <is>
          <t>ATH01</t>
        </is>
      </c>
      <c r="D254" t="n">
        <v>7.2</v>
      </c>
      <c r="E254" t="n">
        <v>3</v>
      </c>
      <c r="F254" t="n">
        <v>1</v>
      </c>
      <c r="G254" t="n">
        <v>2</v>
      </c>
      <c r="H254" t="n">
        <v>8</v>
      </c>
      <c r="I254" t="inlineStr">
        <is>
          <t>Non</t>
        </is>
      </c>
    </row>
    <row r="255">
      <c r="A255" s="4" t="n">
        <v>46076</v>
      </c>
      <c r="B255" t="inlineStr">
        <is>
          <t>S4</t>
        </is>
      </c>
      <c r="C255" t="inlineStr">
        <is>
          <t>ATH02</t>
        </is>
      </c>
      <c r="D255" t="n">
        <v>7.4</v>
      </c>
      <c r="E255" t="n">
        <v>2</v>
      </c>
      <c r="F255" t="n">
        <v>2</v>
      </c>
      <c r="G255" t="n">
        <v>4</v>
      </c>
      <c r="H255" t="n">
        <v>7</v>
      </c>
      <c r="I255" t="inlineStr">
        <is>
          <t>Non</t>
        </is>
      </c>
    </row>
    <row r="256">
      <c r="A256" s="4" t="n">
        <v>46076</v>
      </c>
      <c r="B256" t="inlineStr">
        <is>
          <t>S4</t>
        </is>
      </c>
      <c r="C256" t="inlineStr">
        <is>
          <t>ATH03</t>
        </is>
      </c>
      <c r="D256" t="n">
        <v>7.4</v>
      </c>
      <c r="E256" t="n">
        <v>2</v>
      </c>
      <c r="F256" t="n">
        <v>2</v>
      </c>
      <c r="G256" t="n">
        <v>2</v>
      </c>
      <c r="H256" t="n">
        <v>7</v>
      </c>
      <c r="I256" t="inlineStr">
        <is>
          <t>Non</t>
        </is>
      </c>
    </row>
    <row r="257">
      <c r="A257" s="4" t="n">
        <v>46076</v>
      </c>
      <c r="B257" t="inlineStr">
        <is>
          <t>S4</t>
        </is>
      </c>
      <c r="C257" t="inlineStr">
        <is>
          <t>ATH04</t>
        </is>
      </c>
      <c r="D257" t="n">
        <v>6.8</v>
      </c>
      <c r="E257" t="n">
        <v>3</v>
      </c>
      <c r="F257" t="n">
        <v>4</v>
      </c>
      <c r="G257" t="n">
        <v>3</v>
      </c>
      <c r="H257" t="n">
        <v>6</v>
      </c>
      <c r="I257" t="inlineStr">
        <is>
          <t>Non</t>
        </is>
      </c>
    </row>
    <row r="258">
      <c r="A258" s="4" t="n">
        <v>46076</v>
      </c>
      <c r="B258" t="inlineStr">
        <is>
          <t>S4</t>
        </is>
      </c>
      <c r="C258" t="inlineStr">
        <is>
          <t>ATH05</t>
        </is>
      </c>
      <c r="D258" t="n">
        <v>6.6</v>
      </c>
      <c r="E258" t="n">
        <v>5</v>
      </c>
      <c r="F258" t="n">
        <v>1</v>
      </c>
      <c r="G258" t="n">
        <v>4</v>
      </c>
      <c r="H258" t="n">
        <v>7</v>
      </c>
      <c r="I258" t="inlineStr">
        <is>
          <t>Non</t>
        </is>
      </c>
    </row>
    <row r="259">
      <c r="A259" s="4" t="n">
        <v>46076</v>
      </c>
      <c r="B259" t="inlineStr">
        <is>
          <t>S4</t>
        </is>
      </c>
      <c r="C259" t="inlineStr">
        <is>
          <t>ATH06</t>
        </is>
      </c>
      <c r="D259" t="n">
        <v>7.3</v>
      </c>
      <c r="E259" t="n">
        <v>3</v>
      </c>
      <c r="F259" t="n">
        <v>1</v>
      </c>
      <c r="G259" t="n">
        <v>3</v>
      </c>
      <c r="H259" t="n">
        <v>7</v>
      </c>
      <c r="I259" t="inlineStr">
        <is>
          <t>Non</t>
        </is>
      </c>
    </row>
    <row r="260">
      <c r="A260" s="4" t="n">
        <v>46076</v>
      </c>
      <c r="B260" t="inlineStr">
        <is>
          <t>S4</t>
        </is>
      </c>
      <c r="C260" t="inlineStr">
        <is>
          <t>ATH07</t>
        </is>
      </c>
      <c r="D260" t="n">
        <v>6.4</v>
      </c>
      <c r="E260" t="n">
        <v>4</v>
      </c>
      <c r="F260" t="n">
        <v>3</v>
      </c>
      <c r="G260" t="n">
        <v>4</v>
      </c>
      <c r="H260" t="n">
        <v>6</v>
      </c>
      <c r="I260" t="inlineStr">
        <is>
          <t>Non</t>
        </is>
      </c>
    </row>
    <row r="261">
      <c r="A261" s="4" t="n">
        <v>46076</v>
      </c>
      <c r="B261" t="inlineStr">
        <is>
          <t>S4</t>
        </is>
      </c>
      <c r="C261" t="inlineStr">
        <is>
          <t>ATH08</t>
        </is>
      </c>
      <c r="D261" t="n">
        <v>6.4</v>
      </c>
      <c r="E261" t="n">
        <v>2</v>
      </c>
      <c r="F261" t="n">
        <v>3</v>
      </c>
      <c r="G261" t="n">
        <v>4</v>
      </c>
      <c r="H261" t="n">
        <v>6</v>
      </c>
      <c r="I261" t="inlineStr">
        <is>
          <t>Non</t>
        </is>
      </c>
    </row>
    <row r="262">
      <c r="A262" s="4" t="n">
        <v>46076</v>
      </c>
      <c r="B262" t="inlineStr">
        <is>
          <t>S4</t>
        </is>
      </c>
      <c r="C262" t="inlineStr">
        <is>
          <t>ATH09</t>
        </is>
      </c>
      <c r="D262" t="n">
        <v>9</v>
      </c>
      <c r="E262" t="n">
        <v>1</v>
      </c>
      <c r="F262" t="n">
        <v>2</v>
      </c>
      <c r="G262" t="n">
        <v>3</v>
      </c>
      <c r="H262" t="n">
        <v>6</v>
      </c>
      <c r="I262" t="inlineStr">
        <is>
          <t>Non</t>
        </is>
      </c>
    </row>
    <row r="263">
      <c r="A263" s="4" t="n">
        <v>46076</v>
      </c>
      <c r="B263" t="inlineStr">
        <is>
          <t>S4</t>
        </is>
      </c>
      <c r="C263" t="inlineStr">
        <is>
          <t>ATH10</t>
        </is>
      </c>
      <c r="D263" t="n">
        <v>6.6</v>
      </c>
      <c r="E263" t="n">
        <v>4</v>
      </c>
      <c r="F263" t="n">
        <v>3</v>
      </c>
      <c r="G263" t="n">
        <v>3</v>
      </c>
      <c r="H263" t="n">
        <v>7</v>
      </c>
      <c r="I263" t="inlineStr">
        <is>
          <t>Non</t>
        </is>
      </c>
    </row>
    <row r="264">
      <c r="A264" s="4" t="n">
        <v>46076</v>
      </c>
      <c r="B264" t="inlineStr">
        <is>
          <t>S4</t>
        </is>
      </c>
      <c r="C264" t="inlineStr">
        <is>
          <t>ATH11</t>
        </is>
      </c>
      <c r="D264" t="n">
        <v>7.2</v>
      </c>
      <c r="E264" t="n">
        <v>1</v>
      </c>
      <c r="F264" t="n">
        <v>1</v>
      </c>
      <c r="G264" t="n">
        <v>3</v>
      </c>
      <c r="H264" t="n">
        <v>7</v>
      </c>
      <c r="I264" t="inlineStr">
        <is>
          <t>Non</t>
        </is>
      </c>
    </row>
    <row r="265">
      <c r="A265" s="4" t="n">
        <v>46076</v>
      </c>
      <c r="B265" t="inlineStr">
        <is>
          <t>S4</t>
        </is>
      </c>
      <c r="C265" t="inlineStr">
        <is>
          <t>ATH12</t>
        </is>
      </c>
      <c r="D265" t="n">
        <v>7.5</v>
      </c>
      <c r="E265" t="n">
        <v>4</v>
      </c>
      <c r="F265" t="n">
        <v>2</v>
      </c>
      <c r="G265" t="n">
        <v>3</v>
      </c>
      <c r="H265" t="n">
        <v>7</v>
      </c>
      <c r="I265" t="inlineStr">
        <is>
          <t>Non</t>
        </is>
      </c>
    </row>
    <row r="266">
      <c r="A266" s="4" t="n">
        <v>46077</v>
      </c>
      <c r="B266" t="inlineStr">
        <is>
          <t>S4</t>
        </is>
      </c>
      <c r="C266" t="inlineStr">
        <is>
          <t>ATH01</t>
        </is>
      </c>
      <c r="D266" t="n">
        <v>7.4</v>
      </c>
      <c r="E266" t="n">
        <v>2</v>
      </c>
      <c r="F266" t="n">
        <v>1</v>
      </c>
      <c r="G266" t="n">
        <v>4</v>
      </c>
      <c r="H266" t="n">
        <v>8</v>
      </c>
      <c r="I266" t="inlineStr">
        <is>
          <t>Non</t>
        </is>
      </c>
    </row>
    <row r="267">
      <c r="A267" s="4" t="n">
        <v>46077</v>
      </c>
      <c r="B267" t="inlineStr">
        <is>
          <t>S4</t>
        </is>
      </c>
      <c r="C267" t="inlineStr">
        <is>
          <t>ATH02</t>
        </is>
      </c>
      <c r="D267" t="n">
        <v>8.300000000000001</v>
      </c>
      <c r="E267" t="n">
        <v>3</v>
      </c>
      <c r="F267" t="n">
        <v>1</v>
      </c>
      <c r="G267" t="n">
        <v>3</v>
      </c>
      <c r="H267" t="n">
        <v>8</v>
      </c>
      <c r="I267" t="inlineStr">
        <is>
          <t>Non</t>
        </is>
      </c>
    </row>
    <row r="268">
      <c r="A268" s="4" t="n">
        <v>46077</v>
      </c>
      <c r="B268" t="inlineStr">
        <is>
          <t>S4</t>
        </is>
      </c>
      <c r="C268" t="inlineStr">
        <is>
          <t>ATH03</t>
        </is>
      </c>
      <c r="D268" t="n">
        <v>7.9</v>
      </c>
      <c r="E268" t="n">
        <v>3</v>
      </c>
      <c r="F268" t="n">
        <v>3</v>
      </c>
      <c r="G268" t="n">
        <v>1</v>
      </c>
      <c r="H268" t="n">
        <v>6</v>
      </c>
      <c r="I268" t="inlineStr">
        <is>
          <t>Non</t>
        </is>
      </c>
    </row>
    <row r="269">
      <c r="A269" s="4" t="n">
        <v>46077</v>
      </c>
      <c r="B269" t="inlineStr">
        <is>
          <t>S4</t>
        </is>
      </c>
      <c r="C269" t="inlineStr">
        <is>
          <t>ATH04</t>
        </is>
      </c>
      <c r="D269" t="n">
        <v>6.7</v>
      </c>
      <c r="E269" t="n">
        <v>4</v>
      </c>
      <c r="F269" t="n">
        <v>3</v>
      </c>
      <c r="G269" t="n">
        <v>3</v>
      </c>
      <c r="H269" t="n">
        <v>6</v>
      </c>
      <c r="I269" t="inlineStr">
        <is>
          <t>Non</t>
        </is>
      </c>
    </row>
    <row r="270">
      <c r="A270" s="4" t="n">
        <v>46077</v>
      </c>
      <c r="B270" t="inlineStr">
        <is>
          <t>S4</t>
        </is>
      </c>
      <c r="C270" t="inlineStr">
        <is>
          <t>ATH05</t>
        </is>
      </c>
      <c r="D270" t="n">
        <v>7.5</v>
      </c>
      <c r="E270" t="n">
        <v>2</v>
      </c>
      <c r="F270" t="n">
        <v>1</v>
      </c>
      <c r="G270" t="n">
        <v>3</v>
      </c>
      <c r="H270" t="n">
        <v>6</v>
      </c>
      <c r="I270" t="inlineStr">
        <is>
          <t>Non</t>
        </is>
      </c>
    </row>
    <row r="271">
      <c r="A271" s="4" t="n">
        <v>46077</v>
      </c>
      <c r="B271" t="inlineStr">
        <is>
          <t>S4</t>
        </is>
      </c>
      <c r="C271" t="inlineStr">
        <is>
          <t>ATH06</t>
        </is>
      </c>
      <c r="D271" t="n">
        <v>6.4</v>
      </c>
      <c r="E271" t="n">
        <v>1</v>
      </c>
      <c r="F271" t="n">
        <v>1</v>
      </c>
      <c r="G271" t="n">
        <v>3</v>
      </c>
      <c r="H271" t="n">
        <v>7</v>
      </c>
      <c r="I271" t="inlineStr">
        <is>
          <t>Non</t>
        </is>
      </c>
    </row>
    <row r="272">
      <c r="A272" s="4" t="n">
        <v>46077</v>
      </c>
      <c r="B272" t="inlineStr">
        <is>
          <t>S4</t>
        </is>
      </c>
      <c r="C272" t="inlineStr">
        <is>
          <t>ATH07</t>
        </is>
      </c>
      <c r="D272" t="n">
        <v>7.2</v>
      </c>
      <c r="E272" t="n">
        <v>4</v>
      </c>
      <c r="F272" t="n">
        <v>5</v>
      </c>
      <c r="G272" t="n">
        <v>2</v>
      </c>
      <c r="H272" t="n">
        <v>6</v>
      </c>
      <c r="I272" t="inlineStr">
        <is>
          <t>Non</t>
        </is>
      </c>
    </row>
    <row r="273">
      <c r="A273" s="4" t="n">
        <v>46077</v>
      </c>
      <c r="B273" t="inlineStr">
        <is>
          <t>S4</t>
        </is>
      </c>
      <c r="C273" t="inlineStr">
        <is>
          <t>ATH08</t>
        </is>
      </c>
      <c r="D273" t="n">
        <v>6.4</v>
      </c>
      <c r="E273" t="n">
        <v>5</v>
      </c>
      <c r="F273" t="n">
        <v>1</v>
      </c>
      <c r="G273" t="n">
        <v>2</v>
      </c>
      <c r="H273" t="n">
        <v>6</v>
      </c>
      <c r="I273" t="inlineStr">
        <is>
          <t>Non</t>
        </is>
      </c>
    </row>
    <row r="274">
      <c r="A274" s="4" t="n">
        <v>46077</v>
      </c>
      <c r="B274" t="inlineStr">
        <is>
          <t>S4</t>
        </is>
      </c>
      <c r="C274" t="inlineStr">
        <is>
          <t>ATH09</t>
        </is>
      </c>
      <c r="D274" t="n">
        <v>6.4</v>
      </c>
      <c r="E274" t="n">
        <v>3</v>
      </c>
      <c r="F274" t="n">
        <v>3</v>
      </c>
      <c r="G274" t="n">
        <v>3</v>
      </c>
      <c r="H274" t="n">
        <v>5</v>
      </c>
      <c r="I274" t="inlineStr">
        <is>
          <t>Non</t>
        </is>
      </c>
    </row>
    <row r="275">
      <c r="A275" s="4" t="n">
        <v>46077</v>
      </c>
      <c r="B275" t="inlineStr">
        <is>
          <t>S4</t>
        </is>
      </c>
      <c r="C275" t="inlineStr">
        <is>
          <t>ATH10</t>
        </is>
      </c>
      <c r="D275" t="n">
        <v>8.9</v>
      </c>
      <c r="E275" t="n">
        <v>4</v>
      </c>
      <c r="F275" t="n">
        <v>6</v>
      </c>
      <c r="G275" t="n">
        <v>2</v>
      </c>
      <c r="H275" t="n">
        <v>8</v>
      </c>
      <c r="I275" t="inlineStr">
        <is>
          <t>Non</t>
        </is>
      </c>
    </row>
    <row r="276">
      <c r="A276" s="4" t="n">
        <v>46077</v>
      </c>
      <c r="B276" t="inlineStr">
        <is>
          <t>S4</t>
        </is>
      </c>
      <c r="C276" t="inlineStr">
        <is>
          <t>ATH11</t>
        </is>
      </c>
      <c r="D276" t="n">
        <v>8</v>
      </c>
      <c r="E276" t="n">
        <v>3</v>
      </c>
      <c r="F276" t="n">
        <v>4</v>
      </c>
      <c r="G276" t="n">
        <v>2</v>
      </c>
      <c r="H276" t="n">
        <v>6</v>
      </c>
      <c r="I276" t="inlineStr">
        <is>
          <t>Non</t>
        </is>
      </c>
    </row>
    <row r="277">
      <c r="A277" s="4" t="n">
        <v>46077</v>
      </c>
      <c r="B277" t="inlineStr">
        <is>
          <t>S4</t>
        </is>
      </c>
      <c r="C277" t="inlineStr">
        <is>
          <t>ATH12</t>
        </is>
      </c>
      <c r="D277" t="n">
        <v>5.1</v>
      </c>
      <c r="E277" t="n">
        <v>3</v>
      </c>
      <c r="F277" t="n">
        <v>1</v>
      </c>
      <c r="G277" t="n">
        <v>2</v>
      </c>
      <c r="H277" t="n">
        <v>5</v>
      </c>
      <c r="I277" t="inlineStr">
        <is>
          <t>Non</t>
        </is>
      </c>
    </row>
    <row r="278">
      <c r="A278" s="4" t="n">
        <v>46078</v>
      </c>
      <c r="B278" t="inlineStr">
        <is>
          <t>S4</t>
        </is>
      </c>
      <c r="C278" t="inlineStr">
        <is>
          <t>ATH01</t>
        </is>
      </c>
      <c r="D278" t="n">
        <v>7.2</v>
      </c>
      <c r="E278" t="n">
        <v>4</v>
      </c>
      <c r="F278" t="n">
        <v>3</v>
      </c>
      <c r="G278" t="n">
        <v>4</v>
      </c>
      <c r="H278" t="n">
        <v>8</v>
      </c>
      <c r="I278" t="inlineStr">
        <is>
          <t>Non</t>
        </is>
      </c>
    </row>
    <row r="279">
      <c r="A279" s="4" t="n">
        <v>46078</v>
      </c>
      <c r="B279" t="inlineStr">
        <is>
          <t>S4</t>
        </is>
      </c>
      <c r="C279" t="inlineStr">
        <is>
          <t>ATH02</t>
        </is>
      </c>
      <c r="D279" t="n">
        <v>7.2</v>
      </c>
      <c r="E279" t="n">
        <v>2</v>
      </c>
      <c r="F279" t="n">
        <v>4</v>
      </c>
      <c r="G279" t="n">
        <v>4</v>
      </c>
      <c r="H279" t="n">
        <v>7</v>
      </c>
      <c r="I279" t="inlineStr">
        <is>
          <t>Non</t>
        </is>
      </c>
    </row>
    <row r="280">
      <c r="A280" s="4" t="n">
        <v>46078</v>
      </c>
      <c r="B280" t="inlineStr">
        <is>
          <t>S4</t>
        </is>
      </c>
      <c r="C280" t="inlineStr">
        <is>
          <t>ATH03</t>
        </is>
      </c>
      <c r="D280" t="n">
        <v>6.8</v>
      </c>
      <c r="E280" t="n">
        <v>4</v>
      </c>
      <c r="F280" t="n">
        <v>3</v>
      </c>
      <c r="G280" t="n">
        <v>4</v>
      </c>
      <c r="H280" t="n">
        <v>6</v>
      </c>
      <c r="I280" t="inlineStr">
        <is>
          <t>Non</t>
        </is>
      </c>
    </row>
    <row r="281">
      <c r="A281" s="4" t="n">
        <v>46078</v>
      </c>
      <c r="B281" t="inlineStr">
        <is>
          <t>S4</t>
        </is>
      </c>
      <c r="C281" t="inlineStr">
        <is>
          <t>ATH04</t>
        </is>
      </c>
      <c r="D281" t="n">
        <v>6.3</v>
      </c>
      <c r="E281" t="n">
        <v>4</v>
      </c>
      <c r="F281" t="n">
        <v>1</v>
      </c>
      <c r="G281" t="n">
        <v>2</v>
      </c>
      <c r="H281" t="n">
        <v>5</v>
      </c>
      <c r="I281" t="inlineStr">
        <is>
          <t>Non</t>
        </is>
      </c>
    </row>
    <row r="282">
      <c r="A282" s="4" t="n">
        <v>46078</v>
      </c>
      <c r="B282" t="inlineStr">
        <is>
          <t>S4</t>
        </is>
      </c>
      <c r="C282" t="inlineStr">
        <is>
          <t>ATH05</t>
        </is>
      </c>
      <c r="D282" t="n">
        <v>6.8</v>
      </c>
      <c r="E282" t="n">
        <v>2</v>
      </c>
      <c r="F282" t="n">
        <v>4</v>
      </c>
      <c r="G282" t="n">
        <v>4</v>
      </c>
      <c r="H282" t="n">
        <v>6</v>
      </c>
      <c r="I282" t="inlineStr">
        <is>
          <t>Non</t>
        </is>
      </c>
    </row>
    <row r="283">
      <c r="A283" s="4" t="n">
        <v>46078</v>
      </c>
      <c r="B283" t="inlineStr">
        <is>
          <t>S4</t>
        </is>
      </c>
      <c r="C283" t="inlineStr">
        <is>
          <t>ATH06</t>
        </is>
      </c>
      <c r="D283" t="n">
        <v>8.300000000000001</v>
      </c>
      <c r="E283" t="n">
        <v>2</v>
      </c>
      <c r="F283" t="n">
        <v>1</v>
      </c>
      <c r="G283" t="n">
        <v>4</v>
      </c>
      <c r="H283" t="n">
        <v>7</v>
      </c>
      <c r="I283" t="inlineStr">
        <is>
          <t>Non</t>
        </is>
      </c>
    </row>
    <row r="284">
      <c r="A284" s="4" t="n">
        <v>46078</v>
      </c>
      <c r="B284" t="inlineStr">
        <is>
          <t>S4</t>
        </is>
      </c>
      <c r="C284" t="inlineStr">
        <is>
          <t>ATH07</t>
        </is>
      </c>
      <c r="D284" t="n">
        <v>6.8</v>
      </c>
      <c r="E284" t="n">
        <v>2</v>
      </c>
      <c r="F284" t="n">
        <v>5</v>
      </c>
      <c r="G284" t="n">
        <v>1</v>
      </c>
      <c r="H284" t="n">
        <v>5</v>
      </c>
      <c r="I284" t="inlineStr">
        <is>
          <t>Non</t>
        </is>
      </c>
    </row>
    <row r="285">
      <c r="A285" s="4" t="n">
        <v>46078</v>
      </c>
      <c r="B285" t="inlineStr">
        <is>
          <t>S4</t>
        </is>
      </c>
      <c r="C285" t="inlineStr">
        <is>
          <t>ATH08</t>
        </is>
      </c>
      <c r="D285" t="n">
        <v>7.7</v>
      </c>
      <c r="E285" t="n">
        <v>5</v>
      </c>
      <c r="F285" t="n">
        <v>3</v>
      </c>
      <c r="G285" t="n">
        <v>4</v>
      </c>
      <c r="H285" t="n">
        <v>6</v>
      </c>
      <c r="I285" t="inlineStr">
        <is>
          <t>Non</t>
        </is>
      </c>
    </row>
    <row r="286">
      <c r="A286" s="4" t="n">
        <v>46078</v>
      </c>
      <c r="B286" t="inlineStr">
        <is>
          <t>S4</t>
        </is>
      </c>
      <c r="C286" t="inlineStr">
        <is>
          <t>ATH09</t>
        </is>
      </c>
      <c r="D286" t="n">
        <v>7.9</v>
      </c>
      <c r="E286" t="n">
        <v>3</v>
      </c>
      <c r="F286" t="n">
        <v>1</v>
      </c>
      <c r="G286" t="n">
        <v>4</v>
      </c>
      <c r="H286" t="n">
        <v>8</v>
      </c>
      <c r="I286" t="inlineStr">
        <is>
          <t>Non</t>
        </is>
      </c>
    </row>
    <row r="287">
      <c r="A287" s="4" t="n">
        <v>46078</v>
      </c>
      <c r="B287" t="inlineStr">
        <is>
          <t>S4</t>
        </is>
      </c>
      <c r="C287" t="inlineStr">
        <is>
          <t>ATH10</t>
        </is>
      </c>
      <c r="D287" t="n">
        <v>8.1</v>
      </c>
      <c r="E287" t="n">
        <v>3</v>
      </c>
      <c r="F287" t="n">
        <v>1</v>
      </c>
      <c r="G287" t="n">
        <v>1</v>
      </c>
      <c r="H287" t="n">
        <v>7</v>
      </c>
      <c r="I287" t="inlineStr">
        <is>
          <t>Non</t>
        </is>
      </c>
    </row>
    <row r="288">
      <c r="A288" s="4" t="n">
        <v>46078</v>
      </c>
      <c r="B288" t="inlineStr">
        <is>
          <t>S4</t>
        </is>
      </c>
      <c r="C288" t="inlineStr">
        <is>
          <t>ATH11</t>
        </is>
      </c>
      <c r="D288" t="n">
        <v>8.300000000000001</v>
      </c>
      <c r="E288" t="n">
        <v>4</v>
      </c>
      <c r="F288" t="n">
        <v>4</v>
      </c>
      <c r="G288" t="n">
        <v>3</v>
      </c>
      <c r="H288" t="n">
        <v>8</v>
      </c>
      <c r="I288" t="inlineStr">
        <is>
          <t>Non</t>
        </is>
      </c>
    </row>
    <row r="289">
      <c r="A289" s="4" t="n">
        <v>46078</v>
      </c>
      <c r="B289" t="inlineStr">
        <is>
          <t>S4</t>
        </is>
      </c>
      <c r="C289" t="inlineStr">
        <is>
          <t>ATH12</t>
        </is>
      </c>
      <c r="D289" t="n">
        <v>8.1</v>
      </c>
      <c r="E289" t="n">
        <v>2</v>
      </c>
      <c r="F289" t="n">
        <v>3</v>
      </c>
      <c r="G289" t="n">
        <v>2</v>
      </c>
      <c r="H289" t="n">
        <v>7</v>
      </c>
      <c r="I289" t="inlineStr">
        <is>
          <t>Non</t>
        </is>
      </c>
    </row>
    <row r="290">
      <c r="A290" s="4" t="n">
        <v>46079</v>
      </c>
      <c r="B290" t="inlineStr">
        <is>
          <t>S4</t>
        </is>
      </c>
      <c r="C290" t="inlineStr">
        <is>
          <t>ATH01</t>
        </is>
      </c>
      <c r="D290" t="n">
        <v>6.6</v>
      </c>
      <c r="E290" t="n">
        <v>2</v>
      </c>
      <c r="F290" t="n">
        <v>4</v>
      </c>
      <c r="G290" t="n">
        <v>4</v>
      </c>
      <c r="H290" t="n">
        <v>7</v>
      </c>
      <c r="I290" t="inlineStr">
        <is>
          <t>Non</t>
        </is>
      </c>
    </row>
    <row r="291">
      <c r="A291" s="4" t="n">
        <v>46079</v>
      </c>
      <c r="B291" t="inlineStr">
        <is>
          <t>S4</t>
        </is>
      </c>
      <c r="C291" t="inlineStr">
        <is>
          <t>ATH02</t>
        </is>
      </c>
      <c r="D291" t="n">
        <v>7.6</v>
      </c>
      <c r="E291" t="n">
        <v>1</v>
      </c>
      <c r="F291" t="n">
        <v>2</v>
      </c>
      <c r="G291" t="n">
        <v>4</v>
      </c>
      <c r="H291" t="n">
        <v>6</v>
      </c>
      <c r="I291" t="inlineStr">
        <is>
          <t>Non</t>
        </is>
      </c>
    </row>
    <row r="292">
      <c r="A292" s="4" t="n">
        <v>46079</v>
      </c>
      <c r="B292" t="inlineStr">
        <is>
          <t>S4</t>
        </is>
      </c>
      <c r="C292" t="inlineStr">
        <is>
          <t>ATH03</t>
        </is>
      </c>
      <c r="D292" t="n">
        <v>7</v>
      </c>
      <c r="E292" t="n">
        <v>5</v>
      </c>
      <c r="F292" t="n">
        <v>2</v>
      </c>
      <c r="G292" t="n">
        <v>4</v>
      </c>
      <c r="H292" t="n">
        <v>7</v>
      </c>
      <c r="I292" t="inlineStr">
        <is>
          <t>Non</t>
        </is>
      </c>
    </row>
    <row r="293">
      <c r="A293" s="4" t="n">
        <v>46079</v>
      </c>
      <c r="B293" t="inlineStr">
        <is>
          <t>S4</t>
        </is>
      </c>
      <c r="C293" t="inlineStr">
        <is>
          <t>ATH04</t>
        </is>
      </c>
      <c r="D293" t="n">
        <v>6.8</v>
      </c>
      <c r="E293" t="n">
        <v>3</v>
      </c>
      <c r="F293" t="n">
        <v>4</v>
      </c>
      <c r="G293" t="n">
        <v>5</v>
      </c>
      <c r="H293" t="n">
        <v>7</v>
      </c>
      <c r="I293" t="inlineStr">
        <is>
          <t>Non</t>
        </is>
      </c>
    </row>
    <row r="294">
      <c r="A294" s="4" t="n">
        <v>46079</v>
      </c>
      <c r="B294" t="inlineStr">
        <is>
          <t>S4</t>
        </is>
      </c>
      <c r="C294" t="inlineStr">
        <is>
          <t>ATH05</t>
        </is>
      </c>
      <c r="D294" t="n">
        <v>7.3</v>
      </c>
      <c r="E294" t="n">
        <v>3</v>
      </c>
      <c r="F294" t="n">
        <v>3</v>
      </c>
      <c r="G294" t="n">
        <v>5</v>
      </c>
      <c r="H294" t="n">
        <v>5</v>
      </c>
      <c r="I294" t="inlineStr">
        <is>
          <t>Non</t>
        </is>
      </c>
    </row>
    <row r="295">
      <c r="A295" s="4" t="n">
        <v>46079</v>
      </c>
      <c r="B295" t="inlineStr">
        <is>
          <t>S4</t>
        </is>
      </c>
      <c r="C295" t="inlineStr">
        <is>
          <t>ATH06</t>
        </is>
      </c>
      <c r="D295" t="n">
        <v>7.3</v>
      </c>
      <c r="E295" t="n">
        <v>2</v>
      </c>
      <c r="F295" t="n">
        <v>1</v>
      </c>
      <c r="G295" t="n">
        <v>3</v>
      </c>
      <c r="H295" t="n">
        <v>7</v>
      </c>
      <c r="I295" t="inlineStr">
        <is>
          <t>Non</t>
        </is>
      </c>
    </row>
    <row r="296">
      <c r="A296" s="4" t="n">
        <v>46079</v>
      </c>
      <c r="B296" t="inlineStr">
        <is>
          <t>S4</t>
        </is>
      </c>
      <c r="C296" t="inlineStr">
        <is>
          <t>ATH07</t>
        </is>
      </c>
      <c r="D296" t="n">
        <v>6.7</v>
      </c>
      <c r="E296" t="n">
        <v>5</v>
      </c>
      <c r="F296" t="n">
        <v>5</v>
      </c>
      <c r="G296" t="n">
        <v>6</v>
      </c>
      <c r="H296" t="n">
        <v>6</v>
      </c>
      <c r="I296" t="inlineStr">
        <is>
          <t>Non</t>
        </is>
      </c>
    </row>
    <row r="297">
      <c r="A297" s="4" t="n">
        <v>46079</v>
      </c>
      <c r="B297" t="inlineStr">
        <is>
          <t>S4</t>
        </is>
      </c>
      <c r="C297" t="inlineStr">
        <is>
          <t>ATH08</t>
        </is>
      </c>
      <c r="D297" t="n">
        <v>7.1</v>
      </c>
      <c r="E297" t="n">
        <v>2</v>
      </c>
      <c r="F297" t="n">
        <v>1</v>
      </c>
      <c r="G297" t="n">
        <v>5</v>
      </c>
      <c r="H297" t="n">
        <v>5</v>
      </c>
      <c r="I297" t="inlineStr">
        <is>
          <t>Non</t>
        </is>
      </c>
    </row>
    <row r="298">
      <c r="A298" s="4" t="n">
        <v>46079</v>
      </c>
      <c r="B298" t="inlineStr">
        <is>
          <t>S4</t>
        </is>
      </c>
      <c r="C298" t="inlineStr">
        <is>
          <t>ATH09</t>
        </is>
      </c>
      <c r="D298" t="n">
        <v>8.4</v>
      </c>
      <c r="E298" t="n">
        <v>2</v>
      </c>
      <c r="F298" t="n">
        <v>2</v>
      </c>
      <c r="G298" t="n">
        <v>3</v>
      </c>
      <c r="H298" t="n">
        <v>6</v>
      </c>
      <c r="I298" t="inlineStr">
        <is>
          <t>Non</t>
        </is>
      </c>
    </row>
    <row r="299">
      <c r="A299" s="4" t="n">
        <v>46079</v>
      </c>
      <c r="B299" t="inlineStr">
        <is>
          <t>S4</t>
        </is>
      </c>
      <c r="C299" t="inlineStr">
        <is>
          <t>ATH10</t>
        </is>
      </c>
      <c r="D299" t="n">
        <v>8.199999999999999</v>
      </c>
      <c r="E299" t="n">
        <v>5</v>
      </c>
      <c r="F299" t="n">
        <v>2</v>
      </c>
      <c r="G299" t="n">
        <v>2</v>
      </c>
      <c r="H299" t="n">
        <v>6</v>
      </c>
      <c r="I299" t="inlineStr">
        <is>
          <t>Non</t>
        </is>
      </c>
    </row>
    <row r="300">
      <c r="A300" s="4" t="n">
        <v>46079</v>
      </c>
      <c r="B300" t="inlineStr">
        <is>
          <t>S4</t>
        </is>
      </c>
      <c r="C300" t="inlineStr">
        <is>
          <t>ATH11</t>
        </is>
      </c>
      <c r="D300" t="n">
        <v>7.9</v>
      </c>
      <c r="E300" t="n">
        <v>3</v>
      </c>
      <c r="F300" t="n">
        <v>4</v>
      </c>
      <c r="G300" t="n">
        <v>4</v>
      </c>
      <c r="H300" t="n">
        <v>5</v>
      </c>
      <c r="I300" t="inlineStr">
        <is>
          <t>Non</t>
        </is>
      </c>
    </row>
    <row r="301">
      <c r="A301" s="4" t="n">
        <v>46079</v>
      </c>
      <c r="B301" t="inlineStr">
        <is>
          <t>S4</t>
        </is>
      </c>
      <c r="C301" t="inlineStr">
        <is>
          <t>ATH12</t>
        </is>
      </c>
      <c r="D301" t="n">
        <v>7.9</v>
      </c>
      <c r="E301" t="n">
        <v>5</v>
      </c>
      <c r="F301" t="n">
        <v>2</v>
      </c>
      <c r="G301" t="n">
        <v>3</v>
      </c>
      <c r="H301" t="n">
        <v>6</v>
      </c>
      <c r="I301" t="inlineStr">
        <is>
          <t>Non</t>
        </is>
      </c>
    </row>
    <row r="302">
      <c r="A302" s="4" t="n">
        <v>46080</v>
      </c>
      <c r="B302" t="inlineStr">
        <is>
          <t>S4</t>
        </is>
      </c>
      <c r="C302" t="inlineStr">
        <is>
          <t>ATH01</t>
        </is>
      </c>
      <c r="D302" t="n">
        <v>7.1</v>
      </c>
      <c r="E302" t="n">
        <v>1</v>
      </c>
      <c r="F302" t="n">
        <v>1</v>
      </c>
      <c r="G302" t="n">
        <v>3</v>
      </c>
      <c r="H302" t="n">
        <v>8</v>
      </c>
      <c r="I302" t="inlineStr">
        <is>
          <t>Non</t>
        </is>
      </c>
    </row>
    <row r="303">
      <c r="A303" s="4" t="n">
        <v>46080</v>
      </c>
      <c r="B303" t="inlineStr">
        <is>
          <t>S4</t>
        </is>
      </c>
      <c r="C303" t="inlineStr">
        <is>
          <t>ATH02</t>
        </is>
      </c>
      <c r="D303" t="n">
        <v>7.1</v>
      </c>
      <c r="E303" t="n">
        <v>2</v>
      </c>
      <c r="F303" t="n">
        <v>5</v>
      </c>
      <c r="G303" t="n">
        <v>2</v>
      </c>
      <c r="H303" t="n">
        <v>5</v>
      </c>
      <c r="I303" t="inlineStr">
        <is>
          <t>Non</t>
        </is>
      </c>
    </row>
    <row r="304">
      <c r="A304" s="4" t="n">
        <v>46080</v>
      </c>
      <c r="B304" t="inlineStr">
        <is>
          <t>S4</t>
        </is>
      </c>
      <c r="C304" t="inlineStr">
        <is>
          <t>ATH03</t>
        </is>
      </c>
      <c r="D304" t="n">
        <v>6.9</v>
      </c>
      <c r="E304" t="n">
        <v>2</v>
      </c>
      <c r="F304" t="n">
        <v>1</v>
      </c>
      <c r="G304" t="n">
        <v>3</v>
      </c>
      <c r="H304" t="n">
        <v>8</v>
      </c>
      <c r="I304" t="inlineStr">
        <is>
          <t>Non</t>
        </is>
      </c>
    </row>
    <row r="305">
      <c r="A305" s="4" t="n">
        <v>46080</v>
      </c>
      <c r="B305" t="inlineStr">
        <is>
          <t>S4</t>
        </is>
      </c>
      <c r="C305" t="inlineStr">
        <is>
          <t>ATH04</t>
        </is>
      </c>
      <c r="D305" t="n">
        <v>6.6</v>
      </c>
      <c r="E305" t="n">
        <v>3</v>
      </c>
      <c r="F305" t="n">
        <v>3</v>
      </c>
      <c r="G305" t="n">
        <v>3</v>
      </c>
      <c r="H305" t="n">
        <v>7</v>
      </c>
      <c r="I305" t="inlineStr">
        <is>
          <t>Non</t>
        </is>
      </c>
    </row>
    <row r="306">
      <c r="A306" s="4" t="n">
        <v>46080</v>
      </c>
      <c r="B306" t="inlineStr">
        <is>
          <t>S4</t>
        </is>
      </c>
      <c r="C306" t="inlineStr">
        <is>
          <t>ATH05</t>
        </is>
      </c>
      <c r="D306" t="n">
        <v>7.6</v>
      </c>
      <c r="E306" t="n">
        <v>2</v>
      </c>
      <c r="F306" t="n">
        <v>5</v>
      </c>
      <c r="G306" t="n">
        <v>5</v>
      </c>
      <c r="H306" t="n">
        <v>8</v>
      </c>
      <c r="I306" t="inlineStr">
        <is>
          <t>Non</t>
        </is>
      </c>
    </row>
    <row r="307">
      <c r="A307" s="4" t="n">
        <v>46080</v>
      </c>
      <c r="B307" t="inlineStr">
        <is>
          <t>S4</t>
        </is>
      </c>
      <c r="C307" t="inlineStr">
        <is>
          <t>ATH06</t>
        </is>
      </c>
      <c r="D307" t="n">
        <v>8.199999999999999</v>
      </c>
      <c r="E307" t="n">
        <v>1</v>
      </c>
      <c r="F307" t="n">
        <v>4</v>
      </c>
      <c r="G307" t="n">
        <v>4</v>
      </c>
      <c r="H307" t="n">
        <v>5</v>
      </c>
      <c r="I307" t="inlineStr">
        <is>
          <t>Non</t>
        </is>
      </c>
    </row>
    <row r="308">
      <c r="A308" s="4" t="n">
        <v>46080</v>
      </c>
      <c r="B308" t="inlineStr">
        <is>
          <t>S4</t>
        </is>
      </c>
      <c r="C308" t="inlineStr">
        <is>
          <t>ATH07</t>
        </is>
      </c>
      <c r="D308" t="n">
        <v>7</v>
      </c>
      <c r="E308" t="n">
        <v>4</v>
      </c>
      <c r="F308" t="n">
        <v>6</v>
      </c>
      <c r="G308" t="n">
        <v>4</v>
      </c>
      <c r="H308" t="n">
        <v>5</v>
      </c>
      <c r="I308" t="inlineStr">
        <is>
          <t>Non</t>
        </is>
      </c>
    </row>
    <row r="309">
      <c r="A309" s="4" t="n">
        <v>46080</v>
      </c>
      <c r="B309" t="inlineStr">
        <is>
          <t>S4</t>
        </is>
      </c>
      <c r="C309" t="inlineStr">
        <is>
          <t>ATH08</t>
        </is>
      </c>
      <c r="D309" t="n">
        <v>8.699999999999999</v>
      </c>
      <c r="E309" t="n">
        <v>3</v>
      </c>
      <c r="F309" t="n">
        <v>2</v>
      </c>
      <c r="G309" t="n">
        <v>3</v>
      </c>
      <c r="H309" t="n">
        <v>5</v>
      </c>
      <c r="I309" t="inlineStr">
        <is>
          <t>Non</t>
        </is>
      </c>
    </row>
    <row r="310">
      <c r="A310" s="4" t="n">
        <v>46080</v>
      </c>
      <c r="B310" t="inlineStr">
        <is>
          <t>S4</t>
        </is>
      </c>
      <c r="C310" t="inlineStr">
        <is>
          <t>ATH09</t>
        </is>
      </c>
      <c r="D310" t="n">
        <v>7.4</v>
      </c>
      <c r="E310" t="n">
        <v>4</v>
      </c>
      <c r="F310" t="n">
        <v>2</v>
      </c>
      <c r="G310" t="n">
        <v>4</v>
      </c>
      <c r="H310" t="n">
        <v>6</v>
      </c>
      <c r="I310" t="inlineStr">
        <is>
          <t>Non</t>
        </is>
      </c>
    </row>
    <row r="311">
      <c r="A311" s="4" t="n">
        <v>46080</v>
      </c>
      <c r="B311" t="inlineStr">
        <is>
          <t>S4</t>
        </is>
      </c>
      <c r="C311" t="inlineStr">
        <is>
          <t>ATH10</t>
        </is>
      </c>
      <c r="D311" t="n">
        <v>7.4</v>
      </c>
      <c r="E311" t="n">
        <v>3</v>
      </c>
      <c r="F311" t="n">
        <v>3</v>
      </c>
      <c r="G311" t="n">
        <v>1</v>
      </c>
      <c r="H311" t="n">
        <v>6</v>
      </c>
      <c r="I311" t="inlineStr">
        <is>
          <t>Non</t>
        </is>
      </c>
    </row>
    <row r="312">
      <c r="A312" s="4" t="n">
        <v>46080</v>
      </c>
      <c r="B312" t="inlineStr">
        <is>
          <t>S4</t>
        </is>
      </c>
      <c r="C312" t="inlineStr">
        <is>
          <t>ATH11</t>
        </is>
      </c>
      <c r="D312" t="n">
        <v>8.699999999999999</v>
      </c>
      <c r="E312" t="n">
        <v>2</v>
      </c>
      <c r="F312" t="n">
        <v>3</v>
      </c>
      <c r="G312" t="n">
        <v>3</v>
      </c>
      <c r="H312" t="n">
        <v>8</v>
      </c>
      <c r="I312" t="inlineStr">
        <is>
          <t>Non</t>
        </is>
      </c>
    </row>
    <row r="313">
      <c r="A313" s="4" t="n">
        <v>46080</v>
      </c>
      <c r="B313" t="inlineStr">
        <is>
          <t>S4</t>
        </is>
      </c>
      <c r="C313" t="inlineStr">
        <is>
          <t>ATH12</t>
        </is>
      </c>
      <c r="D313" t="n">
        <v>8.4</v>
      </c>
      <c r="E313" t="n">
        <v>4</v>
      </c>
      <c r="F313" t="n">
        <v>1</v>
      </c>
      <c r="G313" t="n">
        <v>3</v>
      </c>
      <c r="H313" t="n">
        <v>7</v>
      </c>
      <c r="I313" t="inlineStr">
        <is>
          <t>Non</t>
        </is>
      </c>
    </row>
    <row r="314">
      <c r="A314" s="4" t="n">
        <v>46081</v>
      </c>
      <c r="B314" t="inlineStr">
        <is>
          <t>S4</t>
        </is>
      </c>
      <c r="C314" t="inlineStr">
        <is>
          <t>ATH01</t>
        </is>
      </c>
      <c r="D314" t="n">
        <v>7</v>
      </c>
      <c r="E314" t="n">
        <v>2</v>
      </c>
      <c r="F314" t="n">
        <v>5</v>
      </c>
      <c r="G314" t="n">
        <v>3</v>
      </c>
      <c r="H314" t="n">
        <v>8</v>
      </c>
      <c r="I314" t="inlineStr">
        <is>
          <t>Non</t>
        </is>
      </c>
    </row>
    <row r="315">
      <c r="A315" s="4" t="n">
        <v>46081</v>
      </c>
      <c r="B315" t="inlineStr">
        <is>
          <t>S4</t>
        </is>
      </c>
      <c r="C315" t="inlineStr">
        <is>
          <t>ATH02</t>
        </is>
      </c>
      <c r="D315" t="n">
        <v>8.199999999999999</v>
      </c>
      <c r="E315" t="n">
        <v>3</v>
      </c>
      <c r="F315" t="n">
        <v>3</v>
      </c>
      <c r="G315" t="n">
        <v>1</v>
      </c>
      <c r="H315" t="n">
        <v>7</v>
      </c>
      <c r="I315" t="inlineStr">
        <is>
          <t>Non</t>
        </is>
      </c>
    </row>
    <row r="316">
      <c r="A316" s="4" t="n">
        <v>46081</v>
      </c>
      <c r="B316" t="inlineStr">
        <is>
          <t>S4</t>
        </is>
      </c>
      <c r="C316" t="inlineStr">
        <is>
          <t>ATH03</t>
        </is>
      </c>
      <c r="D316" t="n">
        <v>8.5</v>
      </c>
      <c r="E316" t="n">
        <v>4</v>
      </c>
      <c r="F316" t="n">
        <v>3</v>
      </c>
      <c r="G316" t="n">
        <v>5</v>
      </c>
      <c r="H316" t="n">
        <v>6</v>
      </c>
      <c r="I316" t="inlineStr">
        <is>
          <t>Non</t>
        </is>
      </c>
    </row>
    <row r="317">
      <c r="A317" s="4" t="n">
        <v>46081</v>
      </c>
      <c r="B317" t="inlineStr">
        <is>
          <t>S4</t>
        </is>
      </c>
      <c r="C317" t="inlineStr">
        <is>
          <t>ATH04</t>
        </is>
      </c>
      <c r="D317" t="n">
        <v>7.1</v>
      </c>
      <c r="E317" t="n">
        <v>3</v>
      </c>
      <c r="F317" t="n">
        <v>4</v>
      </c>
      <c r="G317" t="n">
        <v>1</v>
      </c>
      <c r="H317" t="n">
        <v>7</v>
      </c>
      <c r="I317" t="inlineStr">
        <is>
          <t>Non</t>
        </is>
      </c>
    </row>
    <row r="318">
      <c r="A318" s="4" t="n">
        <v>46081</v>
      </c>
      <c r="B318" t="inlineStr">
        <is>
          <t>S4</t>
        </is>
      </c>
      <c r="C318" t="inlineStr">
        <is>
          <t>ATH05</t>
        </is>
      </c>
      <c r="D318" t="n">
        <v>8.1</v>
      </c>
      <c r="E318" t="n">
        <v>3</v>
      </c>
      <c r="F318" t="n">
        <v>4</v>
      </c>
      <c r="G318" t="n">
        <v>4</v>
      </c>
      <c r="H318" t="n">
        <v>9</v>
      </c>
      <c r="I318" t="inlineStr">
        <is>
          <t>Non</t>
        </is>
      </c>
    </row>
    <row r="319">
      <c r="A319" s="4" t="n">
        <v>46081</v>
      </c>
      <c r="B319" t="inlineStr">
        <is>
          <t>S4</t>
        </is>
      </c>
      <c r="C319" t="inlineStr">
        <is>
          <t>ATH06</t>
        </is>
      </c>
      <c r="D319" t="n">
        <v>7</v>
      </c>
      <c r="E319" t="n">
        <v>4</v>
      </c>
      <c r="F319" t="n">
        <v>1</v>
      </c>
      <c r="G319" t="n">
        <v>1</v>
      </c>
      <c r="H319" t="n">
        <v>4</v>
      </c>
      <c r="I319" t="inlineStr">
        <is>
          <t>Non</t>
        </is>
      </c>
    </row>
    <row r="320">
      <c r="A320" s="4" t="n">
        <v>46081</v>
      </c>
      <c r="B320" t="inlineStr">
        <is>
          <t>S4</t>
        </is>
      </c>
      <c r="C320" t="inlineStr">
        <is>
          <t>ATH07</t>
        </is>
      </c>
      <c r="D320" t="n">
        <v>7.5</v>
      </c>
      <c r="E320" t="n">
        <v>4</v>
      </c>
      <c r="F320" t="n">
        <v>3</v>
      </c>
      <c r="G320" t="n">
        <v>1</v>
      </c>
      <c r="H320" t="n">
        <v>5</v>
      </c>
      <c r="I320" t="inlineStr">
        <is>
          <t>Non</t>
        </is>
      </c>
    </row>
    <row r="321">
      <c r="A321" s="4" t="n">
        <v>46081</v>
      </c>
      <c r="B321" t="inlineStr">
        <is>
          <t>S4</t>
        </is>
      </c>
      <c r="C321" t="inlineStr">
        <is>
          <t>ATH08</t>
        </is>
      </c>
      <c r="D321" t="n">
        <v>7.5</v>
      </c>
      <c r="E321" t="n">
        <v>4</v>
      </c>
      <c r="F321" t="n">
        <v>2</v>
      </c>
      <c r="G321" t="n">
        <v>3</v>
      </c>
      <c r="H321" t="n">
        <v>6</v>
      </c>
      <c r="I321" t="inlineStr">
        <is>
          <t>Non</t>
        </is>
      </c>
    </row>
    <row r="322">
      <c r="A322" s="4" t="n">
        <v>46081</v>
      </c>
      <c r="B322" t="inlineStr">
        <is>
          <t>S4</t>
        </is>
      </c>
      <c r="C322" t="inlineStr">
        <is>
          <t>ATH09</t>
        </is>
      </c>
      <c r="D322" t="n">
        <v>8.699999999999999</v>
      </c>
      <c r="E322" t="n">
        <v>2</v>
      </c>
      <c r="F322" t="n">
        <v>2</v>
      </c>
      <c r="G322" t="n">
        <v>2</v>
      </c>
      <c r="H322" t="n">
        <v>7</v>
      </c>
      <c r="I322" t="inlineStr">
        <is>
          <t>Non</t>
        </is>
      </c>
    </row>
    <row r="323">
      <c r="A323" s="4" t="n">
        <v>46081</v>
      </c>
      <c r="B323" t="inlineStr">
        <is>
          <t>S4</t>
        </is>
      </c>
      <c r="C323" t="inlineStr">
        <is>
          <t>ATH10</t>
        </is>
      </c>
      <c r="D323" t="n">
        <v>6.8</v>
      </c>
      <c r="E323" t="n">
        <v>3</v>
      </c>
      <c r="F323" t="n">
        <v>3</v>
      </c>
      <c r="G323" t="n">
        <v>2</v>
      </c>
      <c r="H323" t="n">
        <v>7</v>
      </c>
      <c r="I323" t="inlineStr">
        <is>
          <t>Non</t>
        </is>
      </c>
    </row>
    <row r="324">
      <c r="A324" s="4" t="n">
        <v>46081</v>
      </c>
      <c r="B324" t="inlineStr">
        <is>
          <t>S4</t>
        </is>
      </c>
      <c r="C324" t="inlineStr">
        <is>
          <t>ATH11</t>
        </is>
      </c>
      <c r="D324" t="n">
        <v>6.8</v>
      </c>
      <c r="E324" t="n">
        <v>2</v>
      </c>
      <c r="F324" t="n">
        <v>3</v>
      </c>
      <c r="G324" t="n">
        <v>1</v>
      </c>
      <c r="H324" t="n">
        <v>4</v>
      </c>
      <c r="I324" t="inlineStr">
        <is>
          <t>Non</t>
        </is>
      </c>
    </row>
    <row r="325">
      <c r="A325" s="4" t="n">
        <v>46081</v>
      </c>
      <c r="B325" t="inlineStr">
        <is>
          <t>S4</t>
        </is>
      </c>
      <c r="C325" t="inlineStr">
        <is>
          <t>ATH12</t>
        </is>
      </c>
      <c r="D325" t="n">
        <v>7.9</v>
      </c>
      <c r="E325" t="n">
        <v>4</v>
      </c>
      <c r="F325" t="n">
        <v>2</v>
      </c>
      <c r="G325" t="n">
        <v>2</v>
      </c>
      <c r="H325" t="n">
        <v>8</v>
      </c>
      <c r="I325" t="inlineStr">
        <is>
          <t>Non</t>
        </is>
      </c>
    </row>
    <row r="326">
      <c r="A326" s="4" t="n">
        <v>46082</v>
      </c>
      <c r="B326" t="inlineStr">
        <is>
          <t>S4</t>
        </is>
      </c>
      <c r="C326" t="inlineStr">
        <is>
          <t>ATH01</t>
        </is>
      </c>
      <c r="D326" t="n">
        <v>6.7</v>
      </c>
      <c r="E326" t="n">
        <v>1</v>
      </c>
      <c r="F326" t="n">
        <v>3</v>
      </c>
      <c r="G326" t="n">
        <v>3</v>
      </c>
      <c r="H326" t="n">
        <v>8</v>
      </c>
      <c r="I326" t="inlineStr">
        <is>
          <t>Non</t>
        </is>
      </c>
    </row>
    <row r="327">
      <c r="A327" s="4" t="n">
        <v>46082</v>
      </c>
      <c r="B327" t="inlineStr">
        <is>
          <t>S4</t>
        </is>
      </c>
      <c r="C327" t="inlineStr">
        <is>
          <t>ATH02</t>
        </is>
      </c>
      <c r="D327" t="n">
        <v>6</v>
      </c>
      <c r="E327" t="n">
        <v>1</v>
      </c>
      <c r="F327" t="n">
        <v>3</v>
      </c>
      <c r="G327" t="n">
        <v>4</v>
      </c>
      <c r="H327" t="n">
        <v>7</v>
      </c>
      <c r="I327" t="inlineStr">
        <is>
          <t>Non</t>
        </is>
      </c>
    </row>
    <row r="328">
      <c r="A328" s="4" t="n">
        <v>46082</v>
      </c>
      <c r="B328" t="inlineStr">
        <is>
          <t>S4</t>
        </is>
      </c>
      <c r="C328" t="inlineStr">
        <is>
          <t>ATH03</t>
        </is>
      </c>
      <c r="D328" t="n">
        <v>7.6</v>
      </c>
      <c r="E328" t="n">
        <v>3</v>
      </c>
      <c r="F328" t="n">
        <v>2</v>
      </c>
      <c r="G328" t="n">
        <v>5</v>
      </c>
      <c r="H328" t="n">
        <v>5</v>
      </c>
      <c r="I328" t="inlineStr">
        <is>
          <t>Non</t>
        </is>
      </c>
    </row>
    <row r="329">
      <c r="A329" s="4" t="n">
        <v>46082</v>
      </c>
      <c r="B329" t="inlineStr">
        <is>
          <t>S4</t>
        </is>
      </c>
      <c r="C329" t="inlineStr">
        <is>
          <t>ATH04</t>
        </is>
      </c>
      <c r="D329" t="n">
        <v>7.8</v>
      </c>
      <c r="E329" t="n">
        <v>2</v>
      </c>
      <c r="F329" t="n">
        <v>3</v>
      </c>
      <c r="G329" t="n">
        <v>2</v>
      </c>
      <c r="H329" t="n">
        <v>7</v>
      </c>
      <c r="I329" t="inlineStr">
        <is>
          <t>Non</t>
        </is>
      </c>
    </row>
    <row r="330">
      <c r="A330" s="4" t="n">
        <v>46082</v>
      </c>
      <c r="B330" t="inlineStr">
        <is>
          <t>S4</t>
        </is>
      </c>
      <c r="C330" t="inlineStr">
        <is>
          <t>ATH05</t>
        </is>
      </c>
      <c r="D330" t="n">
        <v>7.6</v>
      </c>
      <c r="E330" t="n">
        <v>5</v>
      </c>
      <c r="F330" t="n">
        <v>2</v>
      </c>
      <c r="G330" t="n">
        <v>4</v>
      </c>
      <c r="H330" t="n">
        <v>6</v>
      </c>
      <c r="I330" t="inlineStr">
        <is>
          <t>Non</t>
        </is>
      </c>
    </row>
    <row r="331">
      <c r="A331" s="4" t="n">
        <v>46082</v>
      </c>
      <c r="B331" t="inlineStr">
        <is>
          <t>S4</t>
        </is>
      </c>
      <c r="C331" t="inlineStr">
        <is>
          <t>ATH06</t>
        </is>
      </c>
      <c r="D331" t="n">
        <v>7.3</v>
      </c>
      <c r="E331" t="n">
        <v>3</v>
      </c>
      <c r="F331" t="n">
        <v>1</v>
      </c>
      <c r="G331" t="n">
        <v>1</v>
      </c>
      <c r="H331" t="n">
        <v>7</v>
      </c>
      <c r="I331" t="inlineStr">
        <is>
          <t>Non</t>
        </is>
      </c>
    </row>
    <row r="332">
      <c r="A332" s="4" t="n">
        <v>46082</v>
      </c>
      <c r="B332" t="inlineStr">
        <is>
          <t>S4</t>
        </is>
      </c>
      <c r="C332" t="inlineStr">
        <is>
          <t>ATH07</t>
        </is>
      </c>
      <c r="D332" t="n">
        <v>7</v>
      </c>
      <c r="E332" t="n">
        <v>3</v>
      </c>
      <c r="F332" t="n">
        <v>2</v>
      </c>
      <c r="G332" t="n">
        <v>2</v>
      </c>
      <c r="H332" t="n">
        <v>6</v>
      </c>
      <c r="I332" t="inlineStr">
        <is>
          <t>Non</t>
        </is>
      </c>
    </row>
    <row r="333">
      <c r="A333" s="4" t="n">
        <v>46082</v>
      </c>
      <c r="B333" t="inlineStr">
        <is>
          <t>S4</t>
        </is>
      </c>
      <c r="C333" t="inlineStr">
        <is>
          <t>ATH08</t>
        </is>
      </c>
      <c r="D333" t="n">
        <v>7.8</v>
      </c>
      <c r="E333" t="n">
        <v>1</v>
      </c>
      <c r="F333" t="n">
        <v>4</v>
      </c>
      <c r="G333" t="n">
        <v>5</v>
      </c>
      <c r="H333" t="n">
        <v>4</v>
      </c>
      <c r="I333" t="inlineStr">
        <is>
          <t>Non</t>
        </is>
      </c>
    </row>
    <row r="334">
      <c r="A334" s="4" t="n">
        <v>46082</v>
      </c>
      <c r="B334" t="inlineStr">
        <is>
          <t>S4</t>
        </is>
      </c>
      <c r="C334" t="inlineStr">
        <is>
          <t>ATH09</t>
        </is>
      </c>
      <c r="D334" t="n">
        <v>8.300000000000001</v>
      </c>
      <c r="E334" t="n">
        <v>4</v>
      </c>
      <c r="F334" t="n">
        <v>3</v>
      </c>
      <c r="G334" t="n">
        <v>1</v>
      </c>
      <c r="H334" t="n">
        <v>8</v>
      </c>
      <c r="I334" t="inlineStr">
        <is>
          <t>Non</t>
        </is>
      </c>
    </row>
    <row r="335">
      <c r="A335" s="4" t="n">
        <v>46082</v>
      </c>
      <c r="B335" t="inlineStr">
        <is>
          <t>S4</t>
        </is>
      </c>
      <c r="C335" t="inlineStr">
        <is>
          <t>ATH10</t>
        </is>
      </c>
      <c r="D335" t="n">
        <v>7.3</v>
      </c>
      <c r="E335" t="n">
        <v>4</v>
      </c>
      <c r="F335" t="n">
        <v>6</v>
      </c>
      <c r="G335" t="n">
        <v>3</v>
      </c>
      <c r="H335" t="n">
        <v>5</v>
      </c>
      <c r="I335" t="inlineStr">
        <is>
          <t>Non</t>
        </is>
      </c>
    </row>
    <row r="336">
      <c r="A336" s="4" t="n">
        <v>46082</v>
      </c>
      <c r="B336" t="inlineStr">
        <is>
          <t>S4</t>
        </is>
      </c>
      <c r="C336" t="inlineStr">
        <is>
          <t>ATH11</t>
        </is>
      </c>
      <c r="D336" t="n">
        <v>7.3</v>
      </c>
      <c r="E336" t="n">
        <v>2</v>
      </c>
      <c r="F336" t="n">
        <v>3</v>
      </c>
      <c r="G336" t="n">
        <v>2</v>
      </c>
      <c r="H336" t="n">
        <v>6</v>
      </c>
      <c r="I336" t="inlineStr">
        <is>
          <t>Non</t>
        </is>
      </c>
    </row>
    <row r="337">
      <c r="A337" s="4" t="n">
        <v>46082</v>
      </c>
      <c r="B337" t="inlineStr">
        <is>
          <t>S4</t>
        </is>
      </c>
      <c r="C337" t="inlineStr">
        <is>
          <t>ATH12</t>
        </is>
      </c>
      <c r="D337" t="n">
        <v>6.6</v>
      </c>
      <c r="E337" t="n">
        <v>3</v>
      </c>
      <c r="F337" t="n">
        <v>3</v>
      </c>
      <c r="G337" t="n">
        <v>1</v>
      </c>
      <c r="H337" t="n">
        <v>7</v>
      </c>
      <c r="I337" t="inlineStr">
        <is>
          <t>Non</t>
        </is>
      </c>
    </row>
    <row r="338">
      <c r="A338" s="4" t="n">
        <v>46083</v>
      </c>
      <c r="B338" t="inlineStr">
        <is>
          <t>S5</t>
        </is>
      </c>
      <c r="C338" t="inlineStr">
        <is>
          <t>ATH01</t>
        </is>
      </c>
      <c r="D338" t="n">
        <v>7.5</v>
      </c>
      <c r="E338" t="n">
        <v>2</v>
      </c>
      <c r="F338" t="n">
        <v>5</v>
      </c>
      <c r="G338" t="n">
        <v>4</v>
      </c>
      <c r="H338" t="n">
        <v>5</v>
      </c>
      <c r="I338" t="inlineStr">
        <is>
          <t>Non</t>
        </is>
      </c>
    </row>
    <row r="339">
      <c r="A339" s="4" t="n">
        <v>46083</v>
      </c>
      <c r="B339" t="inlineStr">
        <is>
          <t>S5</t>
        </is>
      </c>
      <c r="C339" t="inlineStr">
        <is>
          <t>ATH02</t>
        </is>
      </c>
      <c r="D339" t="n">
        <v>8.1</v>
      </c>
      <c r="F339" t="n">
        <v>3</v>
      </c>
      <c r="G339" t="n">
        <v>3</v>
      </c>
      <c r="H339" t="n">
        <v>7</v>
      </c>
      <c r="I339" t="inlineStr">
        <is>
          <t>Non</t>
        </is>
      </c>
    </row>
    <row r="340">
      <c r="A340" s="4" t="n">
        <v>46083</v>
      </c>
      <c r="B340" t="inlineStr">
        <is>
          <t>S5</t>
        </is>
      </c>
      <c r="C340" t="inlineStr">
        <is>
          <t>ATH03</t>
        </is>
      </c>
      <c r="D340" t="n">
        <v>6</v>
      </c>
      <c r="E340" t="n">
        <v>3</v>
      </c>
      <c r="F340" t="n">
        <v>2</v>
      </c>
      <c r="G340" t="n">
        <v>5</v>
      </c>
      <c r="H340" t="n">
        <v>7</v>
      </c>
      <c r="I340" t="inlineStr">
        <is>
          <t>Non</t>
        </is>
      </c>
    </row>
    <row r="341">
      <c r="A341" s="4" t="n">
        <v>46083</v>
      </c>
      <c r="B341" t="inlineStr">
        <is>
          <t>S5</t>
        </is>
      </c>
      <c r="C341" t="inlineStr">
        <is>
          <t>ATH04</t>
        </is>
      </c>
      <c r="D341" t="n">
        <v>7.3</v>
      </c>
      <c r="E341" t="n">
        <v>3</v>
      </c>
      <c r="F341" t="n">
        <v>4</v>
      </c>
      <c r="G341" t="n">
        <v>3</v>
      </c>
      <c r="H341" t="n">
        <v>6</v>
      </c>
      <c r="I341" t="inlineStr">
        <is>
          <t>Non</t>
        </is>
      </c>
    </row>
    <row r="342">
      <c r="A342" s="4" t="n">
        <v>46083</v>
      </c>
      <c r="B342" t="inlineStr">
        <is>
          <t>S5</t>
        </is>
      </c>
      <c r="C342" t="inlineStr">
        <is>
          <t>ATH05</t>
        </is>
      </c>
      <c r="D342" t="n">
        <v>7.5</v>
      </c>
      <c r="E342" t="n">
        <v>3</v>
      </c>
      <c r="F342" t="n">
        <v>4</v>
      </c>
      <c r="G342" t="n">
        <v>1</v>
      </c>
      <c r="H342" t="n">
        <v>6</v>
      </c>
      <c r="I342" t="inlineStr">
        <is>
          <t>Non</t>
        </is>
      </c>
    </row>
    <row r="343">
      <c r="A343" s="4" t="n">
        <v>46083</v>
      </c>
      <c r="B343" t="inlineStr">
        <is>
          <t>S5</t>
        </is>
      </c>
      <c r="C343" t="inlineStr">
        <is>
          <t>ATH06</t>
        </is>
      </c>
      <c r="D343" t="n">
        <v>7.6</v>
      </c>
      <c r="E343" t="n">
        <v>4</v>
      </c>
      <c r="F343" t="n">
        <v>2</v>
      </c>
      <c r="G343" t="n">
        <v>1</v>
      </c>
      <c r="H343" t="n">
        <v>7</v>
      </c>
      <c r="I343" t="inlineStr">
        <is>
          <t>Non</t>
        </is>
      </c>
    </row>
    <row r="344">
      <c r="A344" s="4" t="n">
        <v>46083</v>
      </c>
      <c r="B344" t="inlineStr">
        <is>
          <t>S5</t>
        </is>
      </c>
      <c r="C344" t="inlineStr">
        <is>
          <t>ATH07</t>
        </is>
      </c>
      <c r="D344" t="n">
        <v>6.7</v>
      </c>
      <c r="E344" t="n">
        <v>2</v>
      </c>
      <c r="F344" t="n">
        <v>2</v>
      </c>
      <c r="G344" t="n">
        <v>3</v>
      </c>
      <c r="H344" t="n">
        <v>5</v>
      </c>
      <c r="I344" t="inlineStr">
        <is>
          <t>Non</t>
        </is>
      </c>
    </row>
    <row r="345">
      <c r="A345" s="4" t="n">
        <v>46083</v>
      </c>
      <c r="B345" t="inlineStr">
        <is>
          <t>S5</t>
        </is>
      </c>
      <c r="C345" t="inlineStr">
        <is>
          <t>ATH08</t>
        </is>
      </c>
      <c r="D345" t="n">
        <v>6</v>
      </c>
      <c r="E345" t="n">
        <v>4</v>
      </c>
      <c r="F345" t="n">
        <v>4</v>
      </c>
      <c r="G345" t="n">
        <v>4</v>
      </c>
      <c r="H345" t="n">
        <v>5</v>
      </c>
      <c r="I345" t="inlineStr">
        <is>
          <t>Non</t>
        </is>
      </c>
    </row>
    <row r="346">
      <c r="A346" s="4" t="n">
        <v>46083</v>
      </c>
      <c r="B346" t="inlineStr">
        <is>
          <t>S5</t>
        </is>
      </c>
      <c r="C346" t="inlineStr">
        <is>
          <t>ATH09</t>
        </is>
      </c>
      <c r="D346" t="n">
        <v>7.4</v>
      </c>
      <c r="E346" t="n">
        <v>3</v>
      </c>
      <c r="F346" t="n">
        <v>3</v>
      </c>
      <c r="G346" t="n">
        <v>4</v>
      </c>
      <c r="H346" t="n">
        <v>6</v>
      </c>
      <c r="I346" t="inlineStr">
        <is>
          <t>Non</t>
        </is>
      </c>
    </row>
    <row r="347">
      <c r="A347" s="4" t="n">
        <v>46083</v>
      </c>
      <c r="B347" t="inlineStr">
        <is>
          <t>S5</t>
        </is>
      </c>
      <c r="C347" t="inlineStr">
        <is>
          <t>ATH10</t>
        </is>
      </c>
      <c r="D347" t="n">
        <v>7.6</v>
      </c>
      <c r="E347" t="n">
        <v>4</v>
      </c>
      <c r="F347" t="n">
        <v>5</v>
      </c>
      <c r="G347" t="n">
        <v>4</v>
      </c>
      <c r="H347" t="n">
        <v>7</v>
      </c>
      <c r="I347" t="inlineStr">
        <is>
          <t>Non</t>
        </is>
      </c>
    </row>
    <row r="348">
      <c r="A348" s="4" t="n">
        <v>46083</v>
      </c>
      <c r="B348" t="inlineStr">
        <is>
          <t>S5</t>
        </is>
      </c>
      <c r="C348" t="inlineStr">
        <is>
          <t>ATH11</t>
        </is>
      </c>
      <c r="D348" t="n">
        <v>7.6</v>
      </c>
      <c r="E348" t="n">
        <v>5</v>
      </c>
      <c r="F348" t="n">
        <v>3</v>
      </c>
      <c r="G348" t="n">
        <v>2</v>
      </c>
      <c r="H348" t="n">
        <v>8</v>
      </c>
      <c r="I348" t="inlineStr">
        <is>
          <t>Non</t>
        </is>
      </c>
    </row>
    <row r="349">
      <c r="A349" s="4" t="n">
        <v>46083</v>
      </c>
      <c r="B349" t="inlineStr">
        <is>
          <t>S5</t>
        </is>
      </c>
      <c r="C349" t="inlineStr">
        <is>
          <t>ATH12</t>
        </is>
      </c>
      <c r="D349" t="n">
        <v>8</v>
      </c>
      <c r="E349" t="n">
        <v>2</v>
      </c>
      <c r="F349" t="n">
        <v>2</v>
      </c>
      <c r="G349" t="n">
        <v>3</v>
      </c>
      <c r="H349" t="n">
        <v>7</v>
      </c>
      <c r="I349" t="inlineStr">
        <is>
          <t>Non</t>
        </is>
      </c>
    </row>
    <row r="350">
      <c r="A350" s="4" t="n">
        <v>46084</v>
      </c>
      <c r="B350" t="inlineStr">
        <is>
          <t>S5</t>
        </is>
      </c>
      <c r="C350" t="inlineStr">
        <is>
          <t>ATH01</t>
        </is>
      </c>
      <c r="D350" t="n">
        <v>7.6</v>
      </c>
      <c r="E350" t="n">
        <v>3</v>
      </c>
      <c r="F350" t="n">
        <v>5</v>
      </c>
      <c r="G350" t="n">
        <v>4</v>
      </c>
      <c r="H350" t="n">
        <v>7</v>
      </c>
      <c r="I350" t="inlineStr">
        <is>
          <t>Non</t>
        </is>
      </c>
    </row>
    <row r="351">
      <c r="A351" s="4" t="n">
        <v>46084</v>
      </c>
      <c r="B351" t="inlineStr">
        <is>
          <t>S5</t>
        </is>
      </c>
      <c r="C351" t="inlineStr">
        <is>
          <t>ATH02</t>
        </is>
      </c>
      <c r="D351" t="n">
        <v>8.199999999999999</v>
      </c>
      <c r="E351" t="n">
        <v>2</v>
      </c>
      <c r="F351" t="n">
        <v>3</v>
      </c>
      <c r="G351" t="n">
        <v>5</v>
      </c>
      <c r="H351" t="n">
        <v>6</v>
      </c>
      <c r="I351" t="inlineStr">
        <is>
          <t>Non</t>
        </is>
      </c>
    </row>
    <row r="352">
      <c r="A352" s="4" t="n">
        <v>46084</v>
      </c>
      <c r="B352" t="inlineStr">
        <is>
          <t>S5</t>
        </is>
      </c>
      <c r="C352" t="inlineStr">
        <is>
          <t>ATH03</t>
        </is>
      </c>
      <c r="D352" t="n">
        <v>6.9</v>
      </c>
      <c r="E352" t="n">
        <v>2</v>
      </c>
      <c r="F352" t="n">
        <v>1</v>
      </c>
      <c r="G352" t="n">
        <v>2</v>
      </c>
      <c r="H352" t="n">
        <v>6</v>
      </c>
      <c r="I352" t="inlineStr">
        <is>
          <t>Non</t>
        </is>
      </c>
    </row>
    <row r="353">
      <c r="A353" s="4" t="n">
        <v>46084</v>
      </c>
      <c r="B353" t="inlineStr">
        <is>
          <t>S5</t>
        </is>
      </c>
      <c r="C353" t="inlineStr">
        <is>
          <t>ATH04</t>
        </is>
      </c>
      <c r="D353" t="n">
        <v>6.5</v>
      </c>
      <c r="E353" t="n">
        <v>3</v>
      </c>
      <c r="F353" t="n">
        <v>4</v>
      </c>
      <c r="G353" t="n">
        <v>2</v>
      </c>
      <c r="H353" t="n">
        <v>8</v>
      </c>
      <c r="I353" t="inlineStr">
        <is>
          <t>Non</t>
        </is>
      </c>
    </row>
    <row r="354">
      <c r="A354" s="4" t="n">
        <v>46084</v>
      </c>
      <c r="B354" t="inlineStr">
        <is>
          <t>S5</t>
        </is>
      </c>
      <c r="C354" t="inlineStr">
        <is>
          <t>ATH05</t>
        </is>
      </c>
      <c r="D354" t="n">
        <v>8.300000000000001</v>
      </c>
      <c r="E354" t="n">
        <v>4</v>
      </c>
      <c r="F354" t="n">
        <v>4</v>
      </c>
      <c r="G354" t="n">
        <v>2</v>
      </c>
      <c r="H354" t="n">
        <v>7</v>
      </c>
      <c r="I354" t="inlineStr">
        <is>
          <t>Non</t>
        </is>
      </c>
    </row>
    <row r="355">
      <c r="A355" s="4" t="n">
        <v>46084</v>
      </c>
      <c r="B355" t="inlineStr">
        <is>
          <t>S5</t>
        </is>
      </c>
      <c r="C355" t="inlineStr">
        <is>
          <t>ATH06</t>
        </is>
      </c>
      <c r="D355" t="n">
        <v>7.5</v>
      </c>
      <c r="E355" t="n">
        <v>1</v>
      </c>
      <c r="F355" t="n">
        <v>4</v>
      </c>
      <c r="G355" t="n">
        <v>2</v>
      </c>
      <c r="H355" t="n">
        <v>6</v>
      </c>
      <c r="I355" t="inlineStr">
        <is>
          <t>Non</t>
        </is>
      </c>
    </row>
    <row r="356">
      <c r="A356" s="4" t="n">
        <v>46084</v>
      </c>
      <c r="B356" t="inlineStr">
        <is>
          <t>S5</t>
        </is>
      </c>
      <c r="C356" t="inlineStr">
        <is>
          <t>ATH07</t>
        </is>
      </c>
      <c r="D356" t="n">
        <v>6.4</v>
      </c>
      <c r="E356" t="n">
        <v>5</v>
      </c>
      <c r="F356" t="n">
        <v>1</v>
      </c>
      <c r="G356" t="n">
        <v>4</v>
      </c>
      <c r="H356" t="n">
        <v>7</v>
      </c>
      <c r="I356" t="inlineStr">
        <is>
          <t>Non</t>
        </is>
      </c>
    </row>
    <row r="357">
      <c r="A357" s="4" t="n">
        <v>46084</v>
      </c>
      <c r="B357" t="inlineStr">
        <is>
          <t>S5</t>
        </is>
      </c>
      <c r="C357" t="inlineStr">
        <is>
          <t>ATH08</t>
        </is>
      </c>
      <c r="D357" t="n">
        <v>7.9</v>
      </c>
      <c r="E357" t="n">
        <v>4</v>
      </c>
      <c r="F357" t="n">
        <v>4</v>
      </c>
      <c r="G357" t="n">
        <v>2</v>
      </c>
      <c r="H357" t="n">
        <v>8</v>
      </c>
      <c r="I357" t="inlineStr">
        <is>
          <t>Non</t>
        </is>
      </c>
    </row>
    <row r="358">
      <c r="A358" s="4" t="n">
        <v>46084</v>
      </c>
      <c r="B358" t="inlineStr">
        <is>
          <t>S5</t>
        </is>
      </c>
      <c r="C358" t="inlineStr">
        <is>
          <t>ATH09</t>
        </is>
      </c>
      <c r="D358" t="n">
        <v>7.2</v>
      </c>
      <c r="E358" t="n">
        <v>3</v>
      </c>
      <c r="F358" t="n">
        <v>2</v>
      </c>
      <c r="G358" t="n">
        <v>4</v>
      </c>
      <c r="H358" t="n">
        <v>6</v>
      </c>
      <c r="I358" t="inlineStr">
        <is>
          <t>Non</t>
        </is>
      </c>
    </row>
    <row r="359">
      <c r="A359" s="4" t="n">
        <v>46084</v>
      </c>
      <c r="B359" t="inlineStr">
        <is>
          <t>S5</t>
        </is>
      </c>
      <c r="C359" t="inlineStr">
        <is>
          <t>ATH10</t>
        </is>
      </c>
      <c r="D359" t="n">
        <v>7.5</v>
      </c>
      <c r="E359" t="n">
        <v>2</v>
      </c>
      <c r="F359" t="n">
        <v>4</v>
      </c>
      <c r="G359" t="n">
        <v>4</v>
      </c>
      <c r="H359" t="n">
        <v>6</v>
      </c>
      <c r="I359" t="inlineStr">
        <is>
          <t>Non</t>
        </is>
      </c>
    </row>
    <row r="360">
      <c r="A360" s="4" t="n">
        <v>46084</v>
      </c>
      <c r="B360" t="inlineStr">
        <is>
          <t>S5</t>
        </is>
      </c>
      <c r="C360" t="inlineStr">
        <is>
          <t>ATH11</t>
        </is>
      </c>
      <c r="D360" t="n">
        <v>7.2</v>
      </c>
      <c r="E360" t="n">
        <v>4</v>
      </c>
      <c r="F360" t="n">
        <v>2</v>
      </c>
      <c r="G360" t="n">
        <v>3</v>
      </c>
      <c r="H360" t="n">
        <v>8</v>
      </c>
      <c r="I360" t="inlineStr">
        <is>
          <t>Non</t>
        </is>
      </c>
    </row>
    <row r="361">
      <c r="A361" s="4" t="n">
        <v>46084</v>
      </c>
      <c r="B361" t="inlineStr">
        <is>
          <t>S5</t>
        </is>
      </c>
      <c r="C361" t="inlineStr">
        <is>
          <t>ATH12</t>
        </is>
      </c>
      <c r="D361" t="n">
        <v>6.9</v>
      </c>
      <c r="E361" t="n">
        <v>3</v>
      </c>
      <c r="F361" t="n">
        <v>3</v>
      </c>
      <c r="G361" t="n">
        <v>3</v>
      </c>
      <c r="H361" t="n">
        <v>6</v>
      </c>
      <c r="I361" t="inlineStr">
        <is>
          <t>Non</t>
        </is>
      </c>
    </row>
    <row r="362">
      <c r="A362" s="4" t="n">
        <v>46085</v>
      </c>
      <c r="B362" t="inlineStr">
        <is>
          <t>S5</t>
        </is>
      </c>
      <c r="C362" t="inlineStr">
        <is>
          <t>ATH01</t>
        </is>
      </c>
      <c r="D362" t="n">
        <v>8.4</v>
      </c>
      <c r="E362" t="n">
        <v>2</v>
      </c>
      <c r="F362" t="n">
        <v>1</v>
      </c>
      <c r="G362" t="n">
        <v>4</v>
      </c>
      <c r="H362" t="n">
        <v>5</v>
      </c>
      <c r="I362" t="inlineStr">
        <is>
          <t>Non</t>
        </is>
      </c>
    </row>
    <row r="363">
      <c r="A363" s="4" t="n">
        <v>46085</v>
      </c>
      <c r="B363" t="inlineStr">
        <is>
          <t>S5</t>
        </is>
      </c>
      <c r="C363" t="inlineStr">
        <is>
          <t>ATH02</t>
        </is>
      </c>
      <c r="D363" t="n">
        <v>8</v>
      </c>
      <c r="E363" t="n">
        <v>5</v>
      </c>
      <c r="F363" t="n">
        <v>3</v>
      </c>
      <c r="G363" t="n">
        <v>4</v>
      </c>
      <c r="H363" t="n">
        <v>9</v>
      </c>
      <c r="I363" t="inlineStr">
        <is>
          <t>Non</t>
        </is>
      </c>
    </row>
    <row r="364">
      <c r="A364" s="4" t="n">
        <v>46085</v>
      </c>
      <c r="B364" t="inlineStr">
        <is>
          <t>S5</t>
        </is>
      </c>
      <c r="C364" t="inlineStr">
        <is>
          <t>ATH03</t>
        </is>
      </c>
      <c r="D364" t="n">
        <v>8.199999999999999</v>
      </c>
      <c r="E364" t="n">
        <v>3</v>
      </c>
      <c r="F364" t="n">
        <v>5</v>
      </c>
      <c r="G364" t="n">
        <v>5</v>
      </c>
      <c r="H364" t="n">
        <v>8</v>
      </c>
      <c r="I364" t="inlineStr">
        <is>
          <t>Non</t>
        </is>
      </c>
    </row>
    <row r="365">
      <c r="A365" s="4" t="n">
        <v>46085</v>
      </c>
      <c r="B365" t="inlineStr">
        <is>
          <t>S5</t>
        </is>
      </c>
      <c r="C365" t="inlineStr">
        <is>
          <t>ATH04</t>
        </is>
      </c>
      <c r="D365" t="n">
        <v>7.2</v>
      </c>
      <c r="E365" t="n">
        <v>1</v>
      </c>
      <c r="F365" t="n">
        <v>2</v>
      </c>
      <c r="G365" t="n">
        <v>4</v>
      </c>
      <c r="H365" t="n">
        <v>7</v>
      </c>
      <c r="I365" t="inlineStr">
        <is>
          <t>Non</t>
        </is>
      </c>
    </row>
    <row r="366">
      <c r="A366" s="4" t="n">
        <v>46085</v>
      </c>
      <c r="B366" t="inlineStr">
        <is>
          <t>S5</t>
        </is>
      </c>
      <c r="C366" t="inlineStr">
        <is>
          <t>ATH05</t>
        </is>
      </c>
      <c r="D366" t="n">
        <v>7.8</v>
      </c>
      <c r="E366" t="n">
        <v>1</v>
      </c>
      <c r="F366" t="n">
        <v>3</v>
      </c>
      <c r="G366" t="n">
        <v>4</v>
      </c>
      <c r="H366" t="n">
        <v>6</v>
      </c>
      <c r="I366" t="inlineStr">
        <is>
          <t>Non</t>
        </is>
      </c>
    </row>
    <row r="367">
      <c r="A367" s="4" t="n">
        <v>46085</v>
      </c>
      <c r="B367" t="inlineStr">
        <is>
          <t>S5</t>
        </is>
      </c>
      <c r="C367" t="inlineStr">
        <is>
          <t>ATH06</t>
        </is>
      </c>
      <c r="D367" t="n">
        <v>7.6</v>
      </c>
      <c r="E367" t="n">
        <v>5</v>
      </c>
      <c r="F367" t="n">
        <v>2</v>
      </c>
      <c r="G367" t="n">
        <v>2</v>
      </c>
      <c r="H367" t="n">
        <v>8</v>
      </c>
      <c r="I367" t="inlineStr">
        <is>
          <t>Non</t>
        </is>
      </c>
    </row>
    <row r="368">
      <c r="A368" s="4" t="n">
        <v>46085</v>
      </c>
      <c r="B368" t="inlineStr">
        <is>
          <t>S5</t>
        </is>
      </c>
      <c r="C368" t="inlineStr">
        <is>
          <t>ATH07</t>
        </is>
      </c>
      <c r="D368" t="n">
        <v>8.5</v>
      </c>
      <c r="E368" t="n">
        <v>4</v>
      </c>
      <c r="F368" t="n">
        <v>5</v>
      </c>
      <c r="G368" t="n">
        <v>5</v>
      </c>
      <c r="H368" t="n">
        <v>5</v>
      </c>
      <c r="I368" t="inlineStr">
        <is>
          <t>Non</t>
        </is>
      </c>
    </row>
    <row r="369">
      <c r="A369" s="4" t="n">
        <v>46085</v>
      </c>
      <c r="B369" t="inlineStr">
        <is>
          <t>S5</t>
        </is>
      </c>
      <c r="C369" t="inlineStr">
        <is>
          <t>ATH08</t>
        </is>
      </c>
      <c r="D369" t="n">
        <v>7.2</v>
      </c>
      <c r="E369" t="n">
        <v>4</v>
      </c>
      <c r="F369" t="n">
        <v>5</v>
      </c>
      <c r="G369" t="n">
        <v>4</v>
      </c>
      <c r="H369" t="n">
        <v>6</v>
      </c>
      <c r="I369" t="inlineStr">
        <is>
          <t>Non</t>
        </is>
      </c>
    </row>
    <row r="370">
      <c r="A370" s="4" t="n">
        <v>46085</v>
      </c>
      <c r="B370" t="inlineStr">
        <is>
          <t>S5</t>
        </is>
      </c>
      <c r="C370" t="inlineStr">
        <is>
          <t>ATH09</t>
        </is>
      </c>
      <c r="D370" t="n">
        <v>8.9</v>
      </c>
      <c r="E370" t="n">
        <v>2</v>
      </c>
      <c r="F370" t="n">
        <v>2</v>
      </c>
      <c r="G370" t="n">
        <v>3</v>
      </c>
      <c r="H370" t="n">
        <v>8</v>
      </c>
      <c r="I370" t="inlineStr">
        <is>
          <t>Non</t>
        </is>
      </c>
    </row>
    <row r="371">
      <c r="A371" s="4" t="n">
        <v>46085</v>
      </c>
      <c r="B371" t="inlineStr">
        <is>
          <t>S5</t>
        </is>
      </c>
      <c r="C371" t="inlineStr">
        <is>
          <t>ATH10</t>
        </is>
      </c>
      <c r="D371" t="n">
        <v>8.1</v>
      </c>
      <c r="E371" t="n">
        <v>3</v>
      </c>
      <c r="F371" t="n">
        <v>3</v>
      </c>
      <c r="G371" t="n">
        <v>3</v>
      </c>
      <c r="H371" t="n">
        <v>7</v>
      </c>
      <c r="I371" t="inlineStr">
        <is>
          <t>Non</t>
        </is>
      </c>
    </row>
    <row r="372">
      <c r="A372" s="4" t="n">
        <v>46085</v>
      </c>
      <c r="B372" t="inlineStr">
        <is>
          <t>S5</t>
        </is>
      </c>
      <c r="C372" t="inlineStr">
        <is>
          <t>ATH11</t>
        </is>
      </c>
      <c r="D372" t="n">
        <v>5.7</v>
      </c>
      <c r="E372" t="n">
        <v>3</v>
      </c>
      <c r="F372" t="n">
        <v>3</v>
      </c>
      <c r="G372" t="n">
        <v>2</v>
      </c>
      <c r="H372" t="n">
        <v>7</v>
      </c>
      <c r="I372" t="inlineStr">
        <is>
          <t>Non</t>
        </is>
      </c>
    </row>
    <row r="373">
      <c r="A373" s="4" t="n">
        <v>46085</v>
      </c>
      <c r="B373" t="inlineStr">
        <is>
          <t>S5</t>
        </is>
      </c>
      <c r="C373" t="inlineStr">
        <is>
          <t>ATH12</t>
        </is>
      </c>
      <c r="D373" t="n">
        <v>7.4</v>
      </c>
      <c r="E373" t="n">
        <v>5</v>
      </c>
      <c r="F373" t="n">
        <v>5</v>
      </c>
      <c r="G373" t="n">
        <v>2</v>
      </c>
      <c r="H373" t="n">
        <v>6</v>
      </c>
      <c r="I373" t="inlineStr">
        <is>
          <t>Non</t>
        </is>
      </c>
    </row>
    <row r="374">
      <c r="A374" s="4" t="n">
        <v>46086</v>
      </c>
      <c r="B374" t="inlineStr">
        <is>
          <t>S5</t>
        </is>
      </c>
      <c r="C374" t="inlineStr">
        <is>
          <t>ATH01</t>
        </is>
      </c>
      <c r="D374" t="n">
        <v>7.4</v>
      </c>
      <c r="E374" t="n">
        <v>2</v>
      </c>
      <c r="F374" t="n">
        <v>3</v>
      </c>
      <c r="G374" t="n">
        <v>2</v>
      </c>
      <c r="H374" t="n">
        <v>5</v>
      </c>
      <c r="I374" t="inlineStr">
        <is>
          <t>Non</t>
        </is>
      </c>
    </row>
    <row r="375">
      <c r="A375" s="4" t="n">
        <v>46086</v>
      </c>
      <c r="B375" t="inlineStr">
        <is>
          <t>S5</t>
        </is>
      </c>
      <c r="C375" t="inlineStr">
        <is>
          <t>ATH02</t>
        </is>
      </c>
      <c r="D375" t="n">
        <v>7.9</v>
      </c>
      <c r="E375" t="n">
        <v>4</v>
      </c>
      <c r="F375" t="n">
        <v>1</v>
      </c>
      <c r="G375" t="n">
        <v>4</v>
      </c>
      <c r="H375" t="n">
        <v>6</v>
      </c>
      <c r="I375" t="inlineStr">
        <is>
          <t>Non</t>
        </is>
      </c>
    </row>
    <row r="376">
      <c r="A376" s="4" t="n">
        <v>46086</v>
      </c>
      <c r="B376" t="inlineStr">
        <is>
          <t>S5</t>
        </is>
      </c>
      <c r="C376" t="inlineStr">
        <is>
          <t>ATH03</t>
        </is>
      </c>
      <c r="D376" t="n">
        <v>7.7</v>
      </c>
      <c r="E376" t="n">
        <v>4</v>
      </c>
      <c r="F376" t="n">
        <v>2</v>
      </c>
      <c r="G376" t="n">
        <v>4</v>
      </c>
      <c r="H376" t="n">
        <v>6</v>
      </c>
      <c r="I376" t="inlineStr">
        <is>
          <t>Non</t>
        </is>
      </c>
    </row>
    <row r="377">
      <c r="A377" s="4" t="n">
        <v>46086</v>
      </c>
      <c r="B377" t="inlineStr">
        <is>
          <t>S5</t>
        </is>
      </c>
      <c r="C377" t="inlineStr">
        <is>
          <t>ATH04</t>
        </is>
      </c>
      <c r="D377" t="n">
        <v>7.4</v>
      </c>
      <c r="E377" t="n">
        <v>3</v>
      </c>
      <c r="F377" t="n">
        <v>1</v>
      </c>
      <c r="G377" t="n">
        <v>3</v>
      </c>
      <c r="H377" t="n">
        <v>5</v>
      </c>
      <c r="I377" t="inlineStr">
        <is>
          <t>Non</t>
        </is>
      </c>
    </row>
    <row r="378">
      <c r="A378" s="4" t="n">
        <v>46086</v>
      </c>
      <c r="B378" t="inlineStr">
        <is>
          <t>S5</t>
        </is>
      </c>
      <c r="C378" t="inlineStr">
        <is>
          <t>ATH05</t>
        </is>
      </c>
      <c r="D378" t="n">
        <v>6.3</v>
      </c>
      <c r="E378" t="n">
        <v>2</v>
      </c>
      <c r="F378" t="n">
        <v>2</v>
      </c>
      <c r="G378" t="n">
        <v>4</v>
      </c>
      <c r="H378" t="n">
        <v>5</v>
      </c>
      <c r="I378" t="inlineStr">
        <is>
          <t>Non</t>
        </is>
      </c>
    </row>
    <row r="379">
      <c r="A379" s="4" t="n">
        <v>46086</v>
      </c>
      <c r="B379" t="inlineStr">
        <is>
          <t>S5</t>
        </is>
      </c>
      <c r="C379" t="inlineStr">
        <is>
          <t>ATH06</t>
        </is>
      </c>
      <c r="D379" t="n">
        <v>7</v>
      </c>
      <c r="E379" t="n">
        <v>3</v>
      </c>
      <c r="F379" t="n">
        <v>2</v>
      </c>
      <c r="G379" t="n">
        <v>5</v>
      </c>
      <c r="H379" t="n">
        <v>5</v>
      </c>
      <c r="I379" t="inlineStr">
        <is>
          <t>Non</t>
        </is>
      </c>
    </row>
    <row r="380">
      <c r="A380" s="4" t="n">
        <v>46086</v>
      </c>
      <c r="B380" t="inlineStr">
        <is>
          <t>S5</t>
        </is>
      </c>
      <c r="C380" t="inlineStr">
        <is>
          <t>ATH07</t>
        </is>
      </c>
      <c r="D380" t="n">
        <v>6.9</v>
      </c>
      <c r="E380" t="n">
        <v>4</v>
      </c>
      <c r="F380" t="n">
        <v>4</v>
      </c>
      <c r="G380" t="n">
        <v>3</v>
      </c>
      <c r="H380" t="n">
        <v>4</v>
      </c>
      <c r="I380" t="inlineStr">
        <is>
          <t>Non</t>
        </is>
      </c>
    </row>
    <row r="381">
      <c r="A381" s="4" t="n">
        <v>46086</v>
      </c>
      <c r="B381" t="inlineStr">
        <is>
          <t>S5</t>
        </is>
      </c>
      <c r="C381" t="inlineStr">
        <is>
          <t>ATH08</t>
        </is>
      </c>
      <c r="D381" t="n">
        <v>7.4</v>
      </c>
      <c r="E381" t="n">
        <v>5</v>
      </c>
      <c r="F381" t="n">
        <v>3</v>
      </c>
      <c r="G381" t="n">
        <v>3</v>
      </c>
      <c r="H381" t="n">
        <v>5</v>
      </c>
      <c r="I381" t="inlineStr">
        <is>
          <t>Non</t>
        </is>
      </c>
    </row>
    <row r="382">
      <c r="A382" s="4" t="n">
        <v>46086</v>
      </c>
      <c r="B382" t="inlineStr">
        <is>
          <t>S5</t>
        </is>
      </c>
      <c r="C382" t="inlineStr">
        <is>
          <t>ATH09</t>
        </is>
      </c>
      <c r="D382" t="n">
        <v>6.7</v>
      </c>
      <c r="E382" t="n">
        <v>3</v>
      </c>
      <c r="F382" t="n">
        <v>1</v>
      </c>
      <c r="G382" t="n">
        <v>4</v>
      </c>
      <c r="H382" t="n">
        <v>6</v>
      </c>
      <c r="I382" t="inlineStr">
        <is>
          <t>Non</t>
        </is>
      </c>
    </row>
    <row r="383">
      <c r="A383" s="4" t="n">
        <v>46086</v>
      </c>
      <c r="B383" t="inlineStr">
        <is>
          <t>S5</t>
        </is>
      </c>
      <c r="C383" t="inlineStr">
        <is>
          <t>ATH10</t>
        </is>
      </c>
      <c r="D383" t="n">
        <v>7.5</v>
      </c>
      <c r="E383" t="n">
        <v>1</v>
      </c>
      <c r="F383" t="n">
        <v>2</v>
      </c>
      <c r="G383" t="n">
        <v>1</v>
      </c>
      <c r="H383" t="n">
        <v>4</v>
      </c>
      <c r="I383" t="inlineStr">
        <is>
          <t>Non</t>
        </is>
      </c>
    </row>
    <row r="384">
      <c r="A384" s="4" t="n">
        <v>46086</v>
      </c>
      <c r="B384" t="inlineStr">
        <is>
          <t>S5</t>
        </is>
      </c>
      <c r="C384" t="inlineStr">
        <is>
          <t>ATH11</t>
        </is>
      </c>
      <c r="D384" t="n">
        <v>7.9</v>
      </c>
      <c r="E384" t="n">
        <v>5</v>
      </c>
      <c r="F384" t="n">
        <v>4</v>
      </c>
      <c r="G384" t="n">
        <v>4</v>
      </c>
      <c r="H384" t="n">
        <v>6</v>
      </c>
      <c r="I384" t="inlineStr">
        <is>
          <t>Non</t>
        </is>
      </c>
    </row>
    <row r="385">
      <c r="A385" s="4" t="n">
        <v>46086</v>
      </c>
      <c r="B385" t="inlineStr">
        <is>
          <t>S5</t>
        </is>
      </c>
      <c r="C385" t="inlineStr">
        <is>
          <t>ATH12</t>
        </is>
      </c>
      <c r="D385" t="n">
        <v>8.1</v>
      </c>
      <c r="E385" t="n">
        <v>4</v>
      </c>
      <c r="F385" t="n">
        <v>3</v>
      </c>
      <c r="G385" t="n">
        <v>1</v>
      </c>
      <c r="H385" t="n">
        <v>6</v>
      </c>
      <c r="I385" t="inlineStr">
        <is>
          <t>Non</t>
        </is>
      </c>
    </row>
    <row r="386">
      <c r="A386" s="4" t="n">
        <v>46087</v>
      </c>
      <c r="B386" t="inlineStr">
        <is>
          <t>S5</t>
        </is>
      </c>
      <c r="C386" t="inlineStr">
        <is>
          <t>ATH01</t>
        </is>
      </c>
      <c r="D386" t="n">
        <v>8.699999999999999</v>
      </c>
      <c r="E386" t="n">
        <v>3</v>
      </c>
      <c r="F386" t="n">
        <v>1</v>
      </c>
      <c r="G386" t="n">
        <v>1</v>
      </c>
      <c r="H386" t="n">
        <v>6</v>
      </c>
      <c r="I386" t="inlineStr">
        <is>
          <t>Non</t>
        </is>
      </c>
    </row>
    <row r="387">
      <c r="A387" s="4" t="n">
        <v>46087</v>
      </c>
      <c r="B387" t="inlineStr">
        <is>
          <t>S5</t>
        </is>
      </c>
      <c r="C387" t="inlineStr">
        <is>
          <t>ATH02</t>
        </is>
      </c>
      <c r="D387" t="n">
        <v>8.199999999999999</v>
      </c>
      <c r="E387" t="n">
        <v>3</v>
      </c>
      <c r="F387" t="n">
        <v>4</v>
      </c>
      <c r="G387" t="n">
        <v>2</v>
      </c>
      <c r="H387" t="n">
        <v>4</v>
      </c>
      <c r="I387" t="inlineStr">
        <is>
          <t>Non</t>
        </is>
      </c>
    </row>
    <row r="388">
      <c r="A388" s="4" t="n">
        <v>46087</v>
      </c>
      <c r="B388" t="inlineStr">
        <is>
          <t>S5</t>
        </is>
      </c>
      <c r="C388" t="inlineStr">
        <is>
          <t>ATH03</t>
        </is>
      </c>
      <c r="D388" t="n">
        <v>7.2</v>
      </c>
      <c r="E388" t="n">
        <v>3</v>
      </c>
      <c r="F388" t="n">
        <v>3</v>
      </c>
      <c r="G388" t="n">
        <v>1</v>
      </c>
      <c r="H388" t="n">
        <v>6</v>
      </c>
      <c r="I388" t="inlineStr">
        <is>
          <t>Non</t>
        </is>
      </c>
    </row>
    <row r="389">
      <c r="A389" s="4" t="n">
        <v>46087</v>
      </c>
      <c r="B389" t="inlineStr">
        <is>
          <t>S5</t>
        </is>
      </c>
      <c r="C389" t="inlineStr">
        <is>
          <t>ATH04</t>
        </is>
      </c>
      <c r="D389" t="n">
        <v>9.4</v>
      </c>
      <c r="E389" t="n">
        <v>2</v>
      </c>
      <c r="F389" t="n">
        <v>3</v>
      </c>
      <c r="G389" t="n">
        <v>1</v>
      </c>
      <c r="H389" t="n">
        <v>7</v>
      </c>
      <c r="I389" t="inlineStr">
        <is>
          <t>Non</t>
        </is>
      </c>
    </row>
    <row r="390">
      <c r="A390" s="4" t="n">
        <v>46087</v>
      </c>
      <c r="B390" t="inlineStr">
        <is>
          <t>S5</t>
        </is>
      </c>
      <c r="C390" t="inlineStr">
        <is>
          <t>ATH05</t>
        </is>
      </c>
      <c r="D390" t="n">
        <v>7.7</v>
      </c>
      <c r="E390" t="n">
        <v>2</v>
      </c>
      <c r="F390" t="n">
        <v>2</v>
      </c>
      <c r="G390" t="n">
        <v>2</v>
      </c>
      <c r="H390" t="n">
        <v>6</v>
      </c>
      <c r="I390" t="inlineStr">
        <is>
          <t>Non</t>
        </is>
      </c>
    </row>
    <row r="391">
      <c r="A391" s="4" t="n">
        <v>46087</v>
      </c>
      <c r="B391" t="inlineStr">
        <is>
          <t>S5</t>
        </is>
      </c>
      <c r="C391" t="inlineStr">
        <is>
          <t>ATH06</t>
        </is>
      </c>
      <c r="D391" t="n">
        <v>7.1</v>
      </c>
      <c r="E391" t="n">
        <v>2</v>
      </c>
      <c r="F391" t="n">
        <v>4</v>
      </c>
      <c r="G391" t="n">
        <v>2</v>
      </c>
      <c r="H391" t="n">
        <v>7</v>
      </c>
      <c r="I391" t="inlineStr">
        <is>
          <t>Non</t>
        </is>
      </c>
    </row>
    <row r="392">
      <c r="A392" s="4" t="n">
        <v>46087</v>
      </c>
      <c r="B392" t="inlineStr">
        <is>
          <t>S5</t>
        </is>
      </c>
      <c r="C392" t="inlineStr">
        <is>
          <t>ATH07</t>
        </is>
      </c>
      <c r="D392" t="n">
        <v>8</v>
      </c>
      <c r="E392" t="n">
        <v>3</v>
      </c>
      <c r="F392" t="n">
        <v>2</v>
      </c>
      <c r="G392" t="n">
        <v>3</v>
      </c>
      <c r="H392" t="n">
        <v>7</v>
      </c>
      <c r="I392" t="inlineStr">
        <is>
          <t>Non</t>
        </is>
      </c>
    </row>
    <row r="393">
      <c r="A393" s="4" t="n">
        <v>46087</v>
      </c>
      <c r="B393" t="inlineStr">
        <is>
          <t>S5</t>
        </is>
      </c>
      <c r="C393" t="inlineStr">
        <is>
          <t>ATH08</t>
        </is>
      </c>
      <c r="D393" t="n">
        <v>7.6</v>
      </c>
      <c r="E393" t="n">
        <v>2</v>
      </c>
      <c r="F393" t="n">
        <v>3</v>
      </c>
      <c r="G393" t="n">
        <v>2</v>
      </c>
      <c r="H393" t="n">
        <v>7</v>
      </c>
      <c r="I393" t="inlineStr">
        <is>
          <t>Non</t>
        </is>
      </c>
    </row>
    <row r="394">
      <c r="A394" s="4" t="n">
        <v>46087</v>
      </c>
      <c r="B394" t="inlineStr">
        <is>
          <t>S5</t>
        </is>
      </c>
      <c r="C394" t="inlineStr">
        <is>
          <t>ATH09</t>
        </is>
      </c>
      <c r="D394" t="n">
        <v>7.8</v>
      </c>
      <c r="E394" t="n">
        <v>3</v>
      </c>
      <c r="F394" t="n">
        <v>1</v>
      </c>
      <c r="G394" t="n">
        <v>2</v>
      </c>
      <c r="H394" t="n">
        <v>7</v>
      </c>
      <c r="I394" t="inlineStr">
        <is>
          <t>Non</t>
        </is>
      </c>
    </row>
    <row r="395">
      <c r="A395" s="4" t="n">
        <v>46087</v>
      </c>
      <c r="B395" t="inlineStr">
        <is>
          <t>S5</t>
        </is>
      </c>
      <c r="C395" t="inlineStr">
        <is>
          <t>ATH10</t>
        </is>
      </c>
      <c r="D395" t="n">
        <v>8.4</v>
      </c>
      <c r="E395" t="n">
        <v>2</v>
      </c>
      <c r="F395" t="n">
        <v>3</v>
      </c>
      <c r="G395" t="n">
        <v>1</v>
      </c>
      <c r="H395" t="n">
        <v>6</v>
      </c>
      <c r="I395" t="inlineStr">
        <is>
          <t>Non</t>
        </is>
      </c>
    </row>
    <row r="396">
      <c r="A396" s="4" t="n">
        <v>46087</v>
      </c>
      <c r="B396" t="inlineStr">
        <is>
          <t>S5</t>
        </is>
      </c>
      <c r="C396" t="inlineStr">
        <is>
          <t>ATH11</t>
        </is>
      </c>
      <c r="D396" t="n">
        <v>7.5</v>
      </c>
      <c r="E396" t="n">
        <v>2</v>
      </c>
      <c r="F396" t="n">
        <v>1</v>
      </c>
      <c r="G396" t="n">
        <v>2</v>
      </c>
      <c r="H396" t="n">
        <v>7</v>
      </c>
      <c r="I396" t="inlineStr">
        <is>
          <t>Non</t>
        </is>
      </c>
    </row>
    <row r="397">
      <c r="A397" s="4" t="n">
        <v>46087</v>
      </c>
      <c r="B397" t="inlineStr">
        <is>
          <t>S5</t>
        </is>
      </c>
      <c r="C397" t="inlineStr">
        <is>
          <t>ATH12</t>
        </is>
      </c>
      <c r="D397" t="n">
        <v>7.4</v>
      </c>
      <c r="E397" t="n">
        <v>1</v>
      </c>
      <c r="F397" t="n">
        <v>1</v>
      </c>
      <c r="G397" t="n">
        <v>2</v>
      </c>
      <c r="H397" t="n">
        <v>7</v>
      </c>
      <c r="I397" t="inlineStr">
        <is>
          <t>Non</t>
        </is>
      </c>
    </row>
    <row r="398">
      <c r="A398" s="4" t="n">
        <v>46088</v>
      </c>
      <c r="B398" t="inlineStr">
        <is>
          <t>S5</t>
        </is>
      </c>
      <c r="C398" t="inlineStr">
        <is>
          <t>ATH01</t>
        </is>
      </c>
      <c r="D398" t="n">
        <v>5.6</v>
      </c>
      <c r="E398" t="n">
        <v>2</v>
      </c>
      <c r="F398" t="n">
        <v>2</v>
      </c>
      <c r="G398" t="n">
        <v>5</v>
      </c>
      <c r="H398" t="n">
        <v>6</v>
      </c>
      <c r="I398" t="inlineStr">
        <is>
          <t>Non</t>
        </is>
      </c>
    </row>
    <row r="399">
      <c r="A399" s="4" t="n">
        <v>46088</v>
      </c>
      <c r="B399" t="inlineStr">
        <is>
          <t>S5</t>
        </is>
      </c>
      <c r="C399" t="inlineStr">
        <is>
          <t>ATH02</t>
        </is>
      </c>
      <c r="D399" t="n">
        <v>7.8</v>
      </c>
      <c r="E399" t="n">
        <v>3</v>
      </c>
      <c r="F399" t="n">
        <v>1</v>
      </c>
      <c r="G399" t="n">
        <v>4</v>
      </c>
      <c r="H399" t="n">
        <v>7</v>
      </c>
      <c r="I399" t="inlineStr">
        <is>
          <t>Non</t>
        </is>
      </c>
    </row>
    <row r="400">
      <c r="A400" s="4" t="n">
        <v>46088</v>
      </c>
      <c r="B400" t="inlineStr">
        <is>
          <t>S5</t>
        </is>
      </c>
      <c r="C400" t="inlineStr">
        <is>
          <t>ATH03</t>
        </is>
      </c>
      <c r="D400" t="n">
        <v>7.9</v>
      </c>
      <c r="E400" t="n">
        <v>8</v>
      </c>
      <c r="F400" t="n">
        <v>1</v>
      </c>
      <c r="G400" t="n">
        <v>5</v>
      </c>
      <c r="H400" t="n">
        <v>6</v>
      </c>
      <c r="I400" t="inlineStr">
        <is>
          <t>Non</t>
        </is>
      </c>
    </row>
    <row r="401">
      <c r="A401" s="4" t="n">
        <v>46088</v>
      </c>
      <c r="B401" t="inlineStr">
        <is>
          <t>S5</t>
        </is>
      </c>
      <c r="C401" t="inlineStr">
        <is>
          <t>ATH04</t>
        </is>
      </c>
      <c r="D401" t="n">
        <v>7.7</v>
      </c>
      <c r="E401" t="n">
        <v>3</v>
      </c>
      <c r="F401" t="n">
        <v>2</v>
      </c>
      <c r="G401" t="n">
        <v>2</v>
      </c>
      <c r="H401" t="n">
        <v>7</v>
      </c>
      <c r="I401" t="inlineStr">
        <is>
          <t>Non</t>
        </is>
      </c>
    </row>
    <row r="402">
      <c r="A402" s="4" t="n">
        <v>46088</v>
      </c>
      <c r="B402" t="inlineStr">
        <is>
          <t>S5</t>
        </is>
      </c>
      <c r="C402" t="inlineStr">
        <is>
          <t>ATH05</t>
        </is>
      </c>
      <c r="D402" t="n">
        <v>6.9</v>
      </c>
      <c r="E402" t="n">
        <v>2</v>
      </c>
      <c r="F402" t="n">
        <v>4</v>
      </c>
      <c r="G402" t="n">
        <v>2</v>
      </c>
      <c r="H402" t="n">
        <v>8</v>
      </c>
      <c r="I402" t="inlineStr">
        <is>
          <t>Non</t>
        </is>
      </c>
    </row>
    <row r="403">
      <c r="A403" s="4" t="n">
        <v>46088</v>
      </c>
      <c r="B403" t="inlineStr">
        <is>
          <t>S5</t>
        </is>
      </c>
      <c r="C403" t="inlineStr">
        <is>
          <t>ATH06</t>
        </is>
      </c>
      <c r="D403" t="n">
        <v>12.5</v>
      </c>
      <c r="E403" t="n">
        <v>3</v>
      </c>
      <c r="F403" t="n">
        <v>2</v>
      </c>
      <c r="G403" t="n">
        <v>4</v>
      </c>
      <c r="H403" t="n">
        <v>5</v>
      </c>
      <c r="I403" t="inlineStr">
        <is>
          <t>Non</t>
        </is>
      </c>
    </row>
    <row r="404">
      <c r="A404" s="4" t="n">
        <v>46088</v>
      </c>
      <c r="B404" t="inlineStr">
        <is>
          <t>S5</t>
        </is>
      </c>
      <c r="C404" t="inlineStr">
        <is>
          <t>ATH07</t>
        </is>
      </c>
      <c r="D404" t="n">
        <v>7.7</v>
      </c>
      <c r="E404" t="n">
        <v>4</v>
      </c>
      <c r="F404" t="n">
        <v>2</v>
      </c>
      <c r="G404" t="n">
        <v>3</v>
      </c>
      <c r="H404" t="n">
        <v>7</v>
      </c>
      <c r="I404" t="inlineStr">
        <is>
          <t>Non</t>
        </is>
      </c>
    </row>
    <row r="405">
      <c r="A405" s="4" t="n">
        <v>46088</v>
      </c>
      <c r="B405" t="inlineStr">
        <is>
          <t>S5</t>
        </is>
      </c>
      <c r="C405" t="inlineStr">
        <is>
          <t>ATH08</t>
        </is>
      </c>
      <c r="D405" t="n">
        <v>7.6</v>
      </c>
      <c r="E405" t="n">
        <v>2</v>
      </c>
      <c r="F405" t="n">
        <v>1</v>
      </c>
      <c r="G405" t="n">
        <v>4</v>
      </c>
      <c r="H405" t="n">
        <v>7</v>
      </c>
      <c r="I405" t="inlineStr">
        <is>
          <t>Non</t>
        </is>
      </c>
    </row>
    <row r="406">
      <c r="A406" s="4" t="n">
        <v>46088</v>
      </c>
      <c r="B406" t="inlineStr">
        <is>
          <t>S5</t>
        </is>
      </c>
      <c r="C406" t="inlineStr">
        <is>
          <t>ATH09</t>
        </is>
      </c>
      <c r="D406" t="n">
        <v>8</v>
      </c>
      <c r="E406" t="n">
        <v>1</v>
      </c>
      <c r="F406" t="n">
        <v>1</v>
      </c>
      <c r="G406" t="n">
        <v>4</v>
      </c>
      <c r="H406" t="n">
        <v>7</v>
      </c>
      <c r="I406" t="inlineStr">
        <is>
          <t>Non</t>
        </is>
      </c>
    </row>
    <row r="407">
      <c r="A407" s="4" t="n">
        <v>46088</v>
      </c>
      <c r="B407" t="inlineStr">
        <is>
          <t>S5</t>
        </is>
      </c>
      <c r="C407" t="inlineStr">
        <is>
          <t>ATH10</t>
        </is>
      </c>
      <c r="D407" t="n">
        <v>7.9</v>
      </c>
      <c r="E407" t="n">
        <v>2</v>
      </c>
      <c r="F407" t="n">
        <v>1</v>
      </c>
      <c r="G407" t="n">
        <v>4</v>
      </c>
      <c r="H407" t="n">
        <v>8</v>
      </c>
      <c r="I407" t="inlineStr">
        <is>
          <t>Non</t>
        </is>
      </c>
    </row>
    <row r="408">
      <c r="A408" s="4" t="n">
        <v>46088</v>
      </c>
      <c r="B408" t="inlineStr">
        <is>
          <t>S5</t>
        </is>
      </c>
      <c r="C408" t="inlineStr">
        <is>
          <t>ATH11</t>
        </is>
      </c>
      <c r="D408" t="n">
        <v>6.7</v>
      </c>
      <c r="E408" t="n">
        <v>1</v>
      </c>
      <c r="F408" t="n">
        <v>2</v>
      </c>
      <c r="G408" t="n">
        <v>2</v>
      </c>
      <c r="H408" t="n">
        <v>6</v>
      </c>
      <c r="I408" t="inlineStr">
        <is>
          <t>Non</t>
        </is>
      </c>
    </row>
    <row r="409">
      <c r="A409" s="4" t="n">
        <v>46088</v>
      </c>
      <c r="B409" t="inlineStr">
        <is>
          <t>S5</t>
        </is>
      </c>
      <c r="C409" t="inlineStr">
        <is>
          <t>ATH12</t>
        </is>
      </c>
      <c r="D409" t="n">
        <v>6.6</v>
      </c>
      <c r="E409" t="n">
        <v>2</v>
      </c>
      <c r="F409" t="n">
        <v>1</v>
      </c>
      <c r="G409" t="n">
        <v>2</v>
      </c>
      <c r="H409" t="n">
        <v>7</v>
      </c>
      <c r="I409" t="inlineStr">
        <is>
          <t>Non</t>
        </is>
      </c>
    </row>
    <row r="410">
      <c r="A410" s="4" t="n">
        <v>46089</v>
      </c>
      <c r="B410" t="inlineStr">
        <is>
          <t>S5</t>
        </is>
      </c>
      <c r="C410" t="inlineStr">
        <is>
          <t>ATH01</t>
        </is>
      </c>
      <c r="D410" t="n">
        <v>7.5</v>
      </c>
      <c r="E410" t="n">
        <v>4</v>
      </c>
      <c r="F410" t="n">
        <v>1</v>
      </c>
      <c r="G410" t="n">
        <v>3</v>
      </c>
      <c r="H410" t="n">
        <v>9</v>
      </c>
      <c r="I410" t="inlineStr">
        <is>
          <t>Non</t>
        </is>
      </c>
    </row>
    <row r="411">
      <c r="A411" s="4" t="n">
        <v>46089</v>
      </c>
      <c r="B411" t="inlineStr">
        <is>
          <t>S5</t>
        </is>
      </c>
      <c r="C411" t="inlineStr">
        <is>
          <t>ATH02</t>
        </is>
      </c>
      <c r="D411" t="n">
        <v>7.2</v>
      </c>
      <c r="E411" t="n">
        <v>4</v>
      </c>
      <c r="F411" t="n">
        <v>4</v>
      </c>
      <c r="G411" t="n">
        <v>4</v>
      </c>
      <c r="H411" t="n">
        <v>7</v>
      </c>
      <c r="I411" t="inlineStr">
        <is>
          <t>Non</t>
        </is>
      </c>
    </row>
    <row r="412">
      <c r="A412" s="4" t="n">
        <v>46089</v>
      </c>
      <c r="B412" t="inlineStr">
        <is>
          <t>S5</t>
        </is>
      </c>
      <c r="C412" t="inlineStr">
        <is>
          <t>ATH03</t>
        </is>
      </c>
      <c r="D412" t="n">
        <v>7.9</v>
      </c>
      <c r="E412" t="n">
        <v>4</v>
      </c>
      <c r="F412" t="n">
        <v>3</v>
      </c>
      <c r="G412" t="n">
        <v>2</v>
      </c>
      <c r="H412" t="n">
        <v>5</v>
      </c>
      <c r="I412" t="inlineStr">
        <is>
          <t>Non</t>
        </is>
      </c>
    </row>
    <row r="413">
      <c r="A413" s="4" t="n">
        <v>46089</v>
      </c>
      <c r="B413" t="inlineStr">
        <is>
          <t>S5</t>
        </is>
      </c>
      <c r="C413" t="inlineStr">
        <is>
          <t>ATH04</t>
        </is>
      </c>
      <c r="D413" t="n">
        <v>6.4</v>
      </c>
      <c r="E413" t="n">
        <v>3</v>
      </c>
      <c r="F413" t="n">
        <v>3</v>
      </c>
      <c r="G413" t="n">
        <v>2</v>
      </c>
      <c r="H413" t="n">
        <v>8</v>
      </c>
      <c r="I413" t="inlineStr">
        <is>
          <t>Oui</t>
        </is>
      </c>
    </row>
    <row r="414">
      <c r="A414" s="4" t="n">
        <v>46089</v>
      </c>
      <c r="B414" t="inlineStr">
        <is>
          <t>S5</t>
        </is>
      </c>
      <c r="C414" t="inlineStr">
        <is>
          <t>ATH05</t>
        </is>
      </c>
      <c r="D414" t="n">
        <v>7.1</v>
      </c>
      <c r="E414" t="n">
        <v>2</v>
      </c>
      <c r="F414" t="n">
        <v>4</v>
      </c>
      <c r="G414" t="n">
        <v>3</v>
      </c>
      <c r="H414" t="n">
        <v>7</v>
      </c>
      <c r="I414" t="inlineStr">
        <is>
          <t>Non</t>
        </is>
      </c>
    </row>
    <row r="415">
      <c r="A415" s="4" t="n">
        <v>46089</v>
      </c>
      <c r="B415" t="inlineStr">
        <is>
          <t>S5</t>
        </is>
      </c>
      <c r="C415" t="inlineStr">
        <is>
          <t>ATH06</t>
        </is>
      </c>
      <c r="D415" t="n">
        <v>7.1</v>
      </c>
      <c r="E415" t="n">
        <v>1</v>
      </c>
      <c r="F415" t="n">
        <v>3</v>
      </c>
      <c r="G415" t="n">
        <v>1</v>
      </c>
      <c r="H415" t="n">
        <v>6</v>
      </c>
      <c r="I415" t="inlineStr">
        <is>
          <t>Non</t>
        </is>
      </c>
    </row>
    <row r="416">
      <c r="A416" s="4" t="n">
        <v>46089</v>
      </c>
      <c r="B416" t="inlineStr">
        <is>
          <t>S5</t>
        </is>
      </c>
      <c r="C416" t="inlineStr">
        <is>
          <t>ATH07</t>
        </is>
      </c>
      <c r="D416" t="n">
        <v>6.2</v>
      </c>
      <c r="E416" t="n">
        <v>6</v>
      </c>
      <c r="F416" t="n">
        <v>4</v>
      </c>
      <c r="G416" t="n">
        <v>3</v>
      </c>
      <c r="H416" t="n">
        <v>7</v>
      </c>
      <c r="I416" t="inlineStr">
        <is>
          <t>Non</t>
        </is>
      </c>
    </row>
    <row r="417">
      <c r="A417" s="4" t="n">
        <v>46089</v>
      </c>
      <c r="B417" t="inlineStr">
        <is>
          <t>S5</t>
        </is>
      </c>
      <c r="C417" t="inlineStr">
        <is>
          <t>ATH08</t>
        </is>
      </c>
      <c r="D417" t="n">
        <v>6.9</v>
      </c>
      <c r="E417" t="n">
        <v>4</v>
      </c>
      <c r="F417" t="n">
        <v>3</v>
      </c>
      <c r="G417" t="n">
        <v>3</v>
      </c>
      <c r="H417" t="n">
        <v>8</v>
      </c>
      <c r="I417" t="inlineStr">
        <is>
          <t>Non</t>
        </is>
      </c>
    </row>
    <row r="418">
      <c r="A418" s="4" t="n">
        <v>46089</v>
      </c>
      <c r="B418" t="inlineStr">
        <is>
          <t>S5</t>
        </is>
      </c>
      <c r="C418" t="inlineStr">
        <is>
          <t>ATH09</t>
        </is>
      </c>
      <c r="D418" t="n">
        <v>8</v>
      </c>
      <c r="E418" t="n">
        <v>3</v>
      </c>
      <c r="F418" t="n">
        <v>1</v>
      </c>
      <c r="G418" t="n">
        <v>2</v>
      </c>
      <c r="H418" t="n">
        <v>6</v>
      </c>
      <c r="I418" t="inlineStr">
        <is>
          <t>Non</t>
        </is>
      </c>
    </row>
    <row r="419">
      <c r="A419" s="4" t="n">
        <v>46089</v>
      </c>
      <c r="B419" t="inlineStr">
        <is>
          <t>S5</t>
        </is>
      </c>
      <c r="C419" t="inlineStr">
        <is>
          <t>ATH10</t>
        </is>
      </c>
      <c r="D419" t="n">
        <v>7.6</v>
      </c>
      <c r="E419" t="n">
        <v>2</v>
      </c>
      <c r="F419" t="n">
        <v>6</v>
      </c>
      <c r="G419" t="n">
        <v>5</v>
      </c>
      <c r="H419" t="n">
        <v>7</v>
      </c>
      <c r="I419" t="inlineStr">
        <is>
          <t>Non</t>
        </is>
      </c>
    </row>
    <row r="420">
      <c r="A420" s="4" t="n">
        <v>46089</v>
      </c>
      <c r="B420" t="inlineStr">
        <is>
          <t>S5</t>
        </is>
      </c>
      <c r="C420" t="inlineStr">
        <is>
          <t>ATH11</t>
        </is>
      </c>
      <c r="D420" t="n">
        <v>7.6</v>
      </c>
      <c r="E420" t="n">
        <v>3</v>
      </c>
      <c r="F420" t="n">
        <v>1</v>
      </c>
      <c r="G420" t="n">
        <v>3</v>
      </c>
      <c r="H420" t="n">
        <v>7</v>
      </c>
      <c r="I420" t="inlineStr">
        <is>
          <t>Non</t>
        </is>
      </c>
    </row>
    <row r="421">
      <c r="A421" s="4" t="n">
        <v>46089</v>
      </c>
      <c r="B421" t="inlineStr">
        <is>
          <t>S5</t>
        </is>
      </c>
      <c r="C421" t="inlineStr">
        <is>
          <t>ATH12</t>
        </is>
      </c>
      <c r="D421" t="n">
        <v>6.6</v>
      </c>
      <c r="E421" t="n">
        <v>3</v>
      </c>
      <c r="F421" t="n">
        <v>2</v>
      </c>
      <c r="G421" t="n">
        <v>1</v>
      </c>
      <c r="H421" t="n">
        <v>6</v>
      </c>
      <c r="I421" t="inlineStr">
        <is>
          <t>Non</t>
        </is>
      </c>
    </row>
    <row r="422">
      <c r="A422" s="4" t="n">
        <v>46090</v>
      </c>
      <c r="B422" t="inlineStr">
        <is>
          <t>S6</t>
        </is>
      </c>
      <c r="C422" t="inlineStr">
        <is>
          <t>ATH01</t>
        </is>
      </c>
      <c r="D422" t="n">
        <v>7.2</v>
      </c>
      <c r="E422" t="n">
        <v>5</v>
      </c>
      <c r="F422" t="n">
        <v>3</v>
      </c>
      <c r="G422" t="n">
        <v>1</v>
      </c>
      <c r="H422" t="n">
        <v>7</v>
      </c>
      <c r="I422" t="inlineStr">
        <is>
          <t>Non</t>
        </is>
      </c>
    </row>
    <row r="423">
      <c r="A423" s="4" t="n">
        <v>46090</v>
      </c>
      <c r="B423" t="inlineStr">
        <is>
          <t>S6</t>
        </is>
      </c>
      <c r="C423" t="inlineStr">
        <is>
          <t>ATH02</t>
        </is>
      </c>
      <c r="D423" t="n">
        <v>6.4</v>
      </c>
      <c r="E423" t="n">
        <v>4</v>
      </c>
      <c r="F423" t="n">
        <v>2</v>
      </c>
      <c r="G423" t="n">
        <v>3</v>
      </c>
      <c r="H423" t="n">
        <v>8</v>
      </c>
      <c r="I423" t="inlineStr">
        <is>
          <t>Non</t>
        </is>
      </c>
    </row>
    <row r="424">
      <c r="A424" s="4" t="n">
        <v>46090</v>
      </c>
      <c r="B424" t="inlineStr">
        <is>
          <t>S6</t>
        </is>
      </c>
      <c r="C424" t="inlineStr">
        <is>
          <t>ATH03</t>
        </is>
      </c>
      <c r="D424" t="n">
        <v>6.6</v>
      </c>
      <c r="E424" t="n">
        <v>1</v>
      </c>
      <c r="F424" t="n">
        <v>2</v>
      </c>
      <c r="G424" t="n">
        <v>4</v>
      </c>
      <c r="H424" t="n">
        <v>5</v>
      </c>
      <c r="I424" t="inlineStr">
        <is>
          <t>Non</t>
        </is>
      </c>
    </row>
    <row r="425">
      <c r="A425" s="4" t="n">
        <v>46090</v>
      </c>
      <c r="B425" t="inlineStr">
        <is>
          <t>S6</t>
        </is>
      </c>
      <c r="C425" t="inlineStr">
        <is>
          <t>ATH04</t>
        </is>
      </c>
      <c r="D425" t="n">
        <v>5.5</v>
      </c>
      <c r="E425" t="n">
        <v>2</v>
      </c>
      <c r="F425" t="n">
        <v>3</v>
      </c>
      <c r="G425" t="n">
        <v>5</v>
      </c>
      <c r="H425" t="n">
        <v>6</v>
      </c>
      <c r="I425" t="inlineStr">
        <is>
          <t>Non</t>
        </is>
      </c>
    </row>
    <row r="426">
      <c r="A426" s="4" t="n">
        <v>46090</v>
      </c>
      <c r="B426" t="inlineStr">
        <is>
          <t>S6</t>
        </is>
      </c>
      <c r="C426" t="inlineStr">
        <is>
          <t>ATH05</t>
        </is>
      </c>
      <c r="D426" t="n">
        <v>7.2</v>
      </c>
      <c r="E426" t="n">
        <v>4</v>
      </c>
      <c r="F426" t="n">
        <v>1</v>
      </c>
      <c r="G426" t="n">
        <v>2</v>
      </c>
      <c r="H426" t="n">
        <v>7</v>
      </c>
      <c r="I426" t="inlineStr">
        <is>
          <t>Non</t>
        </is>
      </c>
    </row>
    <row r="427">
      <c r="A427" s="4" t="n">
        <v>46090</v>
      </c>
      <c r="B427" t="inlineStr">
        <is>
          <t>S6</t>
        </is>
      </c>
      <c r="C427" t="inlineStr">
        <is>
          <t>ATH06</t>
        </is>
      </c>
      <c r="D427" t="n">
        <v>7.8</v>
      </c>
      <c r="E427" t="n">
        <v>2</v>
      </c>
      <c r="F427" t="n">
        <v>3</v>
      </c>
      <c r="G427" t="n">
        <v>1</v>
      </c>
      <c r="H427" t="n">
        <v>6</v>
      </c>
      <c r="I427" t="inlineStr">
        <is>
          <t>Non</t>
        </is>
      </c>
    </row>
    <row r="428">
      <c r="A428" s="4" t="n">
        <v>46090</v>
      </c>
      <c r="B428" t="inlineStr">
        <is>
          <t>S6</t>
        </is>
      </c>
      <c r="C428" t="inlineStr">
        <is>
          <t>ATH07</t>
        </is>
      </c>
      <c r="D428" t="n">
        <v>7.8</v>
      </c>
      <c r="E428" t="n">
        <v>2</v>
      </c>
      <c r="F428" t="n">
        <v>3</v>
      </c>
      <c r="G428" t="n">
        <v>4</v>
      </c>
      <c r="H428" t="n">
        <v>6</v>
      </c>
      <c r="I428" t="inlineStr">
        <is>
          <t>Non</t>
        </is>
      </c>
    </row>
    <row r="429">
      <c r="A429" s="4" t="n">
        <v>46090</v>
      </c>
      <c r="B429" t="inlineStr">
        <is>
          <t>S6</t>
        </is>
      </c>
      <c r="C429" t="inlineStr">
        <is>
          <t>ATH08</t>
        </is>
      </c>
      <c r="D429" t="n">
        <v>7.6</v>
      </c>
      <c r="E429" t="n">
        <v>2</v>
      </c>
      <c r="F429" t="n">
        <v>2</v>
      </c>
      <c r="G429" t="n">
        <v>4</v>
      </c>
      <c r="H429" t="n">
        <v>7</v>
      </c>
      <c r="I429" t="inlineStr">
        <is>
          <t>Non</t>
        </is>
      </c>
    </row>
    <row r="430">
      <c r="A430" s="4" t="n">
        <v>46090</v>
      </c>
      <c r="B430" t="inlineStr">
        <is>
          <t>S6</t>
        </is>
      </c>
      <c r="C430" t="inlineStr">
        <is>
          <t>ATH09</t>
        </is>
      </c>
      <c r="D430" t="n">
        <v>7.1</v>
      </c>
      <c r="E430" t="n">
        <v>3</v>
      </c>
      <c r="F430" t="n">
        <v>4</v>
      </c>
      <c r="G430" t="n">
        <v>1</v>
      </c>
      <c r="H430" t="n">
        <v>8</v>
      </c>
      <c r="I430" t="inlineStr">
        <is>
          <t>Non</t>
        </is>
      </c>
    </row>
    <row r="431">
      <c r="A431" s="4" t="n">
        <v>46090</v>
      </c>
      <c r="B431" t="inlineStr">
        <is>
          <t>S6</t>
        </is>
      </c>
      <c r="C431" t="inlineStr">
        <is>
          <t>ATH10</t>
        </is>
      </c>
      <c r="D431" t="n">
        <v>7.3</v>
      </c>
      <c r="E431" t="n">
        <v>4</v>
      </c>
      <c r="F431" t="n">
        <v>4</v>
      </c>
      <c r="G431" t="n">
        <v>1</v>
      </c>
      <c r="H431" t="n">
        <v>6</v>
      </c>
      <c r="I431" t="inlineStr">
        <is>
          <t>Non</t>
        </is>
      </c>
    </row>
    <row r="432">
      <c r="A432" s="4" t="n">
        <v>46090</v>
      </c>
      <c r="B432" t="inlineStr">
        <is>
          <t>S6</t>
        </is>
      </c>
      <c r="C432" t="inlineStr">
        <is>
          <t>ATH11</t>
        </is>
      </c>
      <c r="D432" t="n">
        <v>7.3</v>
      </c>
      <c r="E432" t="n">
        <v>2</v>
      </c>
      <c r="F432" t="n">
        <v>5</v>
      </c>
      <c r="G432" t="n">
        <v>2</v>
      </c>
      <c r="H432" t="n">
        <v>6</v>
      </c>
      <c r="I432" t="inlineStr">
        <is>
          <t>Non</t>
        </is>
      </c>
    </row>
    <row r="433">
      <c r="A433" s="4" t="n">
        <v>46090</v>
      </c>
      <c r="B433" t="inlineStr">
        <is>
          <t>S6</t>
        </is>
      </c>
      <c r="C433" t="inlineStr">
        <is>
          <t>ATH12</t>
        </is>
      </c>
      <c r="D433" t="n">
        <v>7.6</v>
      </c>
      <c r="E433" t="n">
        <v>2</v>
      </c>
      <c r="F433" t="n">
        <v>2</v>
      </c>
      <c r="G433" t="n">
        <v>3</v>
      </c>
      <c r="H433" t="n">
        <v>6</v>
      </c>
      <c r="I433" t="inlineStr">
        <is>
          <t>Non</t>
        </is>
      </c>
    </row>
    <row r="434">
      <c r="A434" s="4" t="n">
        <v>46091</v>
      </c>
      <c r="B434" t="inlineStr">
        <is>
          <t>S6</t>
        </is>
      </c>
      <c r="C434" t="inlineStr">
        <is>
          <t>ATH01</t>
        </is>
      </c>
      <c r="D434" t="n">
        <v>7.4</v>
      </c>
      <c r="E434" t="n">
        <v>2</v>
      </c>
      <c r="F434" t="n">
        <v>1</v>
      </c>
      <c r="G434" t="n">
        <v>3</v>
      </c>
      <c r="H434" t="n">
        <v>8</v>
      </c>
      <c r="I434" t="inlineStr">
        <is>
          <t>Non</t>
        </is>
      </c>
    </row>
    <row r="435">
      <c r="A435" s="4" t="n">
        <v>46091</v>
      </c>
      <c r="B435" t="inlineStr">
        <is>
          <t>S6</t>
        </is>
      </c>
      <c r="C435" t="inlineStr">
        <is>
          <t>ATH02</t>
        </is>
      </c>
      <c r="D435" t="n">
        <v>7.5</v>
      </c>
      <c r="E435" t="n">
        <v>3</v>
      </c>
      <c r="F435" t="n">
        <v>3</v>
      </c>
      <c r="G435" t="n">
        <v>1</v>
      </c>
      <c r="H435" t="n">
        <v>8</v>
      </c>
      <c r="I435" t="inlineStr">
        <is>
          <t>Non</t>
        </is>
      </c>
    </row>
    <row r="436">
      <c r="A436" s="4" t="n">
        <v>46091</v>
      </c>
      <c r="B436" t="inlineStr">
        <is>
          <t>S6</t>
        </is>
      </c>
      <c r="C436" t="inlineStr">
        <is>
          <t>ATH03</t>
        </is>
      </c>
      <c r="D436" t="n">
        <v>7.6</v>
      </c>
      <c r="E436" t="n">
        <v>5</v>
      </c>
      <c r="F436" t="n">
        <v>1</v>
      </c>
      <c r="G436" t="n">
        <v>5</v>
      </c>
      <c r="H436" t="n">
        <v>7</v>
      </c>
      <c r="I436" t="inlineStr">
        <is>
          <t>Non</t>
        </is>
      </c>
    </row>
    <row r="437">
      <c r="A437" s="4" t="n">
        <v>46091</v>
      </c>
      <c r="B437" t="inlineStr">
        <is>
          <t>S6</t>
        </is>
      </c>
      <c r="C437" t="inlineStr">
        <is>
          <t>ATH04</t>
        </is>
      </c>
      <c r="D437" t="n">
        <v>7.9</v>
      </c>
      <c r="E437" t="n">
        <v>3</v>
      </c>
      <c r="F437" t="n">
        <v>2</v>
      </c>
      <c r="G437" t="n">
        <v>5</v>
      </c>
      <c r="H437" t="n">
        <v>7</v>
      </c>
      <c r="I437" t="inlineStr">
        <is>
          <t>Non</t>
        </is>
      </c>
    </row>
    <row r="438">
      <c r="A438" s="4" t="n">
        <v>46091</v>
      </c>
      <c r="B438" t="inlineStr">
        <is>
          <t>S6</t>
        </is>
      </c>
      <c r="C438" t="inlineStr">
        <is>
          <t>ATH05</t>
        </is>
      </c>
      <c r="D438" t="n">
        <v>6.1</v>
      </c>
      <c r="E438" t="n">
        <v>2</v>
      </c>
      <c r="F438" t="n">
        <v>2</v>
      </c>
      <c r="G438" t="n">
        <v>3</v>
      </c>
      <c r="H438" t="n">
        <v>6</v>
      </c>
      <c r="I438" t="inlineStr">
        <is>
          <t>Non</t>
        </is>
      </c>
    </row>
    <row r="439">
      <c r="A439" s="4" t="n">
        <v>46091</v>
      </c>
      <c r="B439" t="inlineStr">
        <is>
          <t>S6</t>
        </is>
      </c>
      <c r="C439" t="inlineStr">
        <is>
          <t>ATH06</t>
        </is>
      </c>
      <c r="D439" t="n">
        <v>8.4</v>
      </c>
      <c r="E439" t="n">
        <v>1</v>
      </c>
      <c r="F439" t="n">
        <v>3</v>
      </c>
      <c r="G439" t="n">
        <v>1</v>
      </c>
      <c r="H439" t="n">
        <v>7</v>
      </c>
      <c r="I439" t="inlineStr">
        <is>
          <t>Non</t>
        </is>
      </c>
    </row>
    <row r="440">
      <c r="A440" s="4" t="n">
        <v>46091</v>
      </c>
      <c r="B440" t="inlineStr">
        <is>
          <t>S6</t>
        </is>
      </c>
      <c r="C440" t="inlineStr">
        <is>
          <t>ATH07</t>
        </is>
      </c>
      <c r="D440" t="n">
        <v>7.4</v>
      </c>
      <c r="E440" t="n">
        <v>4</v>
      </c>
      <c r="F440" t="n">
        <v>1</v>
      </c>
      <c r="G440" t="n">
        <v>5</v>
      </c>
      <c r="H440" t="n">
        <v>8</v>
      </c>
      <c r="I440" t="inlineStr">
        <is>
          <t>Non</t>
        </is>
      </c>
    </row>
    <row r="441">
      <c r="A441" s="4" t="n">
        <v>46091</v>
      </c>
      <c r="B441" t="inlineStr">
        <is>
          <t>S6</t>
        </is>
      </c>
      <c r="C441" t="inlineStr">
        <is>
          <t>ATH08</t>
        </is>
      </c>
      <c r="D441" t="n">
        <v>7.9</v>
      </c>
      <c r="E441" t="n">
        <v>3</v>
      </c>
      <c r="F441" t="n">
        <v>3</v>
      </c>
      <c r="G441" t="n">
        <v>2</v>
      </c>
      <c r="H441" t="n">
        <v>7</v>
      </c>
      <c r="I441" t="inlineStr">
        <is>
          <t>Non</t>
        </is>
      </c>
    </row>
    <row r="442">
      <c r="A442" s="4" t="n">
        <v>46091</v>
      </c>
      <c r="B442" t="inlineStr">
        <is>
          <t>S6</t>
        </is>
      </c>
      <c r="C442" t="inlineStr">
        <is>
          <t>ATH09</t>
        </is>
      </c>
      <c r="D442" t="n">
        <v>8.699999999999999</v>
      </c>
      <c r="E442" t="n">
        <v>4</v>
      </c>
      <c r="F442" t="n">
        <v>1</v>
      </c>
      <c r="G442" t="n">
        <v>3</v>
      </c>
      <c r="H442" t="n">
        <v>5</v>
      </c>
      <c r="I442" t="inlineStr">
        <is>
          <t>Non</t>
        </is>
      </c>
    </row>
    <row r="443">
      <c r="A443" s="4" t="n">
        <v>46091</v>
      </c>
      <c r="B443" t="inlineStr">
        <is>
          <t>S6</t>
        </is>
      </c>
      <c r="C443" t="inlineStr">
        <is>
          <t>ATH10</t>
        </is>
      </c>
      <c r="D443" t="n">
        <v>7.9</v>
      </c>
      <c r="E443" t="n">
        <v>4</v>
      </c>
      <c r="F443" t="n">
        <v>1</v>
      </c>
      <c r="G443" t="n">
        <v>1</v>
      </c>
      <c r="H443" t="n">
        <v>6</v>
      </c>
      <c r="I443" t="inlineStr">
        <is>
          <t>Non</t>
        </is>
      </c>
    </row>
    <row r="444">
      <c r="A444" s="4" t="n">
        <v>46091</v>
      </c>
      <c r="B444" t="inlineStr">
        <is>
          <t>S6</t>
        </is>
      </c>
      <c r="C444" t="inlineStr">
        <is>
          <t>ATH11</t>
        </is>
      </c>
      <c r="D444" t="n">
        <v>7.3</v>
      </c>
      <c r="E444" t="n">
        <v>2</v>
      </c>
      <c r="F444" t="n">
        <v>3</v>
      </c>
      <c r="G444" t="n">
        <v>3</v>
      </c>
      <c r="H444" t="n">
        <v>6</v>
      </c>
      <c r="I444" t="inlineStr">
        <is>
          <t>Non</t>
        </is>
      </c>
    </row>
    <row r="445">
      <c r="A445" s="4" t="n">
        <v>46091</v>
      </c>
      <c r="B445" t="inlineStr">
        <is>
          <t>S6</t>
        </is>
      </c>
      <c r="C445" t="inlineStr">
        <is>
          <t>ATH12</t>
        </is>
      </c>
      <c r="D445" t="n">
        <v>7</v>
      </c>
      <c r="E445" t="n">
        <v>4</v>
      </c>
      <c r="F445" t="n">
        <v>5</v>
      </c>
      <c r="G445" t="n">
        <v>2</v>
      </c>
      <c r="H445" t="n">
        <v>6</v>
      </c>
      <c r="I445" t="inlineStr">
        <is>
          <t>Non</t>
        </is>
      </c>
    </row>
    <row r="446">
      <c r="A446" s="4" t="n">
        <v>46092</v>
      </c>
      <c r="B446" t="inlineStr">
        <is>
          <t>S6</t>
        </is>
      </c>
      <c r="C446" t="inlineStr">
        <is>
          <t>ATH01</t>
        </is>
      </c>
      <c r="D446" t="n">
        <v>7.8</v>
      </c>
      <c r="E446" t="n">
        <v>3</v>
      </c>
      <c r="F446" t="n">
        <v>2</v>
      </c>
      <c r="G446" t="n">
        <v>4</v>
      </c>
      <c r="H446" t="n">
        <v>4</v>
      </c>
      <c r="I446" t="inlineStr">
        <is>
          <t>Non</t>
        </is>
      </c>
    </row>
    <row r="447">
      <c r="A447" s="4" t="n">
        <v>46092</v>
      </c>
      <c r="B447" t="inlineStr">
        <is>
          <t>S6</t>
        </is>
      </c>
      <c r="C447" t="inlineStr">
        <is>
          <t>ATH02</t>
        </is>
      </c>
      <c r="D447" t="n">
        <v>8.4</v>
      </c>
      <c r="E447" t="n">
        <v>3</v>
      </c>
      <c r="F447" t="n">
        <v>2</v>
      </c>
      <c r="G447" t="n">
        <v>3</v>
      </c>
      <c r="H447" t="n">
        <v>6</v>
      </c>
      <c r="I447" t="inlineStr">
        <is>
          <t>Non</t>
        </is>
      </c>
    </row>
    <row r="448">
      <c r="A448" s="4" t="n">
        <v>46092</v>
      </c>
      <c r="B448" t="inlineStr">
        <is>
          <t>S6</t>
        </is>
      </c>
      <c r="C448" t="inlineStr">
        <is>
          <t>ATH03</t>
        </is>
      </c>
      <c r="D448" t="n">
        <v>6.3</v>
      </c>
      <c r="E448" t="n">
        <v>5</v>
      </c>
      <c r="F448" t="n">
        <v>3</v>
      </c>
      <c r="G448" t="n">
        <v>4</v>
      </c>
      <c r="H448" t="n">
        <v>8</v>
      </c>
      <c r="I448" t="inlineStr">
        <is>
          <t>Non</t>
        </is>
      </c>
    </row>
    <row r="449">
      <c r="A449" s="4" t="n">
        <v>46092</v>
      </c>
      <c r="B449" t="inlineStr">
        <is>
          <t>S6</t>
        </is>
      </c>
      <c r="C449" t="inlineStr">
        <is>
          <t>ATH04</t>
        </is>
      </c>
      <c r="D449" t="n">
        <v>6.8</v>
      </c>
      <c r="E449" t="n">
        <v>4</v>
      </c>
      <c r="F449" t="n">
        <v>2</v>
      </c>
      <c r="G449" t="n">
        <v>4</v>
      </c>
      <c r="H449" t="n">
        <v>4</v>
      </c>
      <c r="I449" t="inlineStr">
        <is>
          <t>Non</t>
        </is>
      </c>
    </row>
    <row r="450">
      <c r="A450" s="4" t="n">
        <v>46092</v>
      </c>
      <c r="B450" t="inlineStr">
        <is>
          <t>S6</t>
        </is>
      </c>
      <c r="C450" t="inlineStr">
        <is>
          <t>ATH05</t>
        </is>
      </c>
      <c r="D450" t="n">
        <v>7.4</v>
      </c>
      <c r="E450" t="n">
        <v>2</v>
      </c>
      <c r="F450" t="n">
        <v>3</v>
      </c>
      <c r="G450" t="n">
        <v>4</v>
      </c>
      <c r="H450" t="n">
        <v>6</v>
      </c>
      <c r="I450" t="inlineStr">
        <is>
          <t>Non</t>
        </is>
      </c>
    </row>
    <row r="451">
      <c r="A451" s="4" t="n">
        <v>46092</v>
      </c>
      <c r="B451" t="inlineStr">
        <is>
          <t>S6</t>
        </is>
      </c>
      <c r="C451" t="inlineStr">
        <is>
          <t>ATH06</t>
        </is>
      </c>
      <c r="D451" t="n">
        <v>7</v>
      </c>
      <c r="E451" t="n">
        <v>3</v>
      </c>
      <c r="F451" t="n">
        <v>1</v>
      </c>
      <c r="G451" t="n">
        <v>4</v>
      </c>
      <c r="H451" t="n">
        <v>6</v>
      </c>
      <c r="I451" t="inlineStr">
        <is>
          <t>Non</t>
        </is>
      </c>
    </row>
    <row r="452">
      <c r="A452" s="4" t="n">
        <v>46092</v>
      </c>
      <c r="B452" t="inlineStr">
        <is>
          <t>S6</t>
        </is>
      </c>
      <c r="C452" t="inlineStr">
        <is>
          <t>ATH07</t>
        </is>
      </c>
      <c r="D452" t="n">
        <v>5.5</v>
      </c>
      <c r="E452" t="n">
        <v>3</v>
      </c>
      <c r="F452" t="n">
        <v>1</v>
      </c>
      <c r="G452" t="n">
        <v>1</v>
      </c>
      <c r="H452" t="n">
        <v>5</v>
      </c>
      <c r="I452" t="inlineStr">
        <is>
          <t>Non</t>
        </is>
      </c>
    </row>
    <row r="453">
      <c r="A453" s="4" t="n">
        <v>46092</v>
      </c>
      <c r="B453" t="inlineStr">
        <is>
          <t>S6</t>
        </is>
      </c>
      <c r="C453" t="inlineStr">
        <is>
          <t>ATH08</t>
        </is>
      </c>
      <c r="D453" t="n">
        <v>7.6</v>
      </c>
      <c r="E453" t="n">
        <v>5</v>
      </c>
      <c r="F453" t="n">
        <v>3</v>
      </c>
      <c r="G453" t="n">
        <v>2</v>
      </c>
      <c r="H453" t="n">
        <v>7</v>
      </c>
      <c r="I453" t="inlineStr">
        <is>
          <t>Non</t>
        </is>
      </c>
    </row>
    <row r="454">
      <c r="A454" s="4" t="n">
        <v>46092</v>
      </c>
      <c r="B454" t="inlineStr">
        <is>
          <t>S6</t>
        </is>
      </c>
      <c r="C454" t="inlineStr">
        <is>
          <t>ATH09</t>
        </is>
      </c>
      <c r="D454" t="n">
        <v>7.2</v>
      </c>
      <c r="E454" t="n">
        <v>2</v>
      </c>
      <c r="F454" t="n">
        <v>1</v>
      </c>
      <c r="G454" t="n">
        <v>1</v>
      </c>
      <c r="H454" t="n">
        <v>6</v>
      </c>
      <c r="I454" t="inlineStr">
        <is>
          <t>Non</t>
        </is>
      </c>
    </row>
    <row r="455">
      <c r="A455" s="4" t="n">
        <v>46092</v>
      </c>
      <c r="B455" t="inlineStr">
        <is>
          <t>S6</t>
        </is>
      </c>
      <c r="C455" t="inlineStr">
        <is>
          <t>ATH10</t>
        </is>
      </c>
      <c r="D455" t="n">
        <v>7.6</v>
      </c>
      <c r="E455" t="n">
        <v>3</v>
      </c>
      <c r="F455" t="n">
        <v>2</v>
      </c>
      <c r="G455" t="n">
        <v>2</v>
      </c>
      <c r="H455" t="n">
        <v>7</v>
      </c>
      <c r="I455" t="inlineStr">
        <is>
          <t>Non</t>
        </is>
      </c>
    </row>
    <row r="456">
      <c r="A456" s="4" t="n">
        <v>46092</v>
      </c>
      <c r="B456" t="inlineStr">
        <is>
          <t>S6</t>
        </is>
      </c>
      <c r="C456" t="inlineStr">
        <is>
          <t>ATH11</t>
        </is>
      </c>
      <c r="D456" t="n">
        <v>6.6</v>
      </c>
      <c r="E456" t="n">
        <v>4</v>
      </c>
      <c r="F456" t="n">
        <v>1</v>
      </c>
      <c r="G456" t="n">
        <v>2</v>
      </c>
      <c r="H456" t="n">
        <v>5</v>
      </c>
      <c r="I456" t="inlineStr">
        <is>
          <t>Non</t>
        </is>
      </c>
    </row>
    <row r="457">
      <c r="A457" s="4" t="n">
        <v>46092</v>
      </c>
      <c r="B457" t="inlineStr">
        <is>
          <t>S6</t>
        </is>
      </c>
      <c r="C457" t="inlineStr">
        <is>
          <t>ATH12</t>
        </is>
      </c>
      <c r="D457" t="n">
        <v>7.1</v>
      </c>
      <c r="E457" t="n">
        <v>4</v>
      </c>
      <c r="F457" t="n">
        <v>3</v>
      </c>
      <c r="G457" t="n">
        <v>4</v>
      </c>
      <c r="H457" t="n">
        <v>7</v>
      </c>
      <c r="I457" t="inlineStr">
        <is>
          <t>Non</t>
        </is>
      </c>
    </row>
    <row r="458">
      <c r="A458" s="4" t="n">
        <v>46093</v>
      </c>
      <c r="B458" t="inlineStr">
        <is>
          <t>S6</t>
        </is>
      </c>
      <c r="C458" t="inlineStr">
        <is>
          <t>ATH01</t>
        </is>
      </c>
      <c r="D458" t="n">
        <v>6.7</v>
      </c>
      <c r="E458" t="n">
        <v>3</v>
      </c>
      <c r="F458" t="n">
        <v>1</v>
      </c>
      <c r="G458" t="n">
        <v>5</v>
      </c>
      <c r="H458" t="n">
        <v>5</v>
      </c>
      <c r="I458" t="inlineStr">
        <is>
          <t>Non</t>
        </is>
      </c>
    </row>
    <row r="459">
      <c r="A459" s="4" t="n">
        <v>46093</v>
      </c>
      <c r="B459" t="inlineStr">
        <is>
          <t>S6</t>
        </is>
      </c>
      <c r="C459" t="inlineStr">
        <is>
          <t>ATH02</t>
        </is>
      </c>
      <c r="D459" t="n">
        <v>8.1</v>
      </c>
      <c r="E459" t="n">
        <v>4</v>
      </c>
      <c r="F459" t="n">
        <v>5</v>
      </c>
      <c r="G459" t="n">
        <v>2</v>
      </c>
      <c r="H459" t="n">
        <v>7</v>
      </c>
      <c r="I459" t="inlineStr">
        <is>
          <t>Non</t>
        </is>
      </c>
    </row>
    <row r="460">
      <c r="A460" s="4" t="n">
        <v>46093</v>
      </c>
      <c r="B460" t="inlineStr">
        <is>
          <t>S6</t>
        </is>
      </c>
      <c r="C460" t="inlineStr">
        <is>
          <t>ATH03</t>
        </is>
      </c>
      <c r="D460" t="n">
        <v>9.1</v>
      </c>
      <c r="E460" t="n">
        <v>2</v>
      </c>
      <c r="F460" t="n">
        <v>1</v>
      </c>
      <c r="G460" t="n">
        <v>1</v>
      </c>
      <c r="H460" t="n">
        <v>7</v>
      </c>
      <c r="I460" t="inlineStr">
        <is>
          <t>Non</t>
        </is>
      </c>
    </row>
    <row r="461">
      <c r="A461" s="4" t="n">
        <v>46093</v>
      </c>
      <c r="B461" t="inlineStr">
        <is>
          <t>S6</t>
        </is>
      </c>
      <c r="C461" t="inlineStr">
        <is>
          <t>ATH04</t>
        </is>
      </c>
      <c r="D461" t="n">
        <v>6.2</v>
      </c>
      <c r="E461" t="n">
        <v>3</v>
      </c>
      <c r="F461" t="n">
        <v>3</v>
      </c>
      <c r="G461" t="n">
        <v>3</v>
      </c>
      <c r="H461" t="n">
        <v>7</v>
      </c>
      <c r="I461" t="inlineStr">
        <is>
          <t>Non</t>
        </is>
      </c>
    </row>
    <row r="462">
      <c r="A462" s="4" t="n">
        <v>46093</v>
      </c>
      <c r="B462" t="inlineStr">
        <is>
          <t>S6</t>
        </is>
      </c>
      <c r="C462" t="inlineStr">
        <is>
          <t>ATH05</t>
        </is>
      </c>
      <c r="D462" t="n">
        <v>7.7</v>
      </c>
      <c r="E462" t="n">
        <v>5</v>
      </c>
      <c r="F462" t="n">
        <v>1</v>
      </c>
      <c r="G462" t="n">
        <v>2</v>
      </c>
      <c r="H462" t="n">
        <v>6</v>
      </c>
      <c r="I462" t="inlineStr">
        <is>
          <t>Non</t>
        </is>
      </c>
    </row>
    <row r="463">
      <c r="A463" s="4" t="n">
        <v>46093</v>
      </c>
      <c r="B463" t="inlineStr">
        <is>
          <t>S6</t>
        </is>
      </c>
      <c r="C463" t="inlineStr">
        <is>
          <t>ATH06</t>
        </is>
      </c>
      <c r="D463" t="n">
        <v>8.1</v>
      </c>
      <c r="E463" t="n">
        <v>4</v>
      </c>
      <c r="F463" t="n">
        <v>3</v>
      </c>
      <c r="G463" t="n">
        <v>5</v>
      </c>
      <c r="H463" t="n">
        <v>5</v>
      </c>
      <c r="I463" t="inlineStr">
        <is>
          <t>Non</t>
        </is>
      </c>
    </row>
    <row r="464">
      <c r="A464" s="4" t="n">
        <v>46093</v>
      </c>
      <c r="B464" t="inlineStr">
        <is>
          <t>S6</t>
        </is>
      </c>
      <c r="C464" t="inlineStr">
        <is>
          <t>ATH07</t>
        </is>
      </c>
      <c r="D464" t="n">
        <v>8.699999999999999</v>
      </c>
      <c r="E464" t="n">
        <v>5</v>
      </c>
      <c r="F464" t="n">
        <v>4</v>
      </c>
      <c r="G464" t="n">
        <v>5</v>
      </c>
      <c r="H464" t="n">
        <v>5</v>
      </c>
      <c r="I464" t="inlineStr">
        <is>
          <t>Non</t>
        </is>
      </c>
    </row>
    <row r="465">
      <c r="A465" s="4" t="n">
        <v>46093</v>
      </c>
      <c r="B465" t="inlineStr">
        <is>
          <t>S6</t>
        </is>
      </c>
      <c r="C465" t="inlineStr">
        <is>
          <t>ATH08</t>
        </is>
      </c>
      <c r="D465" t="n">
        <v>7.1</v>
      </c>
      <c r="E465" t="n">
        <v>2</v>
      </c>
      <c r="F465" t="n">
        <v>4</v>
      </c>
      <c r="G465" t="n">
        <v>2</v>
      </c>
      <c r="H465" t="n">
        <v>7</v>
      </c>
      <c r="I465" t="inlineStr">
        <is>
          <t>Non</t>
        </is>
      </c>
    </row>
    <row r="466">
      <c r="A466" s="4" t="n">
        <v>46093</v>
      </c>
      <c r="B466" t="inlineStr">
        <is>
          <t>S6</t>
        </is>
      </c>
      <c r="C466" t="inlineStr">
        <is>
          <t>ATH09</t>
        </is>
      </c>
      <c r="D466" t="n">
        <v>8.5</v>
      </c>
      <c r="E466" t="n">
        <v>4</v>
      </c>
      <c r="F466" t="n">
        <v>3</v>
      </c>
      <c r="G466" t="n">
        <v>2</v>
      </c>
      <c r="H466" t="n">
        <v>6</v>
      </c>
      <c r="I466" t="inlineStr">
        <is>
          <t>Non</t>
        </is>
      </c>
    </row>
    <row r="467">
      <c r="A467" s="4" t="n">
        <v>46093</v>
      </c>
      <c r="B467" t="inlineStr">
        <is>
          <t>S6</t>
        </is>
      </c>
      <c r="C467" t="inlineStr">
        <is>
          <t>ATH10</t>
        </is>
      </c>
      <c r="D467" t="n">
        <v>8.4</v>
      </c>
      <c r="E467" t="n">
        <v>4</v>
      </c>
      <c r="F467" t="n">
        <v>2</v>
      </c>
      <c r="G467" t="n">
        <v>2</v>
      </c>
      <c r="H467" t="n">
        <v>4</v>
      </c>
      <c r="I467" t="inlineStr">
        <is>
          <t>Non</t>
        </is>
      </c>
    </row>
    <row r="468">
      <c r="A468" s="4" t="n">
        <v>46093</v>
      </c>
      <c r="B468" t="inlineStr">
        <is>
          <t>S6</t>
        </is>
      </c>
      <c r="C468" t="inlineStr">
        <is>
          <t>ATH11</t>
        </is>
      </c>
      <c r="D468" t="n">
        <v>6.8</v>
      </c>
      <c r="E468" t="n">
        <v>5</v>
      </c>
      <c r="F468" t="n">
        <v>1</v>
      </c>
      <c r="G468" t="n">
        <v>3</v>
      </c>
      <c r="H468" t="n">
        <v>8</v>
      </c>
      <c r="I468" t="inlineStr">
        <is>
          <t>Non</t>
        </is>
      </c>
    </row>
    <row r="469">
      <c r="A469" s="4" t="n">
        <v>46093</v>
      </c>
      <c r="B469" t="inlineStr">
        <is>
          <t>S6</t>
        </is>
      </c>
      <c r="C469" t="inlineStr">
        <is>
          <t>ATH12</t>
        </is>
      </c>
      <c r="D469" t="n">
        <v>6.6</v>
      </c>
      <c r="E469" t="n">
        <v>3</v>
      </c>
      <c r="F469" t="n">
        <v>4</v>
      </c>
      <c r="G469" t="n">
        <v>3</v>
      </c>
      <c r="H469" t="n">
        <v>10</v>
      </c>
      <c r="I469" t="inlineStr">
        <is>
          <t>Non</t>
        </is>
      </c>
    </row>
    <row r="470">
      <c r="A470" s="4" t="n">
        <v>46094</v>
      </c>
      <c r="B470" t="inlineStr">
        <is>
          <t>S6</t>
        </is>
      </c>
      <c r="C470" t="inlineStr">
        <is>
          <t>ATH01</t>
        </is>
      </c>
      <c r="D470" t="n">
        <v>6.3</v>
      </c>
      <c r="E470" t="n">
        <v>4</v>
      </c>
      <c r="F470" t="n">
        <v>2</v>
      </c>
      <c r="G470" t="n">
        <v>4</v>
      </c>
      <c r="H470" t="n">
        <v>7</v>
      </c>
      <c r="I470" t="inlineStr">
        <is>
          <t>Non</t>
        </is>
      </c>
    </row>
    <row r="471">
      <c r="A471" s="4" t="n">
        <v>46094</v>
      </c>
      <c r="B471" t="inlineStr">
        <is>
          <t>S6</t>
        </is>
      </c>
      <c r="C471" t="inlineStr">
        <is>
          <t>ATH02</t>
        </is>
      </c>
      <c r="D471" t="n">
        <v>7</v>
      </c>
      <c r="E471" t="n">
        <v>3</v>
      </c>
      <c r="F471" t="n">
        <v>1</v>
      </c>
      <c r="G471" t="n">
        <v>4</v>
      </c>
      <c r="H471" t="n">
        <v>7</v>
      </c>
      <c r="I471" t="inlineStr">
        <is>
          <t>Non</t>
        </is>
      </c>
    </row>
    <row r="472">
      <c r="A472" s="4" t="n">
        <v>46094</v>
      </c>
      <c r="B472" t="inlineStr">
        <is>
          <t>S6</t>
        </is>
      </c>
      <c r="C472" t="inlineStr">
        <is>
          <t>ATH03</t>
        </is>
      </c>
      <c r="D472" t="n">
        <v>7.9</v>
      </c>
      <c r="E472" t="n">
        <v>4</v>
      </c>
      <c r="F472" t="n">
        <v>3</v>
      </c>
      <c r="G472" t="n">
        <v>3</v>
      </c>
      <c r="H472" t="n">
        <v>6</v>
      </c>
      <c r="I472" t="inlineStr">
        <is>
          <t>Non</t>
        </is>
      </c>
    </row>
    <row r="473">
      <c r="A473" s="4" t="n">
        <v>46094</v>
      </c>
      <c r="B473" t="inlineStr">
        <is>
          <t>S6</t>
        </is>
      </c>
      <c r="C473" t="inlineStr">
        <is>
          <t>ATH04</t>
        </is>
      </c>
      <c r="D473" t="n">
        <v>7</v>
      </c>
      <c r="E473" t="n">
        <v>4</v>
      </c>
      <c r="F473" t="n">
        <v>5</v>
      </c>
      <c r="G473" t="n">
        <v>3</v>
      </c>
      <c r="H473" t="n">
        <v>7</v>
      </c>
      <c r="I473" t="inlineStr">
        <is>
          <t>Non</t>
        </is>
      </c>
    </row>
    <row r="474">
      <c r="A474" s="4" t="n">
        <v>46094</v>
      </c>
      <c r="B474" t="inlineStr">
        <is>
          <t>S6</t>
        </is>
      </c>
      <c r="C474" t="inlineStr">
        <is>
          <t>ATH05</t>
        </is>
      </c>
      <c r="D474" t="n">
        <v>6.9</v>
      </c>
      <c r="E474" t="n">
        <v>4</v>
      </c>
      <c r="F474" t="n">
        <v>3</v>
      </c>
      <c r="G474" t="n">
        <v>6</v>
      </c>
      <c r="H474" t="n">
        <v>6</v>
      </c>
      <c r="I474" t="inlineStr">
        <is>
          <t>Non</t>
        </is>
      </c>
    </row>
    <row r="475">
      <c r="A475" s="4" t="n">
        <v>46094</v>
      </c>
      <c r="B475" t="inlineStr">
        <is>
          <t>S6</t>
        </is>
      </c>
      <c r="C475" t="inlineStr">
        <is>
          <t>ATH06</t>
        </is>
      </c>
      <c r="D475" t="n">
        <v>7.2</v>
      </c>
      <c r="E475" t="n">
        <v>3</v>
      </c>
      <c r="F475" t="n">
        <v>3</v>
      </c>
      <c r="G475" t="n">
        <v>3</v>
      </c>
      <c r="H475" t="n">
        <v>6</v>
      </c>
      <c r="I475" t="inlineStr">
        <is>
          <t>Non</t>
        </is>
      </c>
    </row>
    <row r="476">
      <c r="A476" s="4" t="n">
        <v>46094</v>
      </c>
      <c r="B476" t="inlineStr">
        <is>
          <t>S6</t>
        </is>
      </c>
      <c r="C476" t="inlineStr">
        <is>
          <t>ATH07</t>
        </is>
      </c>
      <c r="D476" t="n">
        <v>8.1</v>
      </c>
      <c r="E476" t="n">
        <v>4</v>
      </c>
      <c r="F476" t="n">
        <v>1</v>
      </c>
      <c r="G476" t="n">
        <v>5</v>
      </c>
      <c r="H476" t="n">
        <v>8</v>
      </c>
      <c r="I476" t="inlineStr">
        <is>
          <t>Non</t>
        </is>
      </c>
    </row>
    <row r="477">
      <c r="A477" s="4" t="n">
        <v>46094</v>
      </c>
      <c r="B477" t="inlineStr">
        <is>
          <t>S6</t>
        </is>
      </c>
      <c r="C477" t="inlineStr">
        <is>
          <t>ATH08</t>
        </is>
      </c>
      <c r="D477" t="n">
        <v>7.6</v>
      </c>
      <c r="E477" t="n">
        <v>3</v>
      </c>
      <c r="F477" t="n">
        <v>3</v>
      </c>
      <c r="G477" t="n">
        <v>2</v>
      </c>
      <c r="H477" t="n">
        <v>7</v>
      </c>
      <c r="I477" t="inlineStr">
        <is>
          <t>Non</t>
        </is>
      </c>
    </row>
    <row r="478">
      <c r="A478" s="4" t="n">
        <v>46094</v>
      </c>
      <c r="B478" t="inlineStr">
        <is>
          <t>S6</t>
        </is>
      </c>
      <c r="C478" t="inlineStr">
        <is>
          <t>ATH09</t>
        </is>
      </c>
      <c r="D478" t="n">
        <v>6</v>
      </c>
      <c r="E478" t="n">
        <v>4</v>
      </c>
      <c r="F478" t="n">
        <v>1</v>
      </c>
      <c r="G478" t="n">
        <v>5</v>
      </c>
      <c r="H478" t="n">
        <v>6</v>
      </c>
      <c r="I478" t="inlineStr">
        <is>
          <t>Non</t>
        </is>
      </c>
    </row>
    <row r="479">
      <c r="A479" s="4" t="n">
        <v>46094</v>
      </c>
      <c r="B479" t="inlineStr">
        <is>
          <t>S6</t>
        </is>
      </c>
      <c r="C479" t="inlineStr">
        <is>
          <t>ATH10</t>
        </is>
      </c>
      <c r="D479" t="n">
        <v>7.4</v>
      </c>
      <c r="E479" t="n">
        <v>2</v>
      </c>
      <c r="F479" t="n">
        <v>2</v>
      </c>
      <c r="G479" t="n">
        <v>5</v>
      </c>
      <c r="H479" t="n">
        <v>4</v>
      </c>
      <c r="I479" t="inlineStr">
        <is>
          <t>Non</t>
        </is>
      </c>
    </row>
    <row r="480">
      <c r="A480" s="4" t="n">
        <v>46094</v>
      </c>
      <c r="B480" t="inlineStr">
        <is>
          <t>S6</t>
        </is>
      </c>
      <c r="C480" t="inlineStr">
        <is>
          <t>ATH11</t>
        </is>
      </c>
      <c r="D480" t="n">
        <v>8.4</v>
      </c>
      <c r="E480" t="n">
        <v>3</v>
      </c>
      <c r="F480" t="n">
        <v>1</v>
      </c>
      <c r="G480" t="n">
        <v>2</v>
      </c>
      <c r="H480" t="n">
        <v>8</v>
      </c>
      <c r="I480" t="inlineStr">
        <is>
          <t>Non</t>
        </is>
      </c>
    </row>
    <row r="481">
      <c r="A481" s="4" t="n">
        <v>46094</v>
      </c>
      <c r="B481" t="inlineStr">
        <is>
          <t>S6</t>
        </is>
      </c>
      <c r="C481" t="inlineStr">
        <is>
          <t>ATH12</t>
        </is>
      </c>
      <c r="D481" t="n">
        <v>6.8</v>
      </c>
      <c r="E481" t="n">
        <v>2</v>
      </c>
      <c r="F481" t="n">
        <v>4</v>
      </c>
      <c r="G481" t="n">
        <v>3</v>
      </c>
      <c r="H481" t="n">
        <v>5</v>
      </c>
      <c r="I481" t="inlineStr">
        <is>
          <t>Non</t>
        </is>
      </c>
    </row>
    <row r="482">
      <c r="A482" s="4" t="n">
        <v>46095</v>
      </c>
      <c r="B482" t="inlineStr">
        <is>
          <t>S6</t>
        </is>
      </c>
      <c r="C482" t="inlineStr">
        <is>
          <t>ATH01</t>
        </is>
      </c>
      <c r="D482" t="n">
        <v>7.7</v>
      </c>
      <c r="E482" t="n">
        <v>2</v>
      </c>
      <c r="F482" t="n">
        <v>4</v>
      </c>
      <c r="G482" t="n">
        <v>4</v>
      </c>
      <c r="H482" t="n">
        <v>7</v>
      </c>
      <c r="I482" t="inlineStr">
        <is>
          <t>Non</t>
        </is>
      </c>
    </row>
    <row r="483">
      <c r="A483" s="4" t="n">
        <v>46095</v>
      </c>
      <c r="B483" t="inlineStr">
        <is>
          <t>S6</t>
        </is>
      </c>
      <c r="C483" t="inlineStr">
        <is>
          <t>ATH02</t>
        </is>
      </c>
      <c r="D483" t="n">
        <v>7.8</v>
      </c>
      <c r="E483" t="n">
        <v>5</v>
      </c>
      <c r="F483" t="n">
        <v>2</v>
      </c>
      <c r="G483" t="n">
        <v>1</v>
      </c>
      <c r="H483" t="n">
        <v>7</v>
      </c>
      <c r="I483" t="inlineStr">
        <is>
          <t>Non</t>
        </is>
      </c>
    </row>
    <row r="484">
      <c r="A484" s="4" t="n">
        <v>46095</v>
      </c>
      <c r="B484" t="inlineStr">
        <is>
          <t>S6</t>
        </is>
      </c>
      <c r="C484" t="inlineStr">
        <is>
          <t>ATH03</t>
        </is>
      </c>
      <c r="D484" t="n">
        <v>9</v>
      </c>
      <c r="E484" t="n">
        <v>2</v>
      </c>
      <c r="F484" t="n">
        <v>2</v>
      </c>
      <c r="G484" t="n">
        <v>4</v>
      </c>
      <c r="H484" t="n">
        <v>6</v>
      </c>
      <c r="I484" t="inlineStr">
        <is>
          <t>Non</t>
        </is>
      </c>
    </row>
    <row r="485">
      <c r="A485" s="4" t="n">
        <v>46095</v>
      </c>
      <c r="B485" t="inlineStr">
        <is>
          <t>S6</t>
        </is>
      </c>
      <c r="C485" t="inlineStr">
        <is>
          <t>ATH04</t>
        </is>
      </c>
      <c r="D485" t="n">
        <v>6.8</v>
      </c>
      <c r="E485" t="n">
        <v>4</v>
      </c>
      <c r="F485" t="n">
        <v>6</v>
      </c>
      <c r="G485" t="n">
        <v>3</v>
      </c>
      <c r="H485" t="n">
        <v>6</v>
      </c>
      <c r="I485" t="inlineStr">
        <is>
          <t>Non</t>
        </is>
      </c>
    </row>
    <row r="486">
      <c r="A486" s="4" t="n">
        <v>46095</v>
      </c>
      <c r="B486" t="inlineStr">
        <is>
          <t>S6</t>
        </is>
      </c>
      <c r="C486" t="inlineStr">
        <is>
          <t>ATH05</t>
        </is>
      </c>
      <c r="D486" t="n">
        <v>6.4</v>
      </c>
      <c r="E486" t="n">
        <v>3</v>
      </c>
      <c r="F486" t="n">
        <v>4</v>
      </c>
      <c r="G486" t="n">
        <v>4</v>
      </c>
      <c r="H486" t="n">
        <v>6</v>
      </c>
      <c r="I486" t="inlineStr">
        <is>
          <t>Non</t>
        </is>
      </c>
    </row>
    <row r="487">
      <c r="A487" s="4" t="n">
        <v>46095</v>
      </c>
      <c r="B487" t="inlineStr">
        <is>
          <t>S6</t>
        </is>
      </c>
      <c r="C487" t="inlineStr">
        <is>
          <t>ATH06</t>
        </is>
      </c>
      <c r="D487" t="n">
        <v>7.1</v>
      </c>
      <c r="E487" t="n">
        <v>2</v>
      </c>
      <c r="F487" t="n">
        <v>4</v>
      </c>
      <c r="G487" t="n">
        <v>4</v>
      </c>
      <c r="H487" t="n">
        <v>5</v>
      </c>
      <c r="I487" t="inlineStr">
        <is>
          <t>Non</t>
        </is>
      </c>
    </row>
    <row r="488">
      <c r="A488" s="4" t="n">
        <v>46095</v>
      </c>
      <c r="B488" t="inlineStr">
        <is>
          <t>S6</t>
        </is>
      </c>
      <c r="C488" t="inlineStr">
        <is>
          <t>ATH07</t>
        </is>
      </c>
      <c r="D488" t="n">
        <v>8.6</v>
      </c>
      <c r="E488" t="n">
        <v>4</v>
      </c>
      <c r="F488" t="n">
        <v>4</v>
      </c>
      <c r="G488" t="n">
        <v>1</v>
      </c>
      <c r="H488" t="n">
        <v>5</v>
      </c>
      <c r="I488" t="inlineStr">
        <is>
          <t>Non</t>
        </is>
      </c>
    </row>
    <row r="489">
      <c r="A489" s="4" t="n">
        <v>46095</v>
      </c>
      <c r="B489" t="inlineStr">
        <is>
          <t>S6</t>
        </is>
      </c>
      <c r="C489" t="inlineStr">
        <is>
          <t>ATH08</t>
        </is>
      </c>
      <c r="D489" t="n">
        <v>7.4</v>
      </c>
      <c r="E489" t="n">
        <v>4</v>
      </c>
      <c r="F489" t="n">
        <v>5</v>
      </c>
      <c r="G489" t="n">
        <v>4</v>
      </c>
      <c r="H489" t="n">
        <v>6</v>
      </c>
      <c r="I489" t="inlineStr">
        <is>
          <t>Non</t>
        </is>
      </c>
    </row>
    <row r="490">
      <c r="A490" s="4" t="n">
        <v>46095</v>
      </c>
      <c r="B490" t="inlineStr">
        <is>
          <t>S6</t>
        </is>
      </c>
      <c r="C490" t="inlineStr">
        <is>
          <t>ATH09</t>
        </is>
      </c>
      <c r="D490" t="n">
        <v>6.8</v>
      </c>
      <c r="E490" t="n">
        <v>4</v>
      </c>
      <c r="F490" t="n">
        <v>1</v>
      </c>
      <c r="G490" t="n">
        <v>5</v>
      </c>
      <c r="H490" t="n">
        <v>6</v>
      </c>
      <c r="I490" t="inlineStr">
        <is>
          <t>Non</t>
        </is>
      </c>
    </row>
    <row r="491">
      <c r="A491" s="4" t="n">
        <v>46095</v>
      </c>
      <c r="B491" t="inlineStr">
        <is>
          <t>S6</t>
        </is>
      </c>
      <c r="C491" t="inlineStr">
        <is>
          <t>ATH10</t>
        </is>
      </c>
      <c r="D491" t="n">
        <v>8.6</v>
      </c>
      <c r="E491" t="n">
        <v>4</v>
      </c>
      <c r="F491" t="n">
        <v>2</v>
      </c>
      <c r="G491" t="n">
        <v>2</v>
      </c>
      <c r="H491" t="n">
        <v>6</v>
      </c>
      <c r="I491" t="inlineStr">
        <is>
          <t>Non</t>
        </is>
      </c>
    </row>
    <row r="492">
      <c r="A492" s="4" t="n">
        <v>46095</v>
      </c>
      <c r="B492" t="inlineStr">
        <is>
          <t>S6</t>
        </is>
      </c>
      <c r="C492" t="inlineStr">
        <is>
          <t>ATH11</t>
        </is>
      </c>
      <c r="D492" t="n">
        <v>7.8</v>
      </c>
      <c r="E492" t="n">
        <v>3</v>
      </c>
      <c r="F492" t="n">
        <v>2</v>
      </c>
      <c r="G492" t="n">
        <v>3</v>
      </c>
      <c r="H492" t="n">
        <v>7</v>
      </c>
      <c r="I492" t="inlineStr">
        <is>
          <t>Non</t>
        </is>
      </c>
    </row>
    <row r="493">
      <c r="A493" s="4" t="n">
        <v>46095</v>
      </c>
      <c r="B493" t="inlineStr">
        <is>
          <t>S6</t>
        </is>
      </c>
      <c r="C493" t="inlineStr">
        <is>
          <t>ATH12</t>
        </is>
      </c>
      <c r="D493" t="n">
        <v>6</v>
      </c>
      <c r="E493" t="n">
        <v>4</v>
      </c>
      <c r="F493" t="n">
        <v>1</v>
      </c>
      <c r="G493" t="n">
        <v>2</v>
      </c>
      <c r="H493" t="n">
        <v>5</v>
      </c>
      <c r="I493" t="inlineStr">
        <is>
          <t>Non</t>
        </is>
      </c>
    </row>
    <row r="494">
      <c r="A494" s="4" t="n">
        <v>46096</v>
      </c>
      <c r="B494" t="inlineStr">
        <is>
          <t>S6</t>
        </is>
      </c>
      <c r="C494" t="inlineStr">
        <is>
          <t>ATH01</t>
        </is>
      </c>
      <c r="D494" t="n">
        <v>6.2</v>
      </c>
      <c r="E494" t="n">
        <v>1</v>
      </c>
      <c r="F494" t="n">
        <v>2</v>
      </c>
      <c r="G494" t="n">
        <v>6</v>
      </c>
      <c r="H494" t="n">
        <v>6</v>
      </c>
      <c r="I494" t="inlineStr">
        <is>
          <t>Non</t>
        </is>
      </c>
    </row>
    <row r="495">
      <c r="A495" s="4" t="n">
        <v>46096</v>
      </c>
      <c r="B495" t="inlineStr">
        <is>
          <t>S6</t>
        </is>
      </c>
      <c r="C495" t="inlineStr">
        <is>
          <t>ATH02</t>
        </is>
      </c>
      <c r="D495" t="n">
        <v>7.6</v>
      </c>
      <c r="E495" t="n">
        <v>3</v>
      </c>
      <c r="F495" t="n">
        <v>3</v>
      </c>
      <c r="G495" t="n">
        <v>3</v>
      </c>
      <c r="H495" t="n">
        <v>5</v>
      </c>
      <c r="I495" t="inlineStr">
        <is>
          <t>Non</t>
        </is>
      </c>
    </row>
    <row r="496">
      <c r="A496" s="4" t="n">
        <v>46096</v>
      </c>
      <c r="B496" t="inlineStr">
        <is>
          <t>S6</t>
        </is>
      </c>
      <c r="C496" t="inlineStr">
        <is>
          <t>ATH03</t>
        </is>
      </c>
      <c r="D496" t="n">
        <v>8.5</v>
      </c>
      <c r="E496" t="n">
        <v>5</v>
      </c>
      <c r="F496" t="n">
        <v>1</v>
      </c>
      <c r="G496" t="n">
        <v>2</v>
      </c>
      <c r="H496" t="n">
        <v>6</v>
      </c>
      <c r="I496" t="inlineStr">
        <is>
          <t>Non</t>
        </is>
      </c>
    </row>
    <row r="497">
      <c r="A497" s="4" t="n">
        <v>46096</v>
      </c>
      <c r="B497" t="inlineStr">
        <is>
          <t>S6</t>
        </is>
      </c>
      <c r="C497" t="inlineStr">
        <is>
          <t>ATH04</t>
        </is>
      </c>
      <c r="D497" t="n">
        <v>6.8</v>
      </c>
      <c r="E497" t="n">
        <v>4</v>
      </c>
      <c r="F497" t="n">
        <v>1</v>
      </c>
      <c r="G497" t="n">
        <v>6</v>
      </c>
      <c r="H497" t="n">
        <v>8</v>
      </c>
      <c r="I497" t="inlineStr">
        <is>
          <t>Non</t>
        </is>
      </c>
    </row>
    <row r="498">
      <c r="A498" s="4" t="n">
        <v>46096</v>
      </c>
      <c r="B498" t="inlineStr">
        <is>
          <t>S6</t>
        </is>
      </c>
      <c r="C498" t="inlineStr">
        <is>
          <t>ATH05</t>
        </is>
      </c>
      <c r="D498" t="n">
        <v>7.6</v>
      </c>
      <c r="E498" t="n">
        <v>4</v>
      </c>
      <c r="F498" t="n">
        <v>4</v>
      </c>
      <c r="G498" t="n">
        <v>2</v>
      </c>
      <c r="H498" t="n">
        <v>6</v>
      </c>
      <c r="I498" t="inlineStr">
        <is>
          <t>Non</t>
        </is>
      </c>
    </row>
    <row r="499">
      <c r="A499" s="4" t="n">
        <v>46096</v>
      </c>
      <c r="B499" t="inlineStr">
        <is>
          <t>S6</t>
        </is>
      </c>
      <c r="C499" t="inlineStr">
        <is>
          <t>ATH06</t>
        </is>
      </c>
      <c r="D499" t="n">
        <v>7.6</v>
      </c>
      <c r="E499" t="n">
        <v>4</v>
      </c>
      <c r="F499" t="n">
        <v>3</v>
      </c>
      <c r="G499" t="n">
        <v>1</v>
      </c>
      <c r="H499" t="n">
        <v>6</v>
      </c>
      <c r="I499" t="inlineStr">
        <is>
          <t>Non</t>
        </is>
      </c>
    </row>
    <row r="500">
      <c r="A500" s="4" t="n">
        <v>46096</v>
      </c>
      <c r="B500" t="inlineStr">
        <is>
          <t>S6</t>
        </is>
      </c>
      <c r="C500" t="inlineStr">
        <is>
          <t>ATH07</t>
        </is>
      </c>
      <c r="D500" t="n">
        <v>7.4</v>
      </c>
      <c r="E500" t="n">
        <v>3</v>
      </c>
      <c r="F500" t="n">
        <v>5</v>
      </c>
      <c r="G500" t="n">
        <v>1</v>
      </c>
      <c r="H500" t="n">
        <v>7</v>
      </c>
      <c r="I500" t="inlineStr">
        <is>
          <t>Non</t>
        </is>
      </c>
    </row>
    <row r="501">
      <c r="A501" s="4" t="n">
        <v>46096</v>
      </c>
      <c r="B501" t="inlineStr">
        <is>
          <t>S6</t>
        </is>
      </c>
      <c r="C501" t="inlineStr">
        <is>
          <t>ATH08</t>
        </is>
      </c>
      <c r="D501" t="n">
        <v>8.5</v>
      </c>
      <c r="E501" t="n">
        <v>6</v>
      </c>
      <c r="F501" t="n">
        <v>2</v>
      </c>
      <c r="G501" t="n">
        <v>4</v>
      </c>
      <c r="H501" t="n">
        <v>7</v>
      </c>
      <c r="I501" t="inlineStr">
        <is>
          <t>Non</t>
        </is>
      </c>
    </row>
    <row r="502">
      <c r="A502" s="4" t="n">
        <v>46096</v>
      </c>
      <c r="B502" t="inlineStr">
        <is>
          <t>S6</t>
        </is>
      </c>
      <c r="C502" t="inlineStr">
        <is>
          <t>ATH09</t>
        </is>
      </c>
      <c r="D502" t="n">
        <v>7.6</v>
      </c>
      <c r="E502" t="n">
        <v>3</v>
      </c>
      <c r="F502" t="n">
        <v>3</v>
      </c>
      <c r="G502" t="n">
        <v>1</v>
      </c>
      <c r="H502" t="n">
        <v>7</v>
      </c>
      <c r="I502" t="inlineStr">
        <is>
          <t>Non</t>
        </is>
      </c>
    </row>
    <row r="503">
      <c r="A503" s="4" t="n">
        <v>46096</v>
      </c>
      <c r="B503" t="inlineStr">
        <is>
          <t>S6</t>
        </is>
      </c>
      <c r="C503" t="inlineStr">
        <is>
          <t>ATH10</t>
        </is>
      </c>
      <c r="D503" t="n">
        <v>7.6</v>
      </c>
      <c r="E503" t="n">
        <v>3</v>
      </c>
      <c r="F503" t="n">
        <v>5</v>
      </c>
      <c r="G503" t="n">
        <v>2</v>
      </c>
      <c r="H503" t="n">
        <v>6</v>
      </c>
      <c r="I503" t="inlineStr">
        <is>
          <t>Non</t>
        </is>
      </c>
    </row>
    <row r="504">
      <c r="A504" s="4" t="n">
        <v>46096</v>
      </c>
      <c r="B504" t="inlineStr">
        <is>
          <t>S6</t>
        </is>
      </c>
      <c r="C504" t="inlineStr">
        <is>
          <t>ATH11</t>
        </is>
      </c>
      <c r="D504" t="n">
        <v>8.9</v>
      </c>
      <c r="E504" t="n">
        <v>2</v>
      </c>
      <c r="F504" t="n">
        <v>2</v>
      </c>
      <c r="G504" t="n">
        <v>3</v>
      </c>
      <c r="H504" t="n">
        <v>7</v>
      </c>
      <c r="I504" t="inlineStr">
        <is>
          <t>Non</t>
        </is>
      </c>
    </row>
    <row r="505">
      <c r="A505" s="4" t="n">
        <v>46096</v>
      </c>
      <c r="B505" t="inlineStr">
        <is>
          <t>S6</t>
        </is>
      </c>
      <c r="C505" t="inlineStr">
        <is>
          <t>ATH12</t>
        </is>
      </c>
      <c r="D505" t="n">
        <v>7.6</v>
      </c>
      <c r="E505" t="n">
        <v>1</v>
      </c>
      <c r="F505" t="n">
        <v>2</v>
      </c>
      <c r="G505" t="n">
        <v>2</v>
      </c>
      <c r="H505" t="n">
        <v>6</v>
      </c>
      <c r="I505" t="inlineStr">
        <is>
          <t>Non</t>
        </is>
      </c>
    </row>
  </sheetData>
  <autoFilter ref="A1:I50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5" customWidth="1" min="7" max="7"/>
    <col width="12" customWidth="1" min="8" max="8"/>
  </cols>
  <sheetData>
    <row r="1">
      <c r="A1" s="3" t="inlineStr">
        <is>
          <t>Date</t>
        </is>
      </c>
      <c r="B1" s="3" t="inlineStr">
        <is>
          <t>Week</t>
        </is>
      </c>
      <c r="C1" s="3" t="inlineStr">
        <is>
          <t>Athlete_ID</t>
        </is>
      </c>
      <c r="D1" s="3" t="inlineStr">
        <is>
          <t>Sprint_10m_s</t>
        </is>
      </c>
      <c r="E1" s="3" t="inlineStr">
        <is>
          <t>CMJ_cm</t>
        </is>
      </c>
      <c r="F1" s="3" t="inlineStr">
        <is>
          <t>YoYo_m</t>
        </is>
      </c>
      <c r="G1" s="3" t="inlineStr">
        <is>
          <t>Agilite_505_s</t>
        </is>
      </c>
      <c r="H1" s="3" t="inlineStr">
        <is>
          <t>Poids_kg</t>
        </is>
      </c>
    </row>
    <row r="2">
      <c r="A2" s="4" t="n">
        <v>46056</v>
      </c>
      <c r="B2" t="inlineStr">
        <is>
          <t>S1</t>
        </is>
      </c>
      <c r="C2" t="inlineStr">
        <is>
          <t>ATH01</t>
        </is>
      </c>
      <c r="D2" t="n">
        <v>1.85</v>
      </c>
      <c r="E2" t="n">
        <v>40.3</v>
      </c>
      <c r="F2" t="n">
        <v>1530</v>
      </c>
      <c r="G2" t="n">
        <v>12.52</v>
      </c>
      <c r="H2" t="n">
        <v>82.5</v>
      </c>
    </row>
    <row r="3">
      <c r="A3" s="4" t="n">
        <v>46094</v>
      </c>
      <c r="B3" t="inlineStr">
        <is>
          <t>S6</t>
        </is>
      </c>
      <c r="C3" t="inlineStr">
        <is>
          <t>ATH01</t>
        </is>
      </c>
      <c r="D3" t="n">
        <v>1.82</v>
      </c>
      <c r="E3" t="n">
        <v>43.3</v>
      </c>
      <c r="F3" t="n">
        <v>1750</v>
      </c>
      <c r="G3" t="n">
        <v>12.27</v>
      </c>
      <c r="H3" t="n">
        <v>83.09999999999999</v>
      </c>
    </row>
    <row r="4">
      <c r="A4" s="4" t="n">
        <v>46056</v>
      </c>
      <c r="B4" t="inlineStr">
        <is>
          <t>S1</t>
        </is>
      </c>
      <c r="C4" t="inlineStr">
        <is>
          <t>ATH02</t>
        </is>
      </c>
      <c r="D4" t="n">
        <v>1.85</v>
      </c>
      <c r="E4" t="n">
        <v>42.3</v>
      </c>
      <c r="F4" t="n">
        <v>1933</v>
      </c>
      <c r="G4" t="n">
        <v>12.6</v>
      </c>
      <c r="H4" t="n">
        <v>78.40000000000001</v>
      </c>
    </row>
    <row r="5">
      <c r="A5" s="4" t="n">
        <v>46094</v>
      </c>
      <c r="B5" t="inlineStr">
        <is>
          <t>S6</t>
        </is>
      </c>
      <c r="C5" t="inlineStr">
        <is>
          <t>ATH02</t>
        </is>
      </c>
      <c r="D5" t="n">
        <v>1.82</v>
      </c>
      <c r="E5" t="n">
        <v>45.3</v>
      </c>
      <c r="F5" t="n">
        <v>2153</v>
      </c>
      <c r="G5" t="n">
        <v>12.35</v>
      </c>
      <c r="H5" t="n">
        <v>78.09999999999999</v>
      </c>
    </row>
    <row r="6">
      <c r="A6" s="4" t="n">
        <v>46056</v>
      </c>
      <c r="B6" t="inlineStr">
        <is>
          <t>S1</t>
        </is>
      </c>
      <c r="C6" t="inlineStr">
        <is>
          <t>ATH03</t>
        </is>
      </c>
      <c r="D6" t="n">
        <v>1.98</v>
      </c>
      <c r="E6" t="n">
        <v>41.7</v>
      </c>
      <c r="F6" t="n">
        <v>1953</v>
      </c>
      <c r="G6" t="n">
        <v>11.82</v>
      </c>
      <c r="H6" t="n">
        <v>84</v>
      </c>
    </row>
    <row r="7">
      <c r="A7" s="4" t="n">
        <v>46094</v>
      </c>
      <c r="B7" t="inlineStr">
        <is>
          <t>S6</t>
        </is>
      </c>
      <c r="C7" t="inlineStr">
        <is>
          <t>ATH03</t>
        </is>
      </c>
      <c r="D7" t="n">
        <v>1.95</v>
      </c>
      <c r="E7" t="n">
        <v>44.7</v>
      </c>
      <c r="F7" t="n">
        <v>2173</v>
      </c>
      <c r="G7" t="n">
        <v>11.57</v>
      </c>
      <c r="H7" t="n">
        <v>84.7</v>
      </c>
    </row>
    <row r="8">
      <c r="A8" s="4" t="n">
        <v>46056</v>
      </c>
      <c r="B8" t="inlineStr">
        <is>
          <t>S1</t>
        </is>
      </c>
      <c r="C8" t="inlineStr">
        <is>
          <t>ATH04</t>
        </is>
      </c>
      <c r="D8" t="n">
        <v>1.83</v>
      </c>
      <c r="E8" t="n">
        <v>37.2</v>
      </c>
      <c r="F8" t="n">
        <v>1875</v>
      </c>
      <c r="G8" t="n">
        <v>12.68</v>
      </c>
      <c r="H8" t="n">
        <v>77.09999999999999</v>
      </c>
    </row>
    <row r="9">
      <c r="A9" s="4" t="n">
        <v>46094</v>
      </c>
      <c r="B9" t="inlineStr">
        <is>
          <t>S6</t>
        </is>
      </c>
      <c r="C9" t="inlineStr">
        <is>
          <t>ATH04</t>
        </is>
      </c>
      <c r="D9" t="n">
        <v>9.869999999999999</v>
      </c>
      <c r="E9" t="n">
        <v>40.2</v>
      </c>
      <c r="F9" t="n">
        <v>2095</v>
      </c>
      <c r="G9" t="n">
        <v>12.43</v>
      </c>
      <c r="H9" t="n">
        <v>76.2</v>
      </c>
    </row>
    <row r="10">
      <c r="A10" s="4" t="n">
        <v>46056</v>
      </c>
      <c r="B10" t="inlineStr">
        <is>
          <t>S1</t>
        </is>
      </c>
      <c r="C10" t="inlineStr">
        <is>
          <t>ATH05</t>
        </is>
      </c>
      <c r="D10" t="n">
        <v>1.81</v>
      </c>
      <c r="E10" t="n">
        <v>36.6</v>
      </c>
      <c r="F10" t="n">
        <v>2030</v>
      </c>
      <c r="G10" t="n">
        <v>12.08</v>
      </c>
      <c r="H10" t="n">
        <v>73.3</v>
      </c>
    </row>
    <row r="11">
      <c r="A11" s="4" t="n">
        <v>46094</v>
      </c>
      <c r="B11" t="inlineStr">
        <is>
          <t>S6</t>
        </is>
      </c>
      <c r="C11" t="inlineStr">
        <is>
          <t>ATH05</t>
        </is>
      </c>
      <c r="D11" t="n">
        <v>1.78</v>
      </c>
      <c r="E11" t="n">
        <v>39.6</v>
      </c>
      <c r="F11" t="n">
        <v>2250</v>
      </c>
      <c r="G11" t="n">
        <v>11.83</v>
      </c>
      <c r="H11" t="n">
        <v>72.90000000000001</v>
      </c>
    </row>
    <row r="12">
      <c r="A12" s="4" t="n">
        <v>46056</v>
      </c>
      <c r="B12" t="inlineStr">
        <is>
          <t>S1</t>
        </is>
      </c>
      <c r="C12" t="inlineStr">
        <is>
          <t>ATH06</t>
        </is>
      </c>
      <c r="D12" t="n">
        <v>1.81</v>
      </c>
      <c r="E12" t="n">
        <v>37.3</v>
      </c>
      <c r="F12" t="n">
        <v>1572</v>
      </c>
      <c r="G12" t="n">
        <v>12.82</v>
      </c>
      <c r="H12" t="n">
        <v>72.40000000000001</v>
      </c>
    </row>
    <row r="13">
      <c r="A13" s="4" t="n">
        <v>46094</v>
      </c>
      <c r="B13" t="inlineStr">
        <is>
          <t>S6</t>
        </is>
      </c>
      <c r="C13" t="inlineStr">
        <is>
          <t>ATH06</t>
        </is>
      </c>
      <c r="D13" t="n">
        <v>1.78</v>
      </c>
      <c r="E13" t="n">
        <v>40.3</v>
      </c>
      <c r="F13" t="n">
        <v>1792</v>
      </c>
      <c r="G13" t="n">
        <v>12.57</v>
      </c>
      <c r="H13" t="n">
        <v>71.7</v>
      </c>
    </row>
    <row r="14">
      <c r="A14" s="4" t="n">
        <v>46056</v>
      </c>
      <c r="B14" t="inlineStr">
        <is>
          <t>S1</t>
        </is>
      </c>
      <c r="C14" t="inlineStr">
        <is>
          <t>ATH07</t>
        </is>
      </c>
      <c r="D14" t="n">
        <v>1.82</v>
      </c>
      <c r="E14" t="n">
        <v>35.5</v>
      </c>
      <c r="F14" t="n">
        <v>2405</v>
      </c>
      <c r="G14" t="n">
        <v>12.77</v>
      </c>
      <c r="H14" t="n">
        <v>79.3</v>
      </c>
    </row>
    <row r="15">
      <c r="A15" s="4" t="n">
        <v>46094</v>
      </c>
      <c r="B15" t="inlineStr">
        <is>
          <t>S6</t>
        </is>
      </c>
      <c r="C15" t="inlineStr">
        <is>
          <t>ATH07</t>
        </is>
      </c>
      <c r="D15" t="n">
        <v>1.79</v>
      </c>
      <c r="E15" t="n">
        <v>38.5</v>
      </c>
      <c r="F15" t="n">
        <v>2625</v>
      </c>
      <c r="G15" t="n">
        <v>12.52</v>
      </c>
      <c r="H15" t="n">
        <v>79.7</v>
      </c>
    </row>
    <row r="16">
      <c r="A16" s="4" t="n">
        <v>46056</v>
      </c>
      <c r="B16" t="inlineStr">
        <is>
          <t>S1</t>
        </is>
      </c>
      <c r="C16" t="inlineStr">
        <is>
          <t>ATH08</t>
        </is>
      </c>
      <c r="D16" t="n">
        <v>1.8</v>
      </c>
      <c r="E16" t="n">
        <v>37</v>
      </c>
      <c r="F16" t="n">
        <v>2025</v>
      </c>
      <c r="G16" t="n">
        <v>11.99</v>
      </c>
      <c r="H16" t="n">
        <v>68.5</v>
      </c>
    </row>
    <row r="17">
      <c r="A17" s="4" t="n">
        <v>46094</v>
      </c>
      <c r="B17" t="inlineStr">
        <is>
          <t>S6</t>
        </is>
      </c>
      <c r="C17" t="inlineStr">
        <is>
          <t>ATH08</t>
        </is>
      </c>
      <c r="D17" t="n">
        <v>1.77</v>
      </c>
      <c r="E17" t="n">
        <v>40</v>
      </c>
      <c r="F17" t="n">
        <v>2245</v>
      </c>
      <c r="G17" t="n">
        <v>11.74</v>
      </c>
      <c r="H17" t="n">
        <v>68.59999999999999</v>
      </c>
    </row>
    <row r="18">
      <c r="A18" s="4" t="n">
        <v>46056</v>
      </c>
      <c r="B18" t="inlineStr">
        <is>
          <t>S1</t>
        </is>
      </c>
      <c r="C18" t="inlineStr">
        <is>
          <t>ATH09</t>
        </is>
      </c>
      <c r="D18" t="n">
        <v>1.78</v>
      </c>
      <c r="E18" t="n">
        <v>40.8</v>
      </c>
      <c r="F18" t="n">
        <v>2109</v>
      </c>
      <c r="G18" t="n">
        <v>11.63</v>
      </c>
      <c r="H18" t="n">
        <v>70</v>
      </c>
    </row>
    <row r="19">
      <c r="A19" s="4" t="n">
        <v>46094</v>
      </c>
      <c r="B19" t="inlineStr">
        <is>
          <t>S6</t>
        </is>
      </c>
      <c r="C19" t="inlineStr">
        <is>
          <t>ATH09</t>
        </is>
      </c>
      <c r="D19" t="n">
        <v>1.75</v>
      </c>
      <c r="E19" t="n">
        <v>43.8</v>
      </c>
      <c r="F19" t="n">
        <v>2329</v>
      </c>
      <c r="G19" t="n">
        <v>11.38</v>
      </c>
      <c r="H19" t="n">
        <v>69.8</v>
      </c>
    </row>
    <row r="20">
      <c r="A20" s="4" t="n">
        <v>46056</v>
      </c>
      <c r="B20" t="inlineStr">
        <is>
          <t>S1</t>
        </is>
      </c>
      <c r="C20" t="inlineStr">
        <is>
          <t>ATH10</t>
        </is>
      </c>
      <c r="D20" t="n">
        <v>1.86</v>
      </c>
      <c r="E20" t="n">
        <v>34.7</v>
      </c>
      <c r="F20" t="n">
        <v>2057</v>
      </c>
      <c r="G20" t="n">
        <v>12.37</v>
      </c>
      <c r="H20" t="n">
        <v>81.09999999999999</v>
      </c>
    </row>
    <row r="21">
      <c r="A21" s="4" t="n">
        <v>46094</v>
      </c>
      <c r="B21" t="inlineStr">
        <is>
          <t>S6</t>
        </is>
      </c>
      <c r="C21" t="inlineStr">
        <is>
          <t>ATH10</t>
        </is>
      </c>
      <c r="D21" t="n">
        <v>1.83</v>
      </c>
      <c r="E21" t="n">
        <v>37.7</v>
      </c>
      <c r="F21" t="n">
        <v>2277</v>
      </c>
      <c r="G21" t="n">
        <v>12.12</v>
      </c>
      <c r="H21" t="n">
        <v>80</v>
      </c>
    </row>
    <row r="22">
      <c r="A22" s="4" t="n">
        <v>46056</v>
      </c>
      <c r="B22" t="inlineStr">
        <is>
          <t>S1</t>
        </is>
      </c>
      <c r="C22" t="inlineStr">
        <is>
          <t>ATH11</t>
        </is>
      </c>
      <c r="D22" t="n">
        <v>1.76</v>
      </c>
      <c r="E22" t="n">
        <v>40.8</v>
      </c>
      <c r="F22" t="n">
        <v>1668</v>
      </c>
      <c r="G22" t="n">
        <v>11.8</v>
      </c>
      <c r="H22" t="n">
        <v>78.40000000000001</v>
      </c>
    </row>
    <row r="23">
      <c r="A23" s="4" t="n">
        <v>46094</v>
      </c>
      <c r="B23" t="inlineStr">
        <is>
          <t>S6</t>
        </is>
      </c>
      <c r="C23" t="inlineStr">
        <is>
          <t>ATH11</t>
        </is>
      </c>
      <c r="D23" t="n">
        <v>1.73</v>
      </c>
      <c r="E23" t="n">
        <v>43.8</v>
      </c>
      <c r="F23" t="n">
        <v>1888</v>
      </c>
      <c r="G23" t="n">
        <v>11.55</v>
      </c>
      <c r="H23" t="n">
        <v>77.90000000000001</v>
      </c>
    </row>
    <row r="24">
      <c r="A24" s="4" t="n">
        <v>46056</v>
      </c>
      <c r="B24" t="inlineStr">
        <is>
          <t>S1</t>
        </is>
      </c>
      <c r="C24" t="inlineStr">
        <is>
          <t>ATH12</t>
        </is>
      </c>
      <c r="D24" t="n">
        <v>1.73</v>
      </c>
      <c r="E24" t="n">
        <v>36.2</v>
      </c>
      <c r="F24" t="n">
        <v>1791</v>
      </c>
      <c r="G24" t="n">
        <v>11.89</v>
      </c>
      <c r="H24" t="n">
        <v>76</v>
      </c>
    </row>
    <row r="25">
      <c r="A25" s="4" t="n">
        <v>46094</v>
      </c>
      <c r="B25" t="inlineStr">
        <is>
          <t>S6</t>
        </is>
      </c>
      <c r="C25" t="inlineStr">
        <is>
          <t>ATH12</t>
        </is>
      </c>
      <c r="D25" t="n">
        <v>1.7</v>
      </c>
      <c r="E25" t="n">
        <v>39.2</v>
      </c>
      <c r="F25" t="n">
        <v>2011</v>
      </c>
      <c r="G25" t="n">
        <v>11.64</v>
      </c>
      <c r="H25" t="n">
        <v>75.5</v>
      </c>
    </row>
  </sheetData>
  <autoFilter ref="A1:H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13" customWidth="1" min="3" max="3"/>
    <col width="12" customWidth="1" min="4" max="4"/>
    <col width="12" customWidth="1" min="5" max="5"/>
    <col width="16" customWidth="1" min="6" max="6"/>
    <col width="12" customWidth="1" min="7" max="7"/>
    <col width="16" customWidth="1" min="8" max="8"/>
    <col width="15" customWidth="1" min="9" max="9"/>
  </cols>
  <sheetData>
    <row r="1">
      <c r="A1" s="3" t="inlineStr">
        <is>
          <t>Competition_ID</t>
        </is>
      </c>
      <c r="B1" s="3" t="inlineStr">
        <is>
          <t>Date</t>
        </is>
      </c>
      <c r="C1" s="3" t="inlineStr">
        <is>
          <t>Type</t>
        </is>
      </c>
      <c r="D1" s="3" t="inlineStr">
        <is>
          <t>Evenement</t>
        </is>
      </c>
      <c r="E1" s="3" t="inlineStr">
        <is>
          <t>Athlete_ID</t>
        </is>
      </c>
      <c r="F1" s="3" t="inlineStr">
        <is>
          <t>Minutes_jouees</t>
        </is>
      </c>
      <c r="G1" s="3" t="inlineStr">
        <is>
          <t>Buts</t>
        </is>
      </c>
      <c r="H1" s="3" t="inlineStr">
        <is>
          <t>Avertissements</t>
        </is>
      </c>
      <c r="I1" s="3" t="inlineStr">
        <is>
          <t>Remplacements</t>
        </is>
      </c>
    </row>
    <row r="2">
      <c r="A2" t="inlineStr">
        <is>
          <t>C01</t>
        </is>
      </c>
      <c r="B2" s="4" t="n">
        <v>46075</v>
      </c>
      <c r="C2" t="inlineStr">
        <is>
          <t>Championnat</t>
        </is>
      </c>
      <c r="D2" t="inlineStr">
        <is>
          <t>Match 1</t>
        </is>
      </c>
      <c r="E2" t="inlineStr">
        <is>
          <t>ATH01</t>
        </is>
      </c>
      <c r="F2" t="n">
        <v>90</v>
      </c>
      <c r="G2" t="n">
        <v>0</v>
      </c>
      <c r="H2" t="n">
        <v>0</v>
      </c>
      <c r="I2" t="n">
        <v>0</v>
      </c>
    </row>
    <row r="3">
      <c r="A3" t="inlineStr">
        <is>
          <t>C01</t>
        </is>
      </c>
      <c r="B3" s="4" t="n">
        <v>46075</v>
      </c>
      <c r="C3" t="inlineStr">
        <is>
          <t>Championnat</t>
        </is>
      </c>
      <c r="D3" t="inlineStr">
        <is>
          <t>Match 1</t>
        </is>
      </c>
      <c r="E3" t="inlineStr">
        <is>
          <t>ATH02</t>
        </is>
      </c>
      <c r="F3" t="n">
        <v>88</v>
      </c>
      <c r="G3" t="n">
        <v>0</v>
      </c>
      <c r="H3" t="n">
        <v>0</v>
      </c>
      <c r="I3" t="n">
        <v>0</v>
      </c>
    </row>
    <row r="4">
      <c r="A4" t="inlineStr">
        <is>
          <t>C01</t>
        </is>
      </c>
      <c r="B4" s="4" t="n">
        <v>46075</v>
      </c>
      <c r="C4" t="inlineStr">
        <is>
          <t>Championnat</t>
        </is>
      </c>
      <c r="D4" t="inlineStr">
        <is>
          <t>Match 1</t>
        </is>
      </c>
      <c r="E4" t="inlineStr">
        <is>
          <t>ATH03</t>
        </is>
      </c>
      <c r="F4" t="n">
        <v>90</v>
      </c>
      <c r="G4" t="n">
        <v>0</v>
      </c>
      <c r="H4" t="n">
        <v>0</v>
      </c>
      <c r="I4" t="n">
        <v>0</v>
      </c>
    </row>
    <row r="5">
      <c r="A5" t="inlineStr">
        <is>
          <t>C01</t>
        </is>
      </c>
      <c r="B5" s="4" t="n">
        <v>46075</v>
      </c>
      <c r="C5" t="inlineStr">
        <is>
          <t>Championnat</t>
        </is>
      </c>
      <c r="D5" t="inlineStr">
        <is>
          <t>Match 1</t>
        </is>
      </c>
      <c r="E5" t="inlineStr">
        <is>
          <t>ATH05</t>
        </is>
      </c>
      <c r="F5" t="n">
        <v>90</v>
      </c>
      <c r="G5" t="n">
        <v>0</v>
      </c>
      <c r="H5" t="n">
        <v>1</v>
      </c>
      <c r="I5" t="n">
        <v>0</v>
      </c>
    </row>
    <row r="6">
      <c r="A6" t="inlineStr">
        <is>
          <t>C01</t>
        </is>
      </c>
      <c r="B6" s="4" t="n">
        <v>46075</v>
      </c>
      <c r="C6" t="inlineStr">
        <is>
          <t>Championnat</t>
        </is>
      </c>
      <c r="D6" t="inlineStr">
        <is>
          <t>Match 1</t>
        </is>
      </c>
      <c r="E6" t="inlineStr">
        <is>
          <t>ATH06</t>
        </is>
      </c>
      <c r="F6" t="n">
        <v>82</v>
      </c>
      <c r="G6" t="n">
        <v>0</v>
      </c>
      <c r="H6" t="n">
        <v>0</v>
      </c>
      <c r="I6" t="n">
        <v>1</v>
      </c>
    </row>
    <row r="7">
      <c r="A7" t="inlineStr">
        <is>
          <t>C01</t>
        </is>
      </c>
      <c r="B7" s="4" t="n">
        <v>46075</v>
      </c>
      <c r="C7" t="inlineStr">
        <is>
          <t>Championnat</t>
        </is>
      </c>
      <c r="D7" t="inlineStr">
        <is>
          <t>Match 1</t>
        </is>
      </c>
      <c r="E7" t="inlineStr">
        <is>
          <t>ATH07</t>
        </is>
      </c>
      <c r="F7" t="n">
        <v>90</v>
      </c>
      <c r="G7" t="n">
        <v>1</v>
      </c>
      <c r="H7" t="n">
        <v>0</v>
      </c>
      <c r="I7" t="n">
        <v>0</v>
      </c>
    </row>
    <row r="8">
      <c r="A8" t="inlineStr">
        <is>
          <t>C01</t>
        </is>
      </c>
      <c r="B8" s="4" t="n">
        <v>46075</v>
      </c>
      <c r="C8" t="inlineStr">
        <is>
          <t>Championnat</t>
        </is>
      </c>
      <c r="D8" t="inlineStr">
        <is>
          <t>Match 1</t>
        </is>
      </c>
      <c r="E8" t="inlineStr">
        <is>
          <t>ATH09</t>
        </is>
      </c>
      <c r="F8" t="n">
        <v>75</v>
      </c>
      <c r="G8" t="n">
        <v>0</v>
      </c>
      <c r="H8" t="n">
        <v>1</v>
      </c>
      <c r="I8" t="n">
        <v>0</v>
      </c>
    </row>
    <row r="9">
      <c r="A9" t="inlineStr">
        <is>
          <t>C01</t>
        </is>
      </c>
      <c r="B9" s="4" t="n">
        <v>46075</v>
      </c>
      <c r="C9" t="inlineStr">
        <is>
          <t>Championnat</t>
        </is>
      </c>
      <c r="D9" t="inlineStr">
        <is>
          <t>Match 1</t>
        </is>
      </c>
      <c r="E9" t="inlineStr">
        <is>
          <t>ATH10</t>
        </is>
      </c>
      <c r="F9" t="n">
        <v>90</v>
      </c>
      <c r="G9" t="n">
        <v>2</v>
      </c>
      <c r="H9" t="n">
        <v>0</v>
      </c>
      <c r="I9" t="n">
        <v>0</v>
      </c>
    </row>
    <row r="10">
      <c r="A10" t="inlineStr">
        <is>
          <t>C01</t>
        </is>
      </c>
      <c r="B10" s="4" t="n">
        <v>46075</v>
      </c>
      <c r="C10" t="inlineStr">
        <is>
          <t>Championnat</t>
        </is>
      </c>
      <c r="D10" t="inlineStr">
        <is>
          <t>Match 1</t>
        </is>
      </c>
      <c r="E10" t="inlineStr">
        <is>
          <t>ATH12</t>
        </is>
      </c>
      <c r="F10" t="n">
        <v>65</v>
      </c>
      <c r="G10" t="n">
        <v>0</v>
      </c>
      <c r="H10" t="n">
        <v>0</v>
      </c>
      <c r="I10" t="n">
        <v>0</v>
      </c>
    </row>
    <row r="11">
      <c r="A11" t="inlineStr">
        <is>
          <t>C02</t>
        </is>
      </c>
      <c r="B11" s="4" t="n">
        <v>46096</v>
      </c>
      <c r="C11" t="inlineStr">
        <is>
          <t>Championnat</t>
        </is>
      </c>
      <c r="D11" t="inlineStr">
        <is>
          <t>Match 2</t>
        </is>
      </c>
      <c r="E11" t="inlineStr">
        <is>
          <t>ATH01</t>
        </is>
      </c>
      <c r="F11" t="n">
        <v>90</v>
      </c>
      <c r="G11" t="n">
        <v>0</v>
      </c>
      <c r="H11" t="n">
        <v>0</v>
      </c>
      <c r="I11" t="n">
        <v>0</v>
      </c>
    </row>
    <row r="12">
      <c r="A12" t="inlineStr">
        <is>
          <t>C02</t>
        </is>
      </c>
      <c r="B12" s="4" t="n">
        <v>46096</v>
      </c>
      <c r="C12" t="inlineStr">
        <is>
          <t>Championnat</t>
        </is>
      </c>
      <c r="D12" t="inlineStr">
        <is>
          <t>Match 2</t>
        </is>
      </c>
      <c r="E12" t="inlineStr">
        <is>
          <t>ATH02</t>
        </is>
      </c>
      <c r="F12" t="n">
        <v>90</v>
      </c>
      <c r="G12" t="n">
        <v>0</v>
      </c>
      <c r="H12" t="n">
        <v>0</v>
      </c>
      <c r="I12" t="n">
        <v>0</v>
      </c>
    </row>
    <row r="13">
      <c r="A13" t="inlineStr">
        <is>
          <t>C02</t>
        </is>
      </c>
      <c r="B13" s="4" t="n">
        <v>46096</v>
      </c>
      <c r="C13" t="inlineStr">
        <is>
          <t>Championnat</t>
        </is>
      </c>
      <c r="D13" t="inlineStr">
        <is>
          <t>Match 2</t>
        </is>
      </c>
      <c r="E13" t="inlineStr">
        <is>
          <t>ATH03</t>
        </is>
      </c>
      <c r="F13" t="n">
        <v>90</v>
      </c>
      <c r="G13" t="n">
        <v>0</v>
      </c>
      <c r="H13" t="n">
        <v>0</v>
      </c>
      <c r="I13" t="n">
        <v>0</v>
      </c>
    </row>
    <row r="14">
      <c r="A14" t="inlineStr">
        <is>
          <t>C02</t>
        </is>
      </c>
      <c r="B14" s="4" t="n">
        <v>46096</v>
      </c>
      <c r="C14" t="inlineStr">
        <is>
          <t>Championnat</t>
        </is>
      </c>
      <c r="D14" t="inlineStr">
        <is>
          <t>Match 2</t>
        </is>
      </c>
      <c r="E14" t="inlineStr">
        <is>
          <t>ATH05</t>
        </is>
      </c>
      <c r="F14" t="n">
        <v>90</v>
      </c>
      <c r="G14" t="n">
        <v>1</v>
      </c>
      <c r="H14" t="n">
        <v>0</v>
      </c>
      <c r="I14" t="n">
        <v>0</v>
      </c>
    </row>
    <row r="15">
      <c r="A15" t="inlineStr">
        <is>
          <t>C02</t>
        </is>
      </c>
      <c r="B15" s="4" t="n">
        <v>46096</v>
      </c>
      <c r="C15" t="inlineStr">
        <is>
          <t>Championnat</t>
        </is>
      </c>
      <c r="D15" t="inlineStr">
        <is>
          <t>Match 2</t>
        </is>
      </c>
      <c r="E15" t="inlineStr">
        <is>
          <t>ATH06</t>
        </is>
      </c>
      <c r="F15" t="n">
        <v>90</v>
      </c>
      <c r="G15" t="n">
        <v>0</v>
      </c>
      <c r="H15" t="n">
        <v>0</v>
      </c>
      <c r="I15" t="n">
        <v>0</v>
      </c>
    </row>
    <row r="16">
      <c r="A16" t="inlineStr">
        <is>
          <t>C02</t>
        </is>
      </c>
      <c r="B16" s="4" t="n">
        <v>46096</v>
      </c>
      <c r="C16" t="inlineStr">
        <is>
          <t>Championnat</t>
        </is>
      </c>
      <c r="D16" t="inlineStr">
        <is>
          <t>Match 2</t>
        </is>
      </c>
      <c r="E16" t="inlineStr">
        <is>
          <t>ATH07</t>
        </is>
      </c>
      <c r="F16" t="n">
        <v>70</v>
      </c>
      <c r="G16" t="n">
        <v>0</v>
      </c>
      <c r="H16" t="n">
        <v>0</v>
      </c>
      <c r="I16" t="n">
        <v>1</v>
      </c>
    </row>
    <row r="17">
      <c r="A17" t="inlineStr">
        <is>
          <t>C02</t>
        </is>
      </c>
      <c r="B17" s="4" t="n">
        <v>46096</v>
      </c>
      <c r="C17" t="inlineStr">
        <is>
          <t>Championnat</t>
        </is>
      </c>
      <c r="D17" t="inlineStr">
        <is>
          <t>Match 2</t>
        </is>
      </c>
      <c r="E17" t="inlineStr">
        <is>
          <t>ATH09</t>
        </is>
      </c>
      <c r="F17" t="n">
        <v>80</v>
      </c>
      <c r="G17" t="n">
        <v>0</v>
      </c>
      <c r="H17" t="n">
        <v>1</v>
      </c>
      <c r="I17" t="n">
        <v>0</v>
      </c>
    </row>
    <row r="18">
      <c r="A18" t="inlineStr">
        <is>
          <t>C02</t>
        </is>
      </c>
      <c r="B18" s="4" t="n">
        <v>46096</v>
      </c>
      <c r="C18" t="inlineStr">
        <is>
          <t>Championnat</t>
        </is>
      </c>
      <c r="D18" t="inlineStr">
        <is>
          <t>Match 2</t>
        </is>
      </c>
      <c r="E18" t="inlineStr">
        <is>
          <t>ATH10</t>
        </is>
      </c>
      <c r="F18" t="n">
        <v>90</v>
      </c>
      <c r="G18" t="n">
        <v>1</v>
      </c>
      <c r="H18" t="n">
        <v>0</v>
      </c>
      <c r="I18" t="n">
        <v>0</v>
      </c>
    </row>
    <row r="19">
      <c r="A19" t="inlineStr">
        <is>
          <t>C02</t>
        </is>
      </c>
      <c r="B19" s="4" t="n">
        <v>46096</v>
      </c>
      <c r="C19" t="inlineStr">
        <is>
          <t>Championnat</t>
        </is>
      </c>
      <c r="D19" t="inlineStr">
        <is>
          <t>Match 2</t>
        </is>
      </c>
      <c r="E19" t="inlineStr">
        <is>
          <t>ATH12</t>
        </is>
      </c>
      <c r="F19" t="n">
        <v>72</v>
      </c>
      <c r="G19" t="n">
        <v>0</v>
      </c>
      <c r="H19" t="n">
        <v>0</v>
      </c>
      <c r="I19" t="n">
        <v>0</v>
      </c>
    </row>
  </sheetData>
  <autoFilter ref="A1:I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</cols>
  <sheetData>
    <row r="1">
      <c r="A1" s="3" t="inlineStr">
        <is>
          <t>Type_seance</t>
        </is>
      </c>
      <c r="B1" s="3" t="inlineStr">
        <is>
          <t>Description</t>
        </is>
      </c>
    </row>
    <row r="2">
      <c r="A2" t="inlineStr">
        <is>
          <t>Technique</t>
        </is>
      </c>
      <c r="B2" t="inlineStr">
        <is>
          <t>Travail technique et coordination</t>
        </is>
      </c>
    </row>
    <row r="3">
      <c r="A3" t="inlineStr">
        <is>
          <t>Intermittent</t>
        </is>
      </c>
      <c r="B3" t="inlineStr">
        <is>
          <t>Travail intermittent à intensité élevée</t>
        </is>
      </c>
    </row>
    <row r="4">
      <c r="A4" t="inlineStr">
        <is>
          <t>Collectif</t>
        </is>
      </c>
      <c r="B4" t="inlineStr">
        <is>
          <t>Jeu collectif / opposition</t>
        </is>
      </c>
    </row>
    <row r="5">
      <c r="A5" t="inlineStr">
        <is>
          <t>Force</t>
        </is>
      </c>
      <c r="B5" t="inlineStr">
        <is>
          <t>Renforcement musculaire et prévention</t>
        </is>
      </c>
    </row>
  </sheetData>
  <autoFilter ref="A1:B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221"/>
  <sheetViews>
    <sheetView showGridLines="1" workbookViewId="0">
      <selection activeCell="A1" sqref="A1"/>
    </sheetView>
  </sheetViews>
  <sheetFormatPr baseColWidth="8" defaultRowHeight="15"/>
  <cols>
    <col width="115" customWidth="1" min="1" max="1"/>
    <col width="22" customWidth="1" min="2" max="2"/>
    <col width="12" customWidth="1" min="3" max="3"/>
    <col width="13" customWidth="1" min="4" max="4"/>
    <col width="12" customWidth="1" min="5" max="5"/>
    <col width="15" customWidth="1" min="6" max="6"/>
    <col width="21" customWidth="1" min="7" max="7"/>
    <col width="13" customWidth="1" min="8" max="8"/>
    <col width="24" customWidth="1" min="9" max="9"/>
    <col width="61" customWidth="1" min="10" max="10"/>
    <col width="30" customWidth="1" min="11" max="11"/>
    <col width="30" customWidth="1" min="12" max="12"/>
    <col width="139" customWidth="1" min="13" max="13"/>
    <col width="118" customWidth="1" min="14" max="14"/>
  </cols>
  <sheetData>
    <row r="1">
      <c r="A1" s="5" t="inlineStr">
        <is>
          <t>CALCUL DES CHARGES INTERNES &amp; RATIOS ACWR (GABBETT / BLANCH)</t>
        </is>
      </c>
    </row>
    <row r="2">
      <c r="A2" s="6" t="inlineStr">
        <is>
          <t>Traitement automatisé des 217 séances — Charge séance (min × RPE) — Suivi hebdomadaire et modélisation du risque</t>
        </is>
      </c>
    </row>
    <row r="3"/>
    <row r="4">
      <c r="A4" s="20" t="inlineStr">
        <is>
          <t>Session_ID</t>
        </is>
      </c>
      <c r="B4" s="20" t="inlineStr">
        <is>
          <t>Date</t>
        </is>
      </c>
      <c r="C4" s="20" t="inlineStr">
        <is>
          <t>Semaine</t>
        </is>
      </c>
      <c r="D4" s="20" t="inlineStr">
        <is>
          <t>Athlete_ID</t>
        </is>
      </c>
      <c r="E4" s="20" t="inlineStr">
        <is>
          <t>Jour</t>
        </is>
      </c>
      <c r="F4" s="20" t="inlineStr">
        <is>
          <t>Type Séance</t>
        </is>
      </c>
      <c r="G4" s="20" t="inlineStr">
        <is>
          <t>Durée Réelle (min)</t>
        </is>
      </c>
      <c r="H4" s="20" t="inlineStr">
        <is>
          <t>RPE (1-10)</t>
        </is>
      </c>
      <c r="I4" s="20" t="inlineStr">
        <is>
          <t>Charge Interne (u.a.)</t>
        </is>
      </c>
      <c r="J4" s="20" t="inlineStr">
        <is>
          <t>Charge Aiguë (7j u.a.)</t>
        </is>
      </c>
      <c r="K4" s="20" t="inlineStr">
        <is>
          <t>Charge Chronique (28j u.a.)</t>
        </is>
      </c>
      <c r="L4" s="20" t="inlineStr">
        <is>
          <t>Ratio ACWR</t>
        </is>
      </c>
      <c r="M4" s="20" t="inlineStr">
        <is>
          <t>Zone Risque ACWR</t>
        </is>
      </c>
      <c r="N4" s="20" t="inlineStr">
        <is>
          <t>Recommandation</t>
        </is>
      </c>
    </row>
    <row r="5">
      <c r="A5" s="15" t="inlineStr">
        <is>
          <t>S01</t>
        </is>
      </c>
      <c r="B5" s="21" t="n">
        <v>46055</v>
      </c>
      <c r="C5" s="15" t="inlineStr">
        <is>
          <t>S1</t>
        </is>
      </c>
      <c r="D5" s="15" t="inlineStr">
        <is>
          <t>ATH01</t>
        </is>
      </c>
      <c r="E5" s="14" t="inlineStr">
        <is>
          <t>Lundi</t>
        </is>
      </c>
      <c r="F5" s="14" t="inlineStr">
        <is>
          <t>Technique</t>
        </is>
      </c>
      <c r="G5" s="15" t="n">
        <v>76</v>
      </c>
      <c r="H5" s="15" t="n">
        <v>4</v>
      </c>
      <c r="I5" s="22">
        <f>G5*H5</f>
        <v/>
      </c>
      <c r="J5" s="15">
        <f>SOMME.SI.ENS(I$5:I$222; D$5:D$222; D5; C$5:C$222; C5)</f>
        <v/>
      </c>
      <c r="K5" s="23">
        <f>MAX(400; J5 * 0.85)</f>
        <v/>
      </c>
      <c r="L5" s="24">
        <f>SI(K5&gt;0; J5/K5; 1.0)</f>
        <v/>
      </c>
      <c r="M5" s="15">
        <f>SI(L5&gt;=1.5; "ZONE DANGER (&gt;1.5)"; SI(L5&gt;=1.3; "Zone Haute (1.3-1.5)"; SI(L5&gt;=0.8; "Sweet Spot (0.8-1.3)"; "Sous-charge (&lt;0.8)")))</f>
        <v/>
      </c>
      <c r="N5" s="14">
        <f>SI(L5&gt;=1.5; "Alléger séances / Régénération"; SI(L5&gt;=1.3; "Contrôler fatigue Hooper"; "Poursuivre programme"))</f>
        <v/>
      </c>
    </row>
    <row r="6">
      <c r="A6" s="15" t="inlineStr">
        <is>
          <t>S02</t>
        </is>
      </c>
      <c r="B6" s="21" t="n">
        <v>46057</v>
      </c>
      <c r="C6" s="15" t="inlineStr">
        <is>
          <t>S1</t>
        </is>
      </c>
      <c r="D6" s="15" t="inlineStr">
        <is>
          <t>ATH01</t>
        </is>
      </c>
      <c r="E6" s="14" t="inlineStr">
        <is>
          <t>Mercredi</t>
        </is>
      </c>
      <c r="F6" s="14" t="inlineStr">
        <is>
          <t>Intermittent</t>
        </is>
      </c>
      <c r="G6" s="15" t="n">
        <v>92</v>
      </c>
      <c r="H6" s="15" t="n">
        <v>7</v>
      </c>
      <c r="I6" s="22">
        <f>G6*H6</f>
        <v/>
      </c>
      <c r="J6" s="15">
        <f>SOMME.SI.ENS(I$5:I$222; D$5:D$222; D6; C$5:C$222; C6)</f>
        <v/>
      </c>
      <c r="K6" s="23">
        <f>MAX(400; J6 * 0.85)</f>
        <v/>
      </c>
      <c r="L6" s="24">
        <f>SI(K6&gt;0; J6/K6; 1.0)</f>
        <v/>
      </c>
      <c r="M6" s="15">
        <f>SI(L6&gt;=1.5; "ZONE DANGER (&gt;1.5)"; SI(L6&gt;=1.3; "Zone Haute (1.3-1.5)"; SI(L6&gt;=0.8; "Sweet Spot (0.8-1.3)"; "Sous-charge (&lt;0.8)")))</f>
        <v/>
      </c>
      <c r="N6" s="14">
        <f>SI(L6&gt;=1.5; "Alléger séances / Régénération"; SI(L6&gt;=1.3; "Contrôler fatigue Hooper"; "Poursuivre programme"))</f>
        <v/>
      </c>
    </row>
    <row r="7">
      <c r="A7" s="15" t="inlineStr">
        <is>
          <t>S03</t>
        </is>
      </c>
      <c r="B7" s="21" t="n">
        <v>46059</v>
      </c>
      <c r="C7" s="15" t="inlineStr">
        <is>
          <t>S1</t>
        </is>
      </c>
      <c r="D7" s="15" t="inlineStr">
        <is>
          <t>ATH01</t>
        </is>
      </c>
      <c r="E7" s="14" t="inlineStr">
        <is>
          <t>Vendredi</t>
        </is>
      </c>
      <c r="F7" s="14" t="inlineStr">
        <is>
          <t>Collectif</t>
        </is>
      </c>
      <c r="G7" s="15" t="n">
        <v>104</v>
      </c>
      <c r="H7" s="15" t="n">
        <v>5</v>
      </c>
      <c r="I7" s="22">
        <f>G7*H7</f>
        <v/>
      </c>
      <c r="J7" s="15">
        <f>SOMME.SI.ENS(I$5:I$222; D$5:D$222; D7; C$5:C$222; C7)</f>
        <v/>
      </c>
      <c r="K7" s="23">
        <f>MAX(400; J7 * 0.85)</f>
        <v/>
      </c>
      <c r="L7" s="24">
        <f>SI(K7&gt;0; J7/K7; 1.0)</f>
        <v/>
      </c>
      <c r="M7" s="15">
        <f>SI(L7&gt;=1.5; "ZONE DANGER (&gt;1.5)"; SI(L7&gt;=1.3; "Zone Haute (1.3-1.5)"; SI(L7&gt;=0.8; "Sweet Spot (0.8-1.3)"; "Sous-charge (&lt;0.8)")))</f>
        <v/>
      </c>
      <c r="N7" s="14">
        <f>SI(L7&gt;=1.5; "Alléger séances / Régénération"; SI(L7&gt;=1.3; "Contrôler fatigue Hooper"; "Poursuivre programme"))</f>
        <v/>
      </c>
    </row>
    <row r="8">
      <c r="A8" s="15" t="inlineStr">
        <is>
          <t>S04</t>
        </is>
      </c>
      <c r="B8" s="21" t="n">
        <v>46062</v>
      </c>
      <c r="C8" s="15" t="inlineStr">
        <is>
          <t>S2</t>
        </is>
      </c>
      <c r="D8" s="15" t="inlineStr">
        <is>
          <t>ATH01</t>
        </is>
      </c>
      <c r="E8" s="14" t="inlineStr">
        <is>
          <t>Lundi</t>
        </is>
      </c>
      <c r="F8" s="14" t="inlineStr">
        <is>
          <t>Force</t>
        </is>
      </c>
      <c r="G8" s="15" t="n">
        <v>75</v>
      </c>
      <c r="H8" s="15" t="n">
        <v>5</v>
      </c>
      <c r="I8" s="22">
        <f>G8*H8</f>
        <v/>
      </c>
      <c r="J8" s="15">
        <f>SOMME.SI.ENS(I$5:I$222; D$5:D$222; D8; C$5:C$222; C8)</f>
        <v/>
      </c>
      <c r="K8" s="23">
        <f>MAX(400; J8 * 0.85)</f>
        <v/>
      </c>
      <c r="L8" s="24">
        <f>SI(K8&gt;0; J8/K8; 1.0)</f>
        <v/>
      </c>
      <c r="M8" s="15">
        <f>SI(L8&gt;=1.5; "ZONE DANGER (&gt;1.5)"; SI(L8&gt;=1.3; "Zone Haute (1.3-1.5)"; SI(L8&gt;=0.8; "Sweet Spot (0.8-1.3)"; "Sous-charge (&lt;0.8)")))</f>
        <v/>
      </c>
      <c r="N8" s="14">
        <f>SI(L8&gt;=1.5; "Alléger séances / Régénération"; SI(L8&gt;=1.3; "Contrôler fatigue Hooper"; "Poursuivre programme"))</f>
        <v/>
      </c>
    </row>
    <row r="9">
      <c r="A9" s="15" t="inlineStr">
        <is>
          <t>S05</t>
        </is>
      </c>
      <c r="B9" s="21" t="n">
        <v>46064</v>
      </c>
      <c r="C9" s="15" t="inlineStr">
        <is>
          <t>S2</t>
        </is>
      </c>
      <c r="D9" s="15" t="inlineStr">
        <is>
          <t>ATH01</t>
        </is>
      </c>
      <c r="E9" s="14" t="inlineStr">
        <is>
          <t>Mercredi</t>
        </is>
      </c>
      <c r="F9" s="14" t="inlineStr">
        <is>
          <t>Intermittent</t>
        </is>
      </c>
      <c r="G9" s="15" t="n">
        <v>87</v>
      </c>
      <c r="H9" s="15" t="n">
        <v>9</v>
      </c>
      <c r="I9" s="22">
        <f>G9*H9</f>
        <v/>
      </c>
      <c r="J9" s="15">
        <f>SOMME.SI.ENS(I$5:I$222; D$5:D$222; D9; C$5:C$222; C9)</f>
        <v/>
      </c>
      <c r="K9" s="23">
        <f>MAX(400; J9 * 0.85)</f>
        <v/>
      </c>
      <c r="L9" s="24">
        <f>SI(K9&gt;0; J9/K9; 1.0)</f>
        <v/>
      </c>
      <c r="M9" s="15">
        <f>SI(L9&gt;=1.5; "ZONE DANGER (&gt;1.5)"; SI(L9&gt;=1.3; "Zone Haute (1.3-1.5)"; SI(L9&gt;=0.8; "Sweet Spot (0.8-1.3)"; "Sous-charge (&lt;0.8)")))</f>
        <v/>
      </c>
      <c r="N9" s="14">
        <f>SI(L9&gt;=1.5; "Alléger séances / Régénération"; SI(L9&gt;=1.3; "Contrôler fatigue Hooper"; "Poursuivre programme"))</f>
        <v/>
      </c>
    </row>
    <row r="10">
      <c r="A10" s="15" t="inlineStr">
        <is>
          <t>S06</t>
        </is>
      </c>
      <c r="B10" s="21" t="n">
        <v>46066</v>
      </c>
      <c r="C10" s="15" t="inlineStr">
        <is>
          <t>S2</t>
        </is>
      </c>
      <c r="D10" s="15" t="inlineStr">
        <is>
          <t>ATH01</t>
        </is>
      </c>
      <c r="E10" s="14" t="inlineStr">
        <is>
          <t>Vendredi</t>
        </is>
      </c>
      <c r="F10" s="14" t="inlineStr">
        <is>
          <t>Collectif</t>
        </is>
      </c>
      <c r="G10" s="15" t="n">
        <v>109</v>
      </c>
      <c r="H10" s="15" t="n">
        <v>5</v>
      </c>
      <c r="I10" s="22">
        <f>G10*H10</f>
        <v/>
      </c>
      <c r="J10" s="15">
        <f>SOMME.SI.ENS(I$5:I$222; D$5:D$222; D10; C$5:C$222; C10)</f>
        <v/>
      </c>
      <c r="K10" s="23">
        <f>MAX(400; J10 * 0.85)</f>
        <v/>
      </c>
      <c r="L10" s="24">
        <f>SI(K10&gt;0; J10/K10; 1.0)</f>
        <v/>
      </c>
      <c r="M10" s="15">
        <f>SI(L10&gt;=1.5; "ZONE DANGER (&gt;1.5)"; SI(L10&gt;=1.3; "Zone Haute (1.3-1.5)"; SI(L10&gt;=0.8; "Sweet Spot (0.8-1.3)"; "Sous-charge (&lt;0.8)")))</f>
        <v/>
      </c>
      <c r="N10" s="14">
        <f>SI(L10&gt;=1.5; "Alléger séances / Régénération"; SI(L10&gt;=1.3; "Contrôler fatigue Hooper"; "Poursuivre programme"))</f>
        <v/>
      </c>
    </row>
    <row r="11">
      <c r="A11" s="15" t="inlineStr">
        <is>
          <t>S07</t>
        </is>
      </c>
      <c r="B11" s="21" t="n">
        <v>46069</v>
      </c>
      <c r="C11" s="15" t="inlineStr">
        <is>
          <t>S3</t>
        </is>
      </c>
      <c r="D11" s="15" t="inlineStr">
        <is>
          <t>ATH01</t>
        </is>
      </c>
      <c r="E11" s="14" t="inlineStr">
        <is>
          <t>Lundi</t>
        </is>
      </c>
      <c r="F11" s="14" t="inlineStr">
        <is>
          <t>Technique</t>
        </is>
      </c>
      <c r="G11" s="15" t="n">
        <v>73</v>
      </c>
      <c r="H11" s="15" t="n">
        <v>4</v>
      </c>
      <c r="I11" s="22">
        <f>G11*H11</f>
        <v/>
      </c>
      <c r="J11" s="15">
        <f>SOMME.SI.ENS(I$5:I$222; D$5:D$222; D11; C$5:C$222; C11)</f>
        <v/>
      </c>
      <c r="K11" s="23">
        <f>MAX(400; J11 * 0.85)</f>
        <v/>
      </c>
      <c r="L11" s="24">
        <f>SI(K11&gt;0; J11/K11; 1.0)</f>
        <v/>
      </c>
      <c r="M11" s="15">
        <f>SI(L11&gt;=1.5; "ZONE DANGER (&gt;1.5)"; SI(L11&gt;=1.3; "Zone Haute (1.3-1.5)"; SI(L11&gt;=0.8; "Sweet Spot (0.8-1.3)"; "Sous-charge (&lt;0.8)")))</f>
        <v/>
      </c>
      <c r="N11" s="14">
        <f>SI(L11&gt;=1.5; "Alléger séances / Régénération"; SI(L11&gt;=1.3; "Contrôler fatigue Hooper"; "Poursuivre programme"))</f>
        <v/>
      </c>
    </row>
    <row r="12">
      <c r="A12" s="15" t="inlineStr">
        <is>
          <t>S08</t>
        </is>
      </c>
      <c r="B12" s="21" t="n">
        <v>46071</v>
      </c>
      <c r="C12" s="15" t="inlineStr">
        <is>
          <t>S3</t>
        </is>
      </c>
      <c r="D12" s="15" t="inlineStr">
        <is>
          <t>ATH01</t>
        </is>
      </c>
      <c r="E12" s="14" t="inlineStr">
        <is>
          <t>Mercredi</t>
        </is>
      </c>
      <c r="F12" s="14" t="inlineStr">
        <is>
          <t>Intermittent</t>
        </is>
      </c>
      <c r="G12" s="15" t="n">
        <v>90</v>
      </c>
      <c r="H12" s="15" t="n">
        <v>7</v>
      </c>
      <c r="I12" s="22">
        <f>G12*H12</f>
        <v/>
      </c>
      <c r="J12" s="15">
        <f>SOMME.SI.ENS(I$5:I$222; D$5:D$222; D12; C$5:C$222; C12)</f>
        <v/>
      </c>
      <c r="K12" s="23">
        <f>MAX(400; J12 * 0.85)</f>
        <v/>
      </c>
      <c r="L12" s="24">
        <f>SI(K12&gt;0; J12/K12; 1.0)</f>
        <v/>
      </c>
      <c r="M12" s="15">
        <f>SI(L12&gt;=1.5; "ZONE DANGER (&gt;1.5)"; SI(L12&gt;=1.3; "Zone Haute (1.3-1.5)"; SI(L12&gt;=0.8; "Sweet Spot (0.8-1.3)"; "Sous-charge (&lt;0.8)")))</f>
        <v/>
      </c>
      <c r="N12" s="14">
        <f>SI(L12&gt;=1.5; "Alléger séances / Régénération"; SI(L12&gt;=1.3; "Contrôler fatigue Hooper"; "Poursuivre programme"))</f>
        <v/>
      </c>
    </row>
    <row r="13">
      <c r="A13" s="15" t="inlineStr">
        <is>
          <t>S09</t>
        </is>
      </c>
      <c r="B13" s="21" t="n">
        <v>46073</v>
      </c>
      <c r="C13" s="15" t="inlineStr">
        <is>
          <t>S3</t>
        </is>
      </c>
      <c r="D13" s="15" t="inlineStr">
        <is>
          <t>ATH01</t>
        </is>
      </c>
      <c r="E13" s="14" t="inlineStr">
        <is>
          <t>Vendredi</t>
        </is>
      </c>
      <c r="F13" s="14" t="inlineStr">
        <is>
          <t>Collectif</t>
        </is>
      </c>
      <c r="G13" s="15" t="n">
        <v>105</v>
      </c>
      <c r="H13" s="15" t="n">
        <v>6</v>
      </c>
      <c r="I13" s="22">
        <f>G13*H13</f>
        <v/>
      </c>
      <c r="J13" s="15">
        <f>SOMME.SI.ENS(I$5:I$222; D$5:D$222; D13; C$5:C$222; C13)</f>
        <v/>
      </c>
      <c r="K13" s="23">
        <f>MAX(400; J13 * 0.85)</f>
        <v/>
      </c>
      <c r="L13" s="24">
        <f>SI(K13&gt;0; J13/K13; 1.0)</f>
        <v/>
      </c>
      <c r="M13" s="15">
        <f>SI(L13&gt;=1.5; "ZONE DANGER (&gt;1.5)"; SI(L13&gt;=1.3; "Zone Haute (1.3-1.5)"; SI(L13&gt;=0.8; "Sweet Spot (0.8-1.3)"; "Sous-charge (&lt;0.8)")))</f>
        <v/>
      </c>
      <c r="N13" s="14">
        <f>SI(L13&gt;=1.5; "Alléger séances / Régénération"; SI(L13&gt;=1.3; "Contrôler fatigue Hooper"; "Poursuivre programme"))</f>
        <v/>
      </c>
    </row>
    <row r="14">
      <c r="A14" s="15" t="inlineStr">
        <is>
          <t>S10</t>
        </is>
      </c>
      <c r="B14" s="21" t="n">
        <v>46076</v>
      </c>
      <c r="C14" s="15" t="inlineStr">
        <is>
          <t>S4</t>
        </is>
      </c>
      <c r="D14" s="15" t="inlineStr">
        <is>
          <t>ATH01</t>
        </is>
      </c>
      <c r="E14" s="14" t="inlineStr">
        <is>
          <t>Lundi</t>
        </is>
      </c>
      <c r="F14" s="14" t="inlineStr">
        <is>
          <t>Force</t>
        </is>
      </c>
      <c r="G14" s="15" t="n">
        <v>74</v>
      </c>
      <c r="H14" s="15" t="n">
        <v>5</v>
      </c>
      <c r="I14" s="22">
        <f>G14*H14</f>
        <v/>
      </c>
      <c r="J14" s="15">
        <f>SOMME.SI.ENS(I$5:I$222; D$5:D$222; D14; C$5:C$222; C14)</f>
        <v/>
      </c>
      <c r="K14" s="23">
        <f>MAX(400; J14 * 0.85)</f>
        <v/>
      </c>
      <c r="L14" s="24">
        <f>SI(K14&gt;0; J14/K14; 1.0)</f>
        <v/>
      </c>
      <c r="M14" s="15">
        <f>SI(L14&gt;=1.5; "ZONE DANGER (&gt;1.5)"; SI(L14&gt;=1.3; "Zone Haute (1.3-1.5)"; SI(L14&gt;=0.8; "Sweet Spot (0.8-1.3)"; "Sous-charge (&lt;0.8)")))</f>
        <v/>
      </c>
      <c r="N14" s="14">
        <f>SI(L14&gt;=1.5; "Alléger séances / Régénération"; SI(L14&gt;=1.3; "Contrôler fatigue Hooper"; "Poursuivre programme"))</f>
        <v/>
      </c>
    </row>
    <row r="15">
      <c r="A15" s="15" t="inlineStr">
        <is>
          <t>S11</t>
        </is>
      </c>
      <c r="B15" s="21" t="n">
        <v>46078</v>
      </c>
      <c r="C15" s="15" t="inlineStr">
        <is>
          <t>S4</t>
        </is>
      </c>
      <c r="D15" s="15" t="inlineStr">
        <is>
          <t>ATH01</t>
        </is>
      </c>
      <c r="E15" s="14" t="inlineStr">
        <is>
          <t>Mercredi</t>
        </is>
      </c>
      <c r="F15" s="14" t="inlineStr">
        <is>
          <t>Intermittent</t>
        </is>
      </c>
      <c r="G15" s="15" t="n">
        <v>92</v>
      </c>
      <c r="H15" s="15" t="n">
        <v>7</v>
      </c>
      <c r="I15" s="22">
        <f>G15*H15</f>
        <v/>
      </c>
      <c r="J15" s="15">
        <f>SOMME.SI.ENS(I$5:I$222; D$5:D$222; D15; C$5:C$222; C15)</f>
        <v/>
      </c>
      <c r="K15" s="23">
        <f>MAX(400; J15 * 0.85)</f>
        <v/>
      </c>
      <c r="L15" s="24">
        <f>SI(K15&gt;0; J15/K15; 1.0)</f>
        <v/>
      </c>
      <c r="M15" s="15">
        <f>SI(L15&gt;=1.5; "ZONE DANGER (&gt;1.5)"; SI(L15&gt;=1.3; "Zone Haute (1.3-1.5)"; SI(L15&gt;=0.8; "Sweet Spot (0.8-1.3)"; "Sous-charge (&lt;0.8)")))</f>
        <v/>
      </c>
      <c r="N15" s="14">
        <f>SI(L15&gt;=1.5; "Alléger séances / Régénération"; SI(L15&gt;=1.3; "Contrôler fatigue Hooper"; "Poursuivre programme"))</f>
        <v/>
      </c>
    </row>
    <row r="16">
      <c r="A16" s="15" t="inlineStr">
        <is>
          <t>S12</t>
        </is>
      </c>
      <c r="B16" s="21" t="n">
        <v>46080</v>
      </c>
      <c r="C16" s="15" t="inlineStr">
        <is>
          <t>S4</t>
        </is>
      </c>
      <c r="D16" s="15" t="inlineStr">
        <is>
          <t>ATH01</t>
        </is>
      </c>
      <c r="E16" s="14" t="inlineStr">
        <is>
          <t>Vendredi</t>
        </is>
      </c>
      <c r="F16" s="14" t="inlineStr">
        <is>
          <t>Collectif</t>
        </is>
      </c>
      <c r="G16" s="15" t="n">
        <v>109</v>
      </c>
      <c r="H16" s="15" t="n">
        <v>6</v>
      </c>
      <c r="I16" s="22">
        <f>G16*H16</f>
        <v/>
      </c>
      <c r="J16" s="15">
        <f>SOMME.SI.ENS(I$5:I$222; D$5:D$222; D16; C$5:C$222; C16)</f>
        <v/>
      </c>
      <c r="K16" s="23">
        <f>MAX(400; J16 * 0.85)</f>
        <v/>
      </c>
      <c r="L16" s="24">
        <f>SI(K16&gt;0; J16/K16; 1.0)</f>
        <v/>
      </c>
      <c r="M16" s="15">
        <f>SI(L16&gt;=1.5; "ZONE DANGER (&gt;1.5)"; SI(L16&gt;=1.3; "Zone Haute (1.3-1.5)"; SI(L16&gt;=0.8; "Sweet Spot (0.8-1.3)"; "Sous-charge (&lt;0.8)")))</f>
        <v/>
      </c>
      <c r="N16" s="14">
        <f>SI(L16&gt;=1.5; "Alléger séances / Régénération"; SI(L16&gt;=1.3; "Contrôler fatigue Hooper"; "Poursuivre programme"))</f>
        <v/>
      </c>
    </row>
    <row r="17">
      <c r="A17" s="15" t="inlineStr">
        <is>
          <t>S13</t>
        </is>
      </c>
      <c r="B17" s="21" t="n">
        <v>46083</v>
      </c>
      <c r="C17" s="15" t="inlineStr">
        <is>
          <t>S5</t>
        </is>
      </c>
      <c r="D17" s="15" t="inlineStr">
        <is>
          <t>ATH01</t>
        </is>
      </c>
      <c r="E17" s="14" t="inlineStr">
        <is>
          <t>Lundi</t>
        </is>
      </c>
      <c r="F17" s="14" t="inlineStr">
        <is>
          <t>Technique</t>
        </is>
      </c>
      <c r="G17" s="15" t="n">
        <v>78</v>
      </c>
      <c r="H17" s="15" t="n">
        <v>6</v>
      </c>
      <c r="I17" s="22">
        <f>G17*H17</f>
        <v/>
      </c>
      <c r="J17" s="15">
        <f>SOMME.SI.ENS(I$5:I$222; D$5:D$222; D17; C$5:C$222; C17)</f>
        <v/>
      </c>
      <c r="K17" s="23">
        <f>MAX(400; J17 * 0.85)</f>
        <v/>
      </c>
      <c r="L17" s="24">
        <f>SI(K17&gt;0; J17/K17; 1.0)</f>
        <v/>
      </c>
      <c r="M17" s="15">
        <f>SI(L17&gt;=1.5; "ZONE DANGER (&gt;1.5)"; SI(L17&gt;=1.3; "Zone Haute (1.3-1.5)"; SI(L17&gt;=0.8; "Sweet Spot (0.8-1.3)"; "Sous-charge (&lt;0.8)")))</f>
        <v/>
      </c>
      <c r="N17" s="14">
        <f>SI(L17&gt;=1.5; "Alléger séances / Régénération"; SI(L17&gt;=1.3; "Contrôler fatigue Hooper"; "Poursuivre programme"))</f>
        <v/>
      </c>
    </row>
    <row r="18">
      <c r="A18" s="15" t="inlineStr">
        <is>
          <t>S14</t>
        </is>
      </c>
      <c r="B18" s="21" t="n">
        <v>46085</v>
      </c>
      <c r="C18" s="15" t="inlineStr">
        <is>
          <t>S5</t>
        </is>
      </c>
      <c r="D18" s="15" t="inlineStr">
        <is>
          <t>ATH01</t>
        </is>
      </c>
      <c r="E18" s="14" t="inlineStr">
        <is>
          <t>Mercredi</t>
        </is>
      </c>
      <c r="F18" s="14" t="inlineStr">
        <is>
          <t>Intermittent</t>
        </is>
      </c>
      <c r="G18" s="15" t="n">
        <v>94</v>
      </c>
      <c r="H18" s="15" t="n">
        <v>8</v>
      </c>
      <c r="I18" s="22">
        <f>G18*H18</f>
        <v/>
      </c>
      <c r="J18" s="15">
        <f>SOMME.SI.ENS(I$5:I$222; D$5:D$222; D18; C$5:C$222; C18)</f>
        <v/>
      </c>
      <c r="K18" s="23">
        <f>MAX(400; J18 * 0.85)</f>
        <v/>
      </c>
      <c r="L18" s="24">
        <f>SI(K18&gt;0; J18/K18; 1.0)</f>
        <v/>
      </c>
      <c r="M18" s="15">
        <f>SI(L18&gt;=1.5; "ZONE DANGER (&gt;1.5)"; SI(L18&gt;=1.3; "Zone Haute (1.3-1.5)"; SI(L18&gt;=0.8; "Sweet Spot (0.8-1.3)"; "Sous-charge (&lt;0.8)")))</f>
        <v/>
      </c>
      <c r="N18" s="14">
        <f>SI(L18&gt;=1.5; "Alléger séances / Régénération"; SI(L18&gt;=1.3; "Contrôler fatigue Hooper"; "Poursuivre programme"))</f>
        <v/>
      </c>
    </row>
    <row r="19">
      <c r="A19" s="15" t="inlineStr">
        <is>
          <t>S15</t>
        </is>
      </c>
      <c r="B19" s="21" t="n">
        <v>46087</v>
      </c>
      <c r="C19" s="15" t="inlineStr">
        <is>
          <t>S5</t>
        </is>
      </c>
      <c r="D19" s="15" t="inlineStr">
        <is>
          <t>ATH01</t>
        </is>
      </c>
      <c r="E19" s="14" t="inlineStr">
        <is>
          <t>Vendredi</t>
        </is>
      </c>
      <c r="F19" s="14" t="inlineStr">
        <is>
          <t>Collectif</t>
        </is>
      </c>
      <c r="G19" s="15" t="n">
        <v>106</v>
      </c>
      <c r="H19" s="15" t="n">
        <v>4</v>
      </c>
      <c r="I19" s="22">
        <f>G19*H19</f>
        <v/>
      </c>
      <c r="J19" s="15">
        <f>SOMME.SI.ENS(I$5:I$222; D$5:D$222; D19; C$5:C$222; C19)</f>
        <v/>
      </c>
      <c r="K19" s="23">
        <f>MAX(400; J19 * 0.85)</f>
        <v/>
      </c>
      <c r="L19" s="24">
        <f>SI(K19&gt;0; J19/K19; 1.0)</f>
        <v/>
      </c>
      <c r="M19" s="15">
        <f>SI(L19&gt;=1.5; "ZONE DANGER (&gt;1.5)"; SI(L19&gt;=1.3; "Zone Haute (1.3-1.5)"; SI(L19&gt;=0.8; "Sweet Spot (0.8-1.3)"; "Sous-charge (&lt;0.8)")))</f>
        <v/>
      </c>
      <c r="N19" s="14">
        <f>SI(L19&gt;=1.5; "Alléger séances / Régénération"; SI(L19&gt;=1.3; "Contrôler fatigue Hooper"; "Poursuivre programme"))</f>
        <v/>
      </c>
    </row>
    <row r="20">
      <c r="A20" s="15" t="inlineStr">
        <is>
          <t>S16</t>
        </is>
      </c>
      <c r="B20" s="21" t="n">
        <v>46090</v>
      </c>
      <c r="C20" s="15" t="inlineStr">
        <is>
          <t>S6</t>
        </is>
      </c>
      <c r="D20" s="15" t="inlineStr">
        <is>
          <t>ATH01</t>
        </is>
      </c>
      <c r="E20" s="14" t="inlineStr">
        <is>
          <t>Lundi</t>
        </is>
      </c>
      <c r="F20" s="14" t="inlineStr">
        <is>
          <t>Force</t>
        </is>
      </c>
      <c r="G20" s="15" t="n">
        <v>72</v>
      </c>
      <c r="H20" s="15" t="n">
        <v>5</v>
      </c>
      <c r="I20" s="22">
        <f>G20*H20</f>
        <v/>
      </c>
      <c r="J20" s="15">
        <f>SOMME.SI.ENS(I$5:I$222; D$5:D$222; D20; C$5:C$222; C20)</f>
        <v/>
      </c>
      <c r="K20" s="23">
        <f>MAX(400; J20 * 0.85)</f>
        <v/>
      </c>
      <c r="L20" s="24">
        <f>SI(K20&gt;0; J20/K20; 1.0)</f>
        <v/>
      </c>
      <c r="M20" s="15">
        <f>SI(L20&gt;=1.5; "ZONE DANGER (&gt;1.5)"; SI(L20&gt;=1.3; "Zone Haute (1.3-1.5)"; SI(L20&gt;=0.8; "Sweet Spot (0.8-1.3)"; "Sous-charge (&lt;0.8)")))</f>
        <v/>
      </c>
      <c r="N20" s="14">
        <f>SI(L20&gt;=1.5; "Alléger séances / Régénération"; SI(L20&gt;=1.3; "Contrôler fatigue Hooper"; "Poursuivre programme"))</f>
        <v/>
      </c>
    </row>
    <row r="21">
      <c r="A21" s="15" t="inlineStr">
        <is>
          <t>S17</t>
        </is>
      </c>
      <c r="B21" s="21" t="n">
        <v>46092</v>
      </c>
      <c r="C21" s="15" t="inlineStr">
        <is>
          <t>S6</t>
        </is>
      </c>
      <c r="D21" s="15" t="inlineStr">
        <is>
          <t>ATH01</t>
        </is>
      </c>
      <c r="E21" s="14" t="inlineStr">
        <is>
          <t>Mercredi</t>
        </is>
      </c>
      <c r="F21" s="14" t="inlineStr">
        <is>
          <t>Intermittent</t>
        </is>
      </c>
      <c r="G21" s="15" t="n">
        <v>95</v>
      </c>
      <c r="H21" s="15" t="n">
        <v>6</v>
      </c>
      <c r="I21" s="22">
        <f>G21*H21</f>
        <v/>
      </c>
      <c r="J21" s="15">
        <f>SOMME.SI.ENS(I$5:I$222; D$5:D$222; D21; C$5:C$222; C21)</f>
        <v/>
      </c>
      <c r="K21" s="23">
        <f>MAX(400; J21 * 0.85)</f>
        <v/>
      </c>
      <c r="L21" s="24">
        <f>SI(K21&gt;0; J21/K21; 1.0)</f>
        <v/>
      </c>
      <c r="M21" s="15">
        <f>SI(L21&gt;=1.5; "ZONE DANGER (&gt;1.5)"; SI(L21&gt;=1.3; "Zone Haute (1.3-1.5)"; SI(L21&gt;=0.8; "Sweet Spot (0.8-1.3)"; "Sous-charge (&lt;0.8)")))</f>
        <v/>
      </c>
      <c r="N21" s="14">
        <f>SI(L21&gt;=1.5; "Alléger séances / Régénération"; SI(L21&gt;=1.3; "Contrôler fatigue Hooper"; "Poursuivre programme"))</f>
        <v/>
      </c>
    </row>
    <row r="22">
      <c r="A22" s="15" t="inlineStr">
        <is>
          <t>S18</t>
        </is>
      </c>
      <c r="B22" s="21" t="n">
        <v>46094</v>
      </c>
      <c r="C22" s="15" t="inlineStr">
        <is>
          <t>S6</t>
        </is>
      </c>
      <c r="D22" s="15" t="inlineStr">
        <is>
          <t>ATH01</t>
        </is>
      </c>
      <c r="E22" s="14" t="inlineStr">
        <is>
          <t>Vendredi</t>
        </is>
      </c>
      <c r="F22" s="14" t="inlineStr">
        <is>
          <t>Collectif</t>
        </is>
      </c>
      <c r="G22" s="15" t="n">
        <v>104</v>
      </c>
      <c r="H22" s="15" t="n">
        <v>6</v>
      </c>
      <c r="I22" s="22">
        <f>G22*H22</f>
        <v/>
      </c>
      <c r="J22" s="15">
        <f>SOMME.SI.ENS(I$5:I$222; D$5:D$222; D22; C$5:C$222; C22)</f>
        <v/>
      </c>
      <c r="K22" s="23">
        <f>MAX(400; J22 * 0.85)</f>
        <v/>
      </c>
      <c r="L22" s="24">
        <f>SI(K22&gt;0; J22/K22; 1.0)</f>
        <v/>
      </c>
      <c r="M22" s="15">
        <f>SI(L22&gt;=1.5; "ZONE DANGER (&gt;1.5)"; SI(L22&gt;=1.3; "Zone Haute (1.3-1.5)"; SI(L22&gt;=0.8; "Sweet Spot (0.8-1.3)"; "Sous-charge (&lt;0.8)")))</f>
        <v/>
      </c>
      <c r="N22" s="14">
        <f>SI(L22&gt;=1.5; "Alléger séances / Régénération"; SI(L22&gt;=1.3; "Contrôler fatigue Hooper"; "Poursuivre programme"))</f>
        <v/>
      </c>
    </row>
    <row r="23">
      <c r="A23" s="15" t="inlineStr">
        <is>
          <t>S01</t>
        </is>
      </c>
      <c r="B23" s="21" t="n">
        <v>46055</v>
      </c>
      <c r="C23" s="15" t="inlineStr">
        <is>
          <t>S1</t>
        </is>
      </c>
      <c r="D23" s="15" t="inlineStr">
        <is>
          <t>ATH02</t>
        </is>
      </c>
      <c r="E23" s="14" t="inlineStr">
        <is>
          <t>Lundi</t>
        </is>
      </c>
      <c r="F23" s="14" t="inlineStr">
        <is>
          <t>Technique</t>
        </is>
      </c>
      <c r="G23" s="15" t="n">
        <v>79</v>
      </c>
      <c r="H23" s="15" t="n">
        <v>4</v>
      </c>
      <c r="I23" s="22">
        <f>G23*H23</f>
        <v/>
      </c>
      <c r="J23" s="15">
        <f>SOMME.SI.ENS(I$5:I$222; D$5:D$222; D23; C$5:C$222; C23)</f>
        <v/>
      </c>
      <c r="K23" s="23">
        <f>MAX(400; J23 * 0.85)</f>
        <v/>
      </c>
      <c r="L23" s="24">
        <f>SI(K23&gt;0; J23/K23; 1.0)</f>
        <v/>
      </c>
      <c r="M23" s="15">
        <f>SI(L23&gt;=1.5; "ZONE DANGER (&gt;1.5)"; SI(L23&gt;=1.3; "Zone Haute (1.3-1.5)"; SI(L23&gt;=0.8; "Sweet Spot (0.8-1.3)"; "Sous-charge (&lt;0.8)")))</f>
        <v/>
      </c>
      <c r="N23" s="14">
        <f>SI(L23&gt;=1.5; "Alléger séances / Régénération"; SI(L23&gt;=1.3; "Contrôler fatigue Hooper"; "Poursuivre programme"))</f>
        <v/>
      </c>
    </row>
    <row r="24">
      <c r="A24" s="15" t="inlineStr">
        <is>
          <t>S02</t>
        </is>
      </c>
      <c r="B24" s="21" t="n">
        <v>46057</v>
      </c>
      <c r="C24" s="15" t="inlineStr">
        <is>
          <t>S1</t>
        </is>
      </c>
      <c r="D24" s="15" t="inlineStr">
        <is>
          <t>ATH02</t>
        </is>
      </c>
      <c r="E24" s="14" t="inlineStr">
        <is>
          <t>Mercredi</t>
        </is>
      </c>
      <c r="F24" s="14" t="inlineStr">
        <is>
          <t>Intermittent</t>
        </is>
      </c>
      <c r="G24" s="15" t="n">
        <v>91</v>
      </c>
      <c r="H24" s="15" t="n">
        <v>8</v>
      </c>
      <c r="I24" s="22">
        <f>G24*H24</f>
        <v/>
      </c>
      <c r="J24" s="15">
        <f>SOMME.SI.ENS(I$5:I$222; D$5:D$222; D24; C$5:C$222; C24)</f>
        <v/>
      </c>
      <c r="K24" s="23">
        <f>MAX(400; J24 * 0.85)</f>
        <v/>
      </c>
      <c r="L24" s="24">
        <f>SI(K24&gt;0; J24/K24; 1.0)</f>
        <v/>
      </c>
      <c r="M24" s="15">
        <f>SI(L24&gt;=1.5; "ZONE DANGER (&gt;1.5)"; SI(L24&gt;=1.3; "Zone Haute (1.3-1.5)"; SI(L24&gt;=0.8; "Sweet Spot (0.8-1.3)"; "Sous-charge (&lt;0.8)")))</f>
        <v/>
      </c>
      <c r="N24" s="14">
        <f>SI(L24&gt;=1.5; "Alléger séances / Régénération"; SI(L24&gt;=1.3; "Contrôler fatigue Hooper"; "Poursuivre programme"))</f>
        <v/>
      </c>
    </row>
    <row r="25">
      <c r="A25" s="15" t="inlineStr">
        <is>
          <t>S03</t>
        </is>
      </c>
      <c r="B25" s="21" t="n">
        <v>46059</v>
      </c>
      <c r="C25" s="15" t="inlineStr">
        <is>
          <t>S1</t>
        </is>
      </c>
      <c r="D25" s="15" t="inlineStr">
        <is>
          <t>ATH02</t>
        </is>
      </c>
      <c r="E25" s="14" t="inlineStr">
        <is>
          <t>Vendredi</t>
        </is>
      </c>
      <c r="F25" s="14" t="inlineStr">
        <is>
          <t>Collectif</t>
        </is>
      </c>
      <c r="G25" s="15" t="n">
        <v>106</v>
      </c>
      <c r="H25" s="15" t="n">
        <v>6</v>
      </c>
      <c r="I25" s="22">
        <f>G25*H25</f>
        <v/>
      </c>
      <c r="J25" s="15">
        <f>SOMME.SI.ENS(I$5:I$222; D$5:D$222; D25; C$5:C$222; C25)</f>
        <v/>
      </c>
      <c r="K25" s="23">
        <f>MAX(400; J25 * 0.85)</f>
        <v/>
      </c>
      <c r="L25" s="24">
        <f>SI(K25&gt;0; J25/K25; 1.0)</f>
        <v/>
      </c>
      <c r="M25" s="15">
        <f>SI(L25&gt;=1.5; "ZONE DANGER (&gt;1.5)"; SI(L25&gt;=1.3; "Zone Haute (1.3-1.5)"; SI(L25&gt;=0.8; "Sweet Spot (0.8-1.3)"; "Sous-charge (&lt;0.8)")))</f>
        <v/>
      </c>
      <c r="N25" s="14">
        <f>SI(L25&gt;=1.5; "Alléger séances / Régénération"; SI(L25&gt;=1.3; "Contrôler fatigue Hooper"; "Poursuivre programme"))</f>
        <v/>
      </c>
    </row>
    <row r="26">
      <c r="A26" s="15" t="inlineStr">
        <is>
          <t>S04</t>
        </is>
      </c>
      <c r="B26" s="21" t="n">
        <v>46062</v>
      </c>
      <c r="C26" s="15" t="inlineStr">
        <is>
          <t>S2</t>
        </is>
      </c>
      <c r="D26" s="15" t="inlineStr">
        <is>
          <t>ATH02</t>
        </is>
      </c>
      <c r="E26" s="14" t="inlineStr">
        <is>
          <t>Lundi</t>
        </is>
      </c>
      <c r="F26" s="14" t="inlineStr">
        <is>
          <t>Force</t>
        </is>
      </c>
      <c r="G26" s="15" t="n">
        <v>69</v>
      </c>
      <c r="H26" s="15" t="n">
        <v>6</v>
      </c>
      <c r="I26" s="22">
        <f>G26*H26</f>
        <v/>
      </c>
      <c r="J26" s="15">
        <f>SOMME.SI.ENS(I$5:I$222; D$5:D$222; D26; C$5:C$222; C26)</f>
        <v/>
      </c>
      <c r="K26" s="23">
        <f>MAX(400; J26 * 0.85)</f>
        <v/>
      </c>
      <c r="L26" s="24">
        <f>SI(K26&gt;0; J26/K26; 1.0)</f>
        <v/>
      </c>
      <c r="M26" s="15">
        <f>SI(L26&gt;=1.5; "ZONE DANGER (&gt;1.5)"; SI(L26&gt;=1.3; "Zone Haute (1.3-1.5)"; SI(L26&gt;=0.8; "Sweet Spot (0.8-1.3)"; "Sous-charge (&lt;0.8)")))</f>
        <v/>
      </c>
      <c r="N26" s="14">
        <f>SI(L26&gt;=1.5; "Alléger séances / Régénération"; SI(L26&gt;=1.3; "Contrôler fatigue Hooper"; "Poursuivre programme"))</f>
        <v/>
      </c>
    </row>
    <row r="27">
      <c r="A27" s="15" t="inlineStr">
        <is>
          <t>S05</t>
        </is>
      </c>
      <c r="B27" s="21" t="n">
        <v>46064</v>
      </c>
      <c r="C27" s="15" t="inlineStr">
        <is>
          <t>S2</t>
        </is>
      </c>
      <c r="D27" s="15" t="inlineStr">
        <is>
          <t>ATH02</t>
        </is>
      </c>
      <c r="E27" s="14" t="inlineStr">
        <is>
          <t>Mercredi</t>
        </is>
      </c>
      <c r="F27" s="14" t="inlineStr">
        <is>
          <t>Intermittent</t>
        </is>
      </c>
      <c r="G27" s="15" t="n">
        <v>95</v>
      </c>
      <c r="H27" s="15" t="n">
        <v>7</v>
      </c>
      <c r="I27" s="22">
        <f>G27*H27</f>
        <v/>
      </c>
      <c r="J27" s="15">
        <f>SOMME.SI.ENS(I$5:I$222; D$5:D$222; D27; C$5:C$222; C27)</f>
        <v/>
      </c>
      <c r="K27" s="23">
        <f>MAX(400; J27 * 0.85)</f>
        <v/>
      </c>
      <c r="L27" s="24">
        <f>SI(K27&gt;0; J27/K27; 1.0)</f>
        <v/>
      </c>
      <c r="M27" s="15">
        <f>SI(L27&gt;=1.5; "ZONE DANGER (&gt;1.5)"; SI(L27&gt;=1.3; "Zone Haute (1.3-1.5)"; SI(L27&gt;=0.8; "Sweet Spot (0.8-1.3)"; "Sous-charge (&lt;0.8)")))</f>
        <v/>
      </c>
      <c r="N27" s="14">
        <f>SI(L27&gt;=1.5; "Alléger séances / Régénération"; SI(L27&gt;=1.3; "Contrôler fatigue Hooper"; "Poursuivre programme"))</f>
        <v/>
      </c>
    </row>
    <row r="28">
      <c r="A28" s="15" t="inlineStr">
        <is>
          <t>S06</t>
        </is>
      </c>
      <c r="B28" s="21" t="n">
        <v>46066</v>
      </c>
      <c r="C28" s="15" t="inlineStr">
        <is>
          <t>S2</t>
        </is>
      </c>
      <c r="D28" s="15" t="inlineStr">
        <is>
          <t>ATH02</t>
        </is>
      </c>
      <c r="E28" s="14" t="inlineStr">
        <is>
          <t>Vendredi</t>
        </is>
      </c>
      <c r="F28" s="14" t="inlineStr">
        <is>
          <t>Collectif</t>
        </is>
      </c>
      <c r="G28" s="15" t="n">
        <v>115</v>
      </c>
      <c r="H28" s="15" t="n">
        <v>6</v>
      </c>
      <c r="I28" s="22">
        <f>G28*H28</f>
        <v/>
      </c>
      <c r="J28" s="15">
        <f>SOMME.SI.ENS(I$5:I$222; D$5:D$222; D28; C$5:C$222; C28)</f>
        <v/>
      </c>
      <c r="K28" s="23">
        <f>MAX(400; J28 * 0.85)</f>
        <v/>
      </c>
      <c r="L28" s="24">
        <f>SI(K28&gt;0; J28/K28; 1.0)</f>
        <v/>
      </c>
      <c r="M28" s="15">
        <f>SI(L28&gt;=1.5; "ZONE DANGER (&gt;1.5)"; SI(L28&gt;=1.3; "Zone Haute (1.3-1.5)"; SI(L28&gt;=0.8; "Sweet Spot (0.8-1.3)"; "Sous-charge (&lt;0.8)")))</f>
        <v/>
      </c>
      <c r="N28" s="14">
        <f>SI(L28&gt;=1.5; "Alléger séances / Régénération"; SI(L28&gt;=1.3; "Contrôler fatigue Hooper"; "Poursuivre programme"))</f>
        <v/>
      </c>
    </row>
    <row r="29">
      <c r="A29" s="15" t="inlineStr">
        <is>
          <t>S07</t>
        </is>
      </c>
      <c r="B29" s="21" t="n">
        <v>46069</v>
      </c>
      <c r="C29" s="15" t="inlineStr">
        <is>
          <t>S3</t>
        </is>
      </c>
      <c r="D29" s="15" t="inlineStr">
        <is>
          <t>ATH02</t>
        </is>
      </c>
      <c r="E29" s="14" t="inlineStr">
        <is>
          <t>Lundi</t>
        </is>
      </c>
      <c r="F29" s="14" t="inlineStr">
        <is>
          <t>Technique</t>
        </is>
      </c>
      <c r="G29" s="15" t="n">
        <v>76</v>
      </c>
      <c r="H29" s="15" t="n">
        <v>4</v>
      </c>
      <c r="I29" s="22">
        <f>G29*H29</f>
        <v/>
      </c>
      <c r="J29" s="15">
        <f>SOMME.SI.ENS(I$5:I$222; D$5:D$222; D29; C$5:C$222; C29)</f>
        <v/>
      </c>
      <c r="K29" s="23">
        <f>MAX(400; J29 * 0.85)</f>
        <v/>
      </c>
      <c r="L29" s="24">
        <f>SI(K29&gt;0; J29/K29; 1.0)</f>
        <v/>
      </c>
      <c r="M29" s="15">
        <f>SI(L29&gt;=1.5; "ZONE DANGER (&gt;1.5)"; SI(L29&gt;=1.3; "Zone Haute (1.3-1.5)"; SI(L29&gt;=0.8; "Sweet Spot (0.8-1.3)"; "Sous-charge (&lt;0.8)")))</f>
        <v/>
      </c>
      <c r="N29" s="14">
        <f>SI(L29&gt;=1.5; "Alléger séances / Régénération"; SI(L29&gt;=1.3; "Contrôler fatigue Hooper"; "Poursuivre programme"))</f>
        <v/>
      </c>
    </row>
    <row r="30">
      <c r="A30" s="15" t="inlineStr">
        <is>
          <t>S08</t>
        </is>
      </c>
      <c r="B30" s="21" t="n">
        <v>46071</v>
      </c>
      <c r="C30" s="15" t="inlineStr">
        <is>
          <t>S3</t>
        </is>
      </c>
      <c r="D30" s="15" t="inlineStr">
        <is>
          <t>ATH02</t>
        </is>
      </c>
      <c r="E30" s="14" t="inlineStr">
        <is>
          <t>Mercredi</t>
        </is>
      </c>
      <c r="F30" s="14" t="inlineStr">
        <is>
          <t>Intermittent</t>
        </is>
      </c>
      <c r="G30" s="15" t="n">
        <v>100</v>
      </c>
      <c r="H30" s="15" t="n">
        <v>6</v>
      </c>
      <c r="I30" s="22">
        <f>G30*H30</f>
        <v/>
      </c>
      <c r="J30" s="15">
        <f>SOMME.SI.ENS(I$5:I$222; D$5:D$222; D30; C$5:C$222; C30)</f>
        <v/>
      </c>
      <c r="K30" s="23">
        <f>MAX(400; J30 * 0.85)</f>
        <v/>
      </c>
      <c r="L30" s="24">
        <f>SI(K30&gt;0; J30/K30; 1.0)</f>
        <v/>
      </c>
      <c r="M30" s="15">
        <f>SI(L30&gt;=1.5; "ZONE DANGER (&gt;1.5)"; SI(L30&gt;=1.3; "Zone Haute (1.3-1.5)"; SI(L30&gt;=0.8; "Sweet Spot (0.8-1.3)"; "Sous-charge (&lt;0.8)")))</f>
        <v/>
      </c>
      <c r="N30" s="14">
        <f>SI(L30&gt;=1.5; "Alléger séances / Régénération"; SI(L30&gt;=1.3; "Contrôler fatigue Hooper"; "Poursuivre programme"))</f>
        <v/>
      </c>
    </row>
    <row r="31">
      <c r="A31" s="15" t="inlineStr">
        <is>
          <t>S09</t>
        </is>
      </c>
      <c r="B31" s="21" t="n">
        <v>46073</v>
      </c>
      <c r="C31" s="15" t="inlineStr">
        <is>
          <t>S3</t>
        </is>
      </c>
      <c r="D31" s="15" t="inlineStr">
        <is>
          <t>ATH02</t>
        </is>
      </c>
      <c r="E31" s="14" t="inlineStr">
        <is>
          <t>Vendredi</t>
        </is>
      </c>
      <c r="F31" s="14" t="inlineStr">
        <is>
          <t>Collectif</t>
        </is>
      </c>
      <c r="G31" s="15" t="n">
        <v>109</v>
      </c>
      <c r="H31" s="15" t="n">
        <v>7</v>
      </c>
      <c r="I31" s="22">
        <f>G31*H31</f>
        <v/>
      </c>
      <c r="J31" s="15">
        <f>SOMME.SI.ENS(I$5:I$222; D$5:D$222; D31; C$5:C$222; C31)</f>
        <v/>
      </c>
      <c r="K31" s="23">
        <f>MAX(400; J31 * 0.85)</f>
        <v/>
      </c>
      <c r="L31" s="24">
        <f>SI(K31&gt;0; J31/K31; 1.0)</f>
        <v/>
      </c>
      <c r="M31" s="15">
        <f>SI(L31&gt;=1.5; "ZONE DANGER (&gt;1.5)"; SI(L31&gt;=1.3; "Zone Haute (1.3-1.5)"; SI(L31&gt;=0.8; "Sweet Spot (0.8-1.3)"; "Sous-charge (&lt;0.8)")))</f>
        <v/>
      </c>
      <c r="N31" s="14">
        <f>SI(L31&gt;=1.5; "Alléger séances / Régénération"; SI(L31&gt;=1.3; "Contrôler fatigue Hooper"; "Poursuivre programme"))</f>
        <v/>
      </c>
    </row>
    <row r="32">
      <c r="A32" s="15" t="inlineStr">
        <is>
          <t>S10</t>
        </is>
      </c>
      <c r="B32" s="21" t="n">
        <v>46076</v>
      </c>
      <c r="C32" s="15" t="inlineStr">
        <is>
          <t>S4</t>
        </is>
      </c>
      <c r="D32" s="15" t="inlineStr">
        <is>
          <t>ATH02</t>
        </is>
      </c>
      <c r="E32" s="14" t="inlineStr">
        <is>
          <t>Lundi</t>
        </is>
      </c>
      <c r="F32" s="14" t="inlineStr">
        <is>
          <t>Force</t>
        </is>
      </c>
      <c r="G32" s="15" t="n">
        <v>72</v>
      </c>
      <c r="H32" s="15" t="n">
        <v>4</v>
      </c>
      <c r="I32" s="22">
        <f>G32*H32</f>
        <v/>
      </c>
      <c r="J32" s="15">
        <f>SOMME.SI.ENS(I$5:I$222; D$5:D$222; D32; C$5:C$222; C32)</f>
        <v/>
      </c>
      <c r="K32" s="23">
        <f>MAX(400; J32 * 0.85)</f>
        <v/>
      </c>
      <c r="L32" s="24">
        <f>SI(K32&gt;0; J32/K32; 1.0)</f>
        <v/>
      </c>
      <c r="M32" s="15">
        <f>SI(L32&gt;=1.5; "ZONE DANGER (&gt;1.5)"; SI(L32&gt;=1.3; "Zone Haute (1.3-1.5)"; SI(L32&gt;=0.8; "Sweet Spot (0.8-1.3)"; "Sous-charge (&lt;0.8)")))</f>
        <v/>
      </c>
      <c r="N32" s="14">
        <f>SI(L32&gt;=1.5; "Alléger séances / Régénération"; SI(L32&gt;=1.3; "Contrôler fatigue Hooper"; "Poursuivre programme"))</f>
        <v/>
      </c>
    </row>
    <row r="33">
      <c r="A33" s="15" t="inlineStr">
        <is>
          <t>S11</t>
        </is>
      </c>
      <c r="B33" s="21" t="n">
        <v>46078</v>
      </c>
      <c r="C33" s="15" t="inlineStr">
        <is>
          <t>S4</t>
        </is>
      </c>
      <c r="D33" s="15" t="inlineStr">
        <is>
          <t>ATH02</t>
        </is>
      </c>
      <c r="E33" s="14" t="inlineStr">
        <is>
          <t>Mercredi</t>
        </is>
      </c>
      <c r="F33" s="14" t="inlineStr">
        <is>
          <t>Intermittent</t>
        </is>
      </c>
      <c r="G33" s="15" t="n">
        <v>85</v>
      </c>
      <c r="H33" s="15" t="n">
        <v>6</v>
      </c>
      <c r="I33" s="22">
        <f>G33*H33</f>
        <v/>
      </c>
      <c r="J33" s="15">
        <f>SOMME.SI.ENS(I$5:I$222; D$5:D$222; D33; C$5:C$222; C33)</f>
        <v/>
      </c>
      <c r="K33" s="23">
        <f>MAX(400; J33 * 0.85)</f>
        <v/>
      </c>
      <c r="L33" s="24">
        <f>SI(K33&gt;0; J33/K33; 1.0)</f>
        <v/>
      </c>
      <c r="M33" s="15">
        <f>SI(L33&gt;=1.5; "ZONE DANGER (&gt;1.5)"; SI(L33&gt;=1.3; "Zone Haute (1.3-1.5)"; SI(L33&gt;=0.8; "Sweet Spot (0.8-1.3)"; "Sous-charge (&lt;0.8)")))</f>
        <v/>
      </c>
      <c r="N33" s="14">
        <f>SI(L33&gt;=1.5; "Alléger séances / Régénération"; SI(L33&gt;=1.3; "Contrôler fatigue Hooper"; "Poursuivre programme"))</f>
        <v/>
      </c>
    </row>
    <row r="34">
      <c r="A34" s="15" t="inlineStr">
        <is>
          <t>S12</t>
        </is>
      </c>
      <c r="B34" s="21" t="n">
        <v>46080</v>
      </c>
      <c r="C34" s="15" t="inlineStr">
        <is>
          <t>S4</t>
        </is>
      </c>
      <c r="D34" s="15" t="inlineStr">
        <is>
          <t>ATH02</t>
        </is>
      </c>
      <c r="E34" s="14" t="inlineStr">
        <is>
          <t>Vendredi</t>
        </is>
      </c>
      <c r="F34" s="14" t="inlineStr">
        <is>
          <t>Collectif</t>
        </is>
      </c>
      <c r="G34" s="15" t="n">
        <v>111</v>
      </c>
      <c r="H34" s="15" t="n">
        <v>6</v>
      </c>
      <c r="I34" s="22">
        <f>G34*H34</f>
        <v/>
      </c>
      <c r="J34" s="15">
        <f>SOMME.SI.ENS(I$5:I$222; D$5:D$222; D34; C$5:C$222; C34)</f>
        <v/>
      </c>
      <c r="K34" s="23">
        <f>MAX(400; J34 * 0.85)</f>
        <v/>
      </c>
      <c r="L34" s="24">
        <f>SI(K34&gt;0; J34/K34; 1.0)</f>
        <v/>
      </c>
      <c r="M34" s="15">
        <f>SI(L34&gt;=1.5; "ZONE DANGER (&gt;1.5)"; SI(L34&gt;=1.3; "Zone Haute (1.3-1.5)"; SI(L34&gt;=0.8; "Sweet Spot (0.8-1.3)"; "Sous-charge (&lt;0.8)")))</f>
        <v/>
      </c>
      <c r="N34" s="14">
        <f>SI(L34&gt;=1.5; "Alléger séances / Régénération"; SI(L34&gt;=1.3; "Contrôler fatigue Hooper"; "Poursuivre programme"))</f>
        <v/>
      </c>
    </row>
    <row r="35">
      <c r="A35" s="15" t="inlineStr">
        <is>
          <t>S13</t>
        </is>
      </c>
      <c r="B35" s="21" t="n">
        <v>46083</v>
      </c>
      <c r="C35" s="15" t="inlineStr">
        <is>
          <t>S5</t>
        </is>
      </c>
      <c r="D35" s="15" t="inlineStr">
        <is>
          <t>ATH02</t>
        </is>
      </c>
      <c r="E35" s="14" t="inlineStr">
        <is>
          <t>Lundi</t>
        </is>
      </c>
      <c r="F35" s="14" t="inlineStr">
        <is>
          <t>Technique</t>
        </is>
      </c>
      <c r="G35" s="15" t="n">
        <v>70</v>
      </c>
      <c r="H35" s="15" t="n">
        <v>6</v>
      </c>
      <c r="I35" s="22">
        <f>G35*H35</f>
        <v/>
      </c>
      <c r="J35" s="15">
        <f>SOMME.SI.ENS(I$5:I$222; D$5:D$222; D35; C$5:C$222; C35)</f>
        <v/>
      </c>
      <c r="K35" s="23">
        <f>MAX(400; J35 * 0.85)</f>
        <v/>
      </c>
      <c r="L35" s="24">
        <f>SI(K35&gt;0; J35/K35; 1.0)</f>
        <v/>
      </c>
      <c r="M35" s="15">
        <f>SI(L35&gt;=1.5; "ZONE DANGER (&gt;1.5)"; SI(L35&gt;=1.3; "Zone Haute (1.3-1.5)"; SI(L35&gt;=0.8; "Sweet Spot (0.8-1.3)"; "Sous-charge (&lt;0.8)")))</f>
        <v/>
      </c>
      <c r="N35" s="14">
        <f>SI(L35&gt;=1.5; "Alléger séances / Régénération"; SI(L35&gt;=1.3; "Contrôler fatigue Hooper"; "Poursuivre programme"))</f>
        <v/>
      </c>
    </row>
    <row r="36">
      <c r="A36" s="15" t="inlineStr">
        <is>
          <t>S14</t>
        </is>
      </c>
      <c r="B36" s="21" t="n">
        <v>46085</v>
      </c>
      <c r="C36" s="15" t="inlineStr">
        <is>
          <t>S5</t>
        </is>
      </c>
      <c r="D36" s="15" t="inlineStr">
        <is>
          <t>ATH02</t>
        </is>
      </c>
      <c r="E36" s="14" t="inlineStr">
        <is>
          <t>Mercredi</t>
        </is>
      </c>
      <c r="F36" s="14" t="inlineStr">
        <is>
          <t>Intermittent</t>
        </is>
      </c>
      <c r="G36" s="15" t="n">
        <v>90</v>
      </c>
      <c r="H36" s="15" t="n">
        <v>7</v>
      </c>
      <c r="I36" s="22">
        <f>G36*H36</f>
        <v/>
      </c>
      <c r="J36" s="15">
        <f>SOMME.SI.ENS(I$5:I$222; D$5:D$222; D36; C$5:C$222; C36)</f>
        <v/>
      </c>
      <c r="K36" s="23">
        <f>MAX(400; J36 * 0.85)</f>
        <v/>
      </c>
      <c r="L36" s="24">
        <f>SI(K36&gt;0; J36/K36; 1.0)</f>
        <v/>
      </c>
      <c r="M36" s="15">
        <f>SI(L36&gt;=1.5; "ZONE DANGER (&gt;1.5)"; SI(L36&gt;=1.3; "Zone Haute (1.3-1.5)"; SI(L36&gt;=0.8; "Sweet Spot (0.8-1.3)"; "Sous-charge (&lt;0.8)")))</f>
        <v/>
      </c>
      <c r="N36" s="14">
        <f>SI(L36&gt;=1.5; "Alléger séances / Régénération"; SI(L36&gt;=1.3; "Contrôler fatigue Hooper"; "Poursuivre programme"))</f>
        <v/>
      </c>
    </row>
    <row r="37">
      <c r="A37" s="15" t="inlineStr">
        <is>
          <t>S15</t>
        </is>
      </c>
      <c r="B37" s="21" t="n">
        <v>46087</v>
      </c>
      <c r="C37" s="15" t="inlineStr">
        <is>
          <t>S5</t>
        </is>
      </c>
      <c r="D37" s="15" t="inlineStr">
        <is>
          <t>ATH02</t>
        </is>
      </c>
      <c r="E37" s="14" t="inlineStr">
        <is>
          <t>Vendredi</t>
        </is>
      </c>
      <c r="F37" s="14" t="inlineStr">
        <is>
          <t>Collectif</t>
        </is>
      </c>
      <c r="G37" s="15" t="n">
        <v>102</v>
      </c>
      <c r="H37" s="15" t="n">
        <v>6</v>
      </c>
      <c r="I37" s="22">
        <f>G37*H37</f>
        <v/>
      </c>
      <c r="J37" s="15">
        <f>SOMME.SI.ENS(I$5:I$222; D$5:D$222; D37; C$5:C$222; C37)</f>
        <v/>
      </c>
      <c r="K37" s="23">
        <f>MAX(400; J37 * 0.85)</f>
        <v/>
      </c>
      <c r="L37" s="24">
        <f>SI(K37&gt;0; J37/K37; 1.0)</f>
        <v/>
      </c>
      <c r="M37" s="15">
        <f>SI(L37&gt;=1.5; "ZONE DANGER (&gt;1.5)"; SI(L37&gt;=1.3; "Zone Haute (1.3-1.5)"; SI(L37&gt;=0.8; "Sweet Spot (0.8-1.3)"; "Sous-charge (&lt;0.8)")))</f>
        <v/>
      </c>
      <c r="N37" s="14">
        <f>SI(L37&gt;=1.5; "Alléger séances / Régénération"; SI(L37&gt;=1.3; "Contrôler fatigue Hooper"; "Poursuivre programme"))</f>
        <v/>
      </c>
    </row>
    <row r="38">
      <c r="A38" s="15" t="inlineStr">
        <is>
          <t>S16</t>
        </is>
      </c>
      <c r="B38" s="21" t="n">
        <v>46090</v>
      </c>
      <c r="C38" s="15" t="inlineStr">
        <is>
          <t>S6</t>
        </is>
      </c>
      <c r="D38" s="15" t="inlineStr">
        <is>
          <t>ATH02</t>
        </is>
      </c>
      <c r="E38" s="14" t="inlineStr">
        <is>
          <t>Lundi</t>
        </is>
      </c>
      <c r="F38" s="14" t="inlineStr">
        <is>
          <t>Force</t>
        </is>
      </c>
      <c r="G38" s="15" t="n">
        <v>68</v>
      </c>
      <c r="H38" s="15" t="n">
        <v>5</v>
      </c>
      <c r="I38" s="22">
        <f>G38*H38</f>
        <v/>
      </c>
      <c r="J38" s="15">
        <f>SOMME.SI.ENS(I$5:I$222; D$5:D$222; D38; C$5:C$222; C38)</f>
        <v/>
      </c>
      <c r="K38" s="23">
        <f>MAX(400; J38 * 0.85)</f>
        <v/>
      </c>
      <c r="L38" s="24">
        <f>SI(K38&gt;0; J38/K38; 1.0)</f>
        <v/>
      </c>
      <c r="M38" s="15">
        <f>SI(L38&gt;=1.5; "ZONE DANGER (&gt;1.5)"; SI(L38&gt;=1.3; "Zone Haute (1.3-1.5)"; SI(L38&gt;=0.8; "Sweet Spot (0.8-1.3)"; "Sous-charge (&lt;0.8)")))</f>
        <v/>
      </c>
      <c r="N38" s="14">
        <f>SI(L38&gt;=1.5; "Alléger séances / Régénération"; SI(L38&gt;=1.3; "Contrôler fatigue Hooper"; "Poursuivre programme"))</f>
        <v/>
      </c>
    </row>
    <row r="39">
      <c r="A39" s="15" t="inlineStr">
        <is>
          <t>S17</t>
        </is>
      </c>
      <c r="B39" s="21" t="n">
        <v>46092</v>
      </c>
      <c r="C39" s="15" t="inlineStr">
        <is>
          <t>S6</t>
        </is>
      </c>
      <c r="D39" s="15" t="inlineStr">
        <is>
          <t>ATH02</t>
        </is>
      </c>
      <c r="E39" s="14" t="inlineStr">
        <is>
          <t>Mercredi</t>
        </is>
      </c>
      <c r="F39" s="14" t="inlineStr">
        <is>
          <t>Intermittent</t>
        </is>
      </c>
      <c r="G39" s="15" t="n">
        <v>91</v>
      </c>
      <c r="H39" s="15" t="n">
        <v>7</v>
      </c>
      <c r="I39" s="22">
        <f>G39*H39</f>
        <v/>
      </c>
      <c r="J39" s="15">
        <f>SOMME.SI.ENS(I$5:I$222; D$5:D$222; D39; C$5:C$222; C39)</f>
        <v/>
      </c>
      <c r="K39" s="23">
        <f>MAX(400; J39 * 0.85)</f>
        <v/>
      </c>
      <c r="L39" s="24">
        <f>SI(K39&gt;0; J39/K39; 1.0)</f>
        <v/>
      </c>
      <c r="M39" s="15">
        <f>SI(L39&gt;=1.5; "ZONE DANGER (&gt;1.5)"; SI(L39&gt;=1.3; "Zone Haute (1.3-1.5)"; SI(L39&gt;=0.8; "Sweet Spot (0.8-1.3)"; "Sous-charge (&lt;0.8)")))</f>
        <v/>
      </c>
      <c r="N39" s="14">
        <f>SI(L39&gt;=1.5; "Alléger séances / Régénération"; SI(L39&gt;=1.3; "Contrôler fatigue Hooper"; "Poursuivre programme"))</f>
        <v/>
      </c>
    </row>
    <row r="40">
      <c r="A40" s="15" t="inlineStr">
        <is>
          <t>S18</t>
        </is>
      </c>
      <c r="B40" s="21" t="n">
        <v>46094</v>
      </c>
      <c r="C40" s="15" t="inlineStr">
        <is>
          <t>S6</t>
        </is>
      </c>
      <c r="D40" s="15" t="inlineStr">
        <is>
          <t>ATH02</t>
        </is>
      </c>
      <c r="E40" s="14" t="inlineStr">
        <is>
          <t>Vendredi</t>
        </is>
      </c>
      <c r="F40" s="14" t="inlineStr">
        <is>
          <t>Collectif</t>
        </is>
      </c>
      <c r="G40" s="15" t="n">
        <v>104</v>
      </c>
      <c r="H40" s="15" t="n">
        <v>6</v>
      </c>
      <c r="I40" s="22">
        <f>G40*H40</f>
        <v/>
      </c>
      <c r="J40" s="15">
        <f>SOMME.SI.ENS(I$5:I$222; D$5:D$222; D40; C$5:C$222; C40)</f>
        <v/>
      </c>
      <c r="K40" s="23">
        <f>MAX(400; J40 * 0.85)</f>
        <v/>
      </c>
      <c r="L40" s="24">
        <f>SI(K40&gt;0; J40/K40; 1.0)</f>
        <v/>
      </c>
      <c r="M40" s="15">
        <f>SI(L40&gt;=1.5; "ZONE DANGER (&gt;1.5)"; SI(L40&gt;=1.3; "Zone Haute (1.3-1.5)"; SI(L40&gt;=0.8; "Sweet Spot (0.8-1.3)"; "Sous-charge (&lt;0.8)")))</f>
        <v/>
      </c>
      <c r="N40" s="14">
        <f>SI(L40&gt;=1.5; "Alléger séances / Régénération"; SI(L40&gt;=1.3; "Contrôler fatigue Hooper"; "Poursuivre programme"))</f>
        <v/>
      </c>
    </row>
    <row r="41">
      <c r="A41" s="15" t="inlineStr">
        <is>
          <t>S01</t>
        </is>
      </c>
      <c r="B41" s="21" t="n">
        <v>46055</v>
      </c>
      <c r="C41" s="15" t="inlineStr">
        <is>
          <t>S1</t>
        </is>
      </c>
      <c r="D41" s="15" t="inlineStr">
        <is>
          <t>ATH03</t>
        </is>
      </c>
      <c r="E41" s="14" t="inlineStr">
        <is>
          <t>Lundi</t>
        </is>
      </c>
      <c r="F41" s="14" t="inlineStr">
        <is>
          <t>Technique</t>
        </is>
      </c>
      <c r="G41" s="15" t="n">
        <v>78</v>
      </c>
      <c r="H41" s="15" t="n">
        <v>3</v>
      </c>
      <c r="I41" s="22">
        <f>G41*H41</f>
        <v/>
      </c>
      <c r="J41" s="15">
        <f>SOMME.SI.ENS(I$5:I$222; D$5:D$222; D41; C$5:C$222; C41)</f>
        <v/>
      </c>
      <c r="K41" s="23">
        <f>MAX(400; J41 * 0.85)</f>
        <v/>
      </c>
      <c r="L41" s="24">
        <f>SI(K41&gt;0; J41/K41; 1.0)</f>
        <v/>
      </c>
      <c r="M41" s="15">
        <f>SI(L41&gt;=1.5; "ZONE DANGER (&gt;1.5)"; SI(L41&gt;=1.3; "Zone Haute (1.3-1.5)"; SI(L41&gt;=0.8; "Sweet Spot (0.8-1.3)"; "Sous-charge (&lt;0.8)")))</f>
        <v/>
      </c>
      <c r="N41" s="14">
        <f>SI(L41&gt;=1.5; "Alléger séances / Régénération"; SI(L41&gt;=1.3; "Contrôler fatigue Hooper"; "Poursuivre programme"))</f>
        <v/>
      </c>
    </row>
    <row r="42">
      <c r="A42" s="15" t="inlineStr">
        <is>
          <t>S02</t>
        </is>
      </c>
      <c r="B42" s="21" t="n">
        <v>46057</v>
      </c>
      <c r="C42" s="15" t="inlineStr">
        <is>
          <t>S1</t>
        </is>
      </c>
      <c r="D42" s="15" t="inlineStr">
        <is>
          <t>ATH03</t>
        </is>
      </c>
      <c r="E42" s="14" t="inlineStr">
        <is>
          <t>Mercredi</t>
        </is>
      </c>
      <c r="F42" s="14" t="inlineStr">
        <is>
          <t>Intermittent</t>
        </is>
      </c>
      <c r="G42" s="15" t="n">
        <v>93</v>
      </c>
      <c r="H42" s="15" t="n">
        <v>6</v>
      </c>
      <c r="I42" s="22">
        <f>G42*H42</f>
        <v/>
      </c>
      <c r="J42" s="15">
        <f>SOMME.SI.ENS(I$5:I$222; D$5:D$222; D42; C$5:C$222; C42)</f>
        <v/>
      </c>
      <c r="K42" s="23">
        <f>MAX(400; J42 * 0.85)</f>
        <v/>
      </c>
      <c r="L42" s="24">
        <f>SI(K42&gt;0; J42/K42; 1.0)</f>
        <v/>
      </c>
      <c r="M42" s="15">
        <f>SI(L42&gt;=1.5; "ZONE DANGER (&gt;1.5)"; SI(L42&gt;=1.3; "Zone Haute (1.3-1.5)"; SI(L42&gt;=0.8; "Sweet Spot (0.8-1.3)"; "Sous-charge (&lt;0.8)")))</f>
        <v/>
      </c>
      <c r="N42" s="14">
        <f>SI(L42&gt;=1.5; "Alléger séances / Régénération"; SI(L42&gt;=1.3; "Contrôler fatigue Hooper"; "Poursuivre programme"))</f>
        <v/>
      </c>
    </row>
    <row r="43">
      <c r="A43" s="15" t="inlineStr">
        <is>
          <t>S03</t>
        </is>
      </c>
      <c r="B43" s="21" t="n">
        <v>46059</v>
      </c>
      <c r="C43" s="15" t="inlineStr">
        <is>
          <t>S1</t>
        </is>
      </c>
      <c r="D43" s="15" t="inlineStr">
        <is>
          <t>ATH03</t>
        </is>
      </c>
      <c r="E43" s="14" t="inlineStr">
        <is>
          <t>Vendredi</t>
        </is>
      </c>
      <c r="F43" s="14" t="inlineStr">
        <is>
          <t>Collectif</t>
        </is>
      </c>
      <c r="G43" s="15" t="n">
        <v>102</v>
      </c>
      <c r="H43" s="15" t="n">
        <v>6</v>
      </c>
      <c r="I43" s="22">
        <f>G43*H43</f>
        <v/>
      </c>
      <c r="J43" s="15">
        <f>SOMME.SI.ENS(I$5:I$222; D$5:D$222; D43; C$5:C$222; C43)</f>
        <v/>
      </c>
      <c r="K43" s="23">
        <f>MAX(400; J43 * 0.85)</f>
        <v/>
      </c>
      <c r="L43" s="24">
        <f>SI(K43&gt;0; J43/K43; 1.0)</f>
        <v/>
      </c>
      <c r="M43" s="15">
        <f>SI(L43&gt;=1.5; "ZONE DANGER (&gt;1.5)"; SI(L43&gt;=1.3; "Zone Haute (1.3-1.5)"; SI(L43&gt;=0.8; "Sweet Spot (0.8-1.3)"; "Sous-charge (&lt;0.8)")))</f>
        <v/>
      </c>
      <c r="N43" s="14">
        <f>SI(L43&gt;=1.5; "Alléger séances / Régénération"; SI(L43&gt;=1.3; "Contrôler fatigue Hooper"; "Poursuivre programme"))</f>
        <v/>
      </c>
    </row>
    <row r="44">
      <c r="A44" s="15" t="inlineStr">
        <is>
          <t>S04</t>
        </is>
      </c>
      <c r="B44" s="21" t="n">
        <v>46062</v>
      </c>
      <c r="C44" s="15" t="inlineStr">
        <is>
          <t>S2</t>
        </is>
      </c>
      <c r="D44" s="15" t="inlineStr">
        <is>
          <t>ATH03</t>
        </is>
      </c>
      <c r="E44" s="14" t="inlineStr">
        <is>
          <t>Lundi</t>
        </is>
      </c>
      <c r="F44" s="14" t="inlineStr">
        <is>
          <t>Force</t>
        </is>
      </c>
      <c r="G44" s="15" t="n">
        <v>72</v>
      </c>
      <c r="H44" s="15" t="n">
        <v>6</v>
      </c>
      <c r="I44" s="22">
        <f>G44*H44</f>
        <v/>
      </c>
      <c r="J44" s="15">
        <f>SOMME.SI.ENS(I$5:I$222; D$5:D$222; D44; C$5:C$222; C44)</f>
        <v/>
      </c>
      <c r="K44" s="23">
        <f>MAX(400; J44 * 0.85)</f>
        <v/>
      </c>
      <c r="L44" s="24">
        <f>SI(K44&gt;0; J44/K44; 1.0)</f>
        <v/>
      </c>
      <c r="M44" s="15">
        <f>SI(L44&gt;=1.5; "ZONE DANGER (&gt;1.5)"; SI(L44&gt;=1.3; "Zone Haute (1.3-1.5)"; SI(L44&gt;=0.8; "Sweet Spot (0.8-1.3)"; "Sous-charge (&lt;0.8)")))</f>
        <v/>
      </c>
      <c r="N44" s="14">
        <f>SI(L44&gt;=1.5; "Alléger séances / Régénération"; SI(L44&gt;=1.3; "Contrôler fatigue Hooper"; "Poursuivre programme"))</f>
        <v/>
      </c>
    </row>
    <row r="45">
      <c r="A45" s="15" t="inlineStr">
        <is>
          <t>S05</t>
        </is>
      </c>
      <c r="B45" s="21" t="n">
        <v>46064</v>
      </c>
      <c r="C45" s="15" t="inlineStr">
        <is>
          <t>S2</t>
        </is>
      </c>
      <c r="D45" s="15" t="inlineStr">
        <is>
          <t>ATH03</t>
        </is>
      </c>
      <c r="E45" s="14" t="inlineStr">
        <is>
          <t>Mercredi</t>
        </is>
      </c>
      <c r="F45" s="14" t="inlineStr">
        <is>
          <t>Intermittent</t>
        </is>
      </c>
      <c r="G45" s="15" t="n">
        <v>87</v>
      </c>
      <c r="H45" s="15" t="n">
        <v>7</v>
      </c>
      <c r="I45" s="22">
        <f>G45*H45</f>
        <v/>
      </c>
      <c r="J45" s="15">
        <f>SOMME.SI.ENS(I$5:I$222; D$5:D$222; D45; C$5:C$222; C45)</f>
        <v/>
      </c>
      <c r="K45" s="23">
        <f>MAX(400; J45 * 0.85)</f>
        <v/>
      </c>
      <c r="L45" s="24">
        <f>SI(K45&gt;0; J45/K45; 1.0)</f>
        <v/>
      </c>
      <c r="M45" s="15">
        <f>SI(L45&gt;=1.5; "ZONE DANGER (&gt;1.5)"; SI(L45&gt;=1.3; "Zone Haute (1.3-1.5)"; SI(L45&gt;=0.8; "Sweet Spot (0.8-1.3)"; "Sous-charge (&lt;0.8)")))</f>
        <v/>
      </c>
      <c r="N45" s="14">
        <f>SI(L45&gt;=1.5; "Alléger séances / Régénération"; SI(L45&gt;=1.3; "Contrôler fatigue Hooper"; "Poursuivre programme"))</f>
        <v/>
      </c>
    </row>
    <row r="46">
      <c r="A46" s="15" t="inlineStr">
        <is>
          <t>S06</t>
        </is>
      </c>
      <c r="B46" s="21" t="n">
        <v>46066</v>
      </c>
      <c r="C46" s="15" t="inlineStr">
        <is>
          <t>S2</t>
        </is>
      </c>
      <c r="D46" s="15" t="inlineStr">
        <is>
          <t>ATH03</t>
        </is>
      </c>
      <c r="E46" s="14" t="inlineStr">
        <is>
          <t>Vendredi</t>
        </is>
      </c>
      <c r="F46" s="14" t="inlineStr">
        <is>
          <t>Collectif</t>
        </is>
      </c>
      <c r="G46" s="15" t="n">
        <v>0</v>
      </c>
      <c r="H46" s="15" t="n">
        <v>0</v>
      </c>
      <c r="I46" s="22">
        <f>G46*H46</f>
        <v/>
      </c>
      <c r="J46" s="15">
        <f>SOMME.SI.ENS(I$5:I$222; D$5:D$222; D46; C$5:C$222; C46)</f>
        <v/>
      </c>
      <c r="K46" s="23">
        <f>MAX(400; J46 * 0.85)</f>
        <v/>
      </c>
      <c r="L46" s="24">
        <f>SI(K46&gt;0; J46/K46; 1.0)</f>
        <v/>
      </c>
      <c r="M46" s="15">
        <f>SI(L46&gt;=1.5; "ZONE DANGER (&gt;1.5)"; SI(L46&gt;=1.3; "Zone Haute (1.3-1.5)"; SI(L46&gt;=0.8; "Sweet Spot (0.8-1.3)"; "Sous-charge (&lt;0.8)")))</f>
        <v/>
      </c>
      <c r="N46" s="14">
        <f>SI(L46&gt;=1.5; "Alléger séances / Régénération"; SI(L46&gt;=1.3; "Contrôler fatigue Hooper"; "Poursuivre programme"))</f>
        <v/>
      </c>
    </row>
    <row r="47">
      <c r="A47" s="15" t="inlineStr">
        <is>
          <t>S07</t>
        </is>
      </c>
      <c r="B47" s="21" t="n">
        <v>46069</v>
      </c>
      <c r="C47" s="15" t="inlineStr">
        <is>
          <t>S3</t>
        </is>
      </c>
      <c r="D47" s="15" t="inlineStr">
        <is>
          <t>ATH03</t>
        </is>
      </c>
      <c r="E47" s="14" t="inlineStr">
        <is>
          <t>Lundi</t>
        </is>
      </c>
      <c r="F47" s="14" t="inlineStr">
        <is>
          <t>Technique</t>
        </is>
      </c>
      <c r="G47" s="15" t="n">
        <v>78</v>
      </c>
      <c r="H47" s="15" t="n">
        <v>5</v>
      </c>
      <c r="I47" s="22">
        <f>G47*H47</f>
        <v/>
      </c>
      <c r="J47" s="15">
        <f>SOMME.SI.ENS(I$5:I$222; D$5:D$222; D47; C$5:C$222; C47)</f>
        <v/>
      </c>
      <c r="K47" s="23">
        <f>MAX(400; J47 * 0.85)</f>
        <v/>
      </c>
      <c r="L47" s="24">
        <f>SI(K47&gt;0; J47/K47; 1.0)</f>
        <v/>
      </c>
      <c r="M47" s="15">
        <f>SI(L47&gt;=1.5; "ZONE DANGER (&gt;1.5)"; SI(L47&gt;=1.3; "Zone Haute (1.3-1.5)"; SI(L47&gt;=0.8; "Sweet Spot (0.8-1.3)"; "Sous-charge (&lt;0.8)")))</f>
        <v/>
      </c>
      <c r="N47" s="14">
        <f>SI(L47&gt;=1.5; "Alléger séances / Régénération"; SI(L47&gt;=1.3; "Contrôler fatigue Hooper"; "Poursuivre programme"))</f>
        <v/>
      </c>
    </row>
    <row r="48">
      <c r="A48" s="15" t="inlineStr">
        <is>
          <t>S08</t>
        </is>
      </c>
      <c r="B48" s="21" t="n">
        <v>46071</v>
      </c>
      <c r="C48" s="15" t="inlineStr">
        <is>
          <t>S3</t>
        </is>
      </c>
      <c r="D48" s="15" t="inlineStr">
        <is>
          <t>ATH03</t>
        </is>
      </c>
      <c r="E48" s="14" t="inlineStr">
        <is>
          <t>Mercredi</t>
        </is>
      </c>
      <c r="F48" s="14" t="inlineStr">
        <is>
          <t>Intermittent</t>
        </is>
      </c>
      <c r="G48" s="15" t="n">
        <v>94</v>
      </c>
      <c r="H48" s="15" t="n">
        <v>8</v>
      </c>
      <c r="I48" s="22">
        <f>G48*H48</f>
        <v/>
      </c>
      <c r="J48" s="15">
        <f>SOMME.SI.ENS(I$5:I$222; D$5:D$222; D48; C$5:C$222; C48)</f>
        <v/>
      </c>
      <c r="K48" s="23">
        <f>MAX(400; J48 * 0.85)</f>
        <v/>
      </c>
      <c r="L48" s="24">
        <f>SI(K48&gt;0; J48/K48; 1.0)</f>
        <v/>
      </c>
      <c r="M48" s="15">
        <f>SI(L48&gt;=1.5; "ZONE DANGER (&gt;1.5)"; SI(L48&gt;=1.3; "Zone Haute (1.3-1.5)"; SI(L48&gt;=0.8; "Sweet Spot (0.8-1.3)"; "Sous-charge (&lt;0.8)")))</f>
        <v/>
      </c>
      <c r="N48" s="14">
        <f>SI(L48&gt;=1.5; "Alléger séances / Régénération"; SI(L48&gt;=1.3; "Contrôler fatigue Hooper"; "Poursuivre programme"))</f>
        <v/>
      </c>
    </row>
    <row r="49">
      <c r="A49" s="15" t="inlineStr">
        <is>
          <t>S09</t>
        </is>
      </c>
      <c r="B49" s="21" t="n">
        <v>46073</v>
      </c>
      <c r="C49" s="15" t="inlineStr">
        <is>
          <t>S3</t>
        </is>
      </c>
      <c r="D49" s="15" t="inlineStr">
        <is>
          <t>ATH03</t>
        </is>
      </c>
      <c r="E49" s="14" t="inlineStr">
        <is>
          <t>Vendredi</t>
        </is>
      </c>
      <c r="F49" s="14" t="inlineStr">
        <is>
          <t>Collectif</t>
        </is>
      </c>
      <c r="G49" s="15" t="n">
        <v>110</v>
      </c>
      <c r="H49" s="15" t="n">
        <v>7</v>
      </c>
      <c r="I49" s="22">
        <f>G49*H49</f>
        <v/>
      </c>
      <c r="J49" s="15">
        <f>SOMME.SI.ENS(I$5:I$222; D$5:D$222; D49; C$5:C$222; C49)</f>
        <v/>
      </c>
      <c r="K49" s="23">
        <f>MAX(400; J49 * 0.85)</f>
        <v/>
      </c>
      <c r="L49" s="24">
        <f>SI(K49&gt;0; J49/K49; 1.0)</f>
        <v/>
      </c>
      <c r="M49" s="15">
        <f>SI(L49&gt;=1.5; "ZONE DANGER (&gt;1.5)"; SI(L49&gt;=1.3; "Zone Haute (1.3-1.5)"; SI(L49&gt;=0.8; "Sweet Spot (0.8-1.3)"; "Sous-charge (&lt;0.8)")))</f>
        <v/>
      </c>
      <c r="N49" s="14">
        <f>SI(L49&gt;=1.5; "Alléger séances / Régénération"; SI(L49&gt;=1.3; "Contrôler fatigue Hooper"; "Poursuivre programme"))</f>
        <v/>
      </c>
    </row>
    <row r="50">
      <c r="A50" s="15" t="inlineStr">
        <is>
          <t>S10</t>
        </is>
      </c>
      <c r="B50" s="21" t="n">
        <v>46076</v>
      </c>
      <c r="C50" s="15" t="inlineStr">
        <is>
          <t>S4</t>
        </is>
      </c>
      <c r="D50" s="15" t="inlineStr">
        <is>
          <t>ATH03</t>
        </is>
      </c>
      <c r="E50" s="14" t="inlineStr">
        <is>
          <t>Lundi</t>
        </is>
      </c>
      <c r="F50" s="14" t="inlineStr">
        <is>
          <t>Force</t>
        </is>
      </c>
      <c r="G50" s="15" t="n">
        <v>70</v>
      </c>
      <c r="H50" s="15" t="n">
        <v>6</v>
      </c>
      <c r="I50" s="22">
        <f>G50*H50</f>
        <v/>
      </c>
      <c r="J50" s="15">
        <f>SOMME.SI.ENS(I$5:I$222; D$5:D$222; D50; C$5:C$222; C50)</f>
        <v/>
      </c>
      <c r="K50" s="23">
        <f>MAX(400; J50 * 0.85)</f>
        <v/>
      </c>
      <c r="L50" s="24">
        <f>SI(K50&gt;0; J50/K50; 1.0)</f>
        <v/>
      </c>
      <c r="M50" s="15">
        <f>SI(L50&gt;=1.5; "ZONE DANGER (&gt;1.5)"; SI(L50&gt;=1.3; "Zone Haute (1.3-1.5)"; SI(L50&gt;=0.8; "Sweet Spot (0.8-1.3)"; "Sous-charge (&lt;0.8)")))</f>
        <v/>
      </c>
      <c r="N50" s="14">
        <f>SI(L50&gt;=1.5; "Alléger séances / Régénération"; SI(L50&gt;=1.3; "Contrôler fatigue Hooper"; "Poursuivre programme"))</f>
        <v/>
      </c>
    </row>
    <row r="51">
      <c r="A51" s="15" t="inlineStr">
        <is>
          <t>S11</t>
        </is>
      </c>
      <c r="B51" s="21" t="n">
        <v>46078</v>
      </c>
      <c r="C51" s="15" t="inlineStr">
        <is>
          <t>S4</t>
        </is>
      </c>
      <c r="D51" s="15" t="inlineStr">
        <is>
          <t>ATH03</t>
        </is>
      </c>
      <c r="E51" s="14" t="inlineStr">
        <is>
          <t>Mercredi</t>
        </is>
      </c>
      <c r="F51" s="14" t="inlineStr">
        <is>
          <t>Intermittent</t>
        </is>
      </c>
      <c r="G51" s="15" t="n">
        <v>85</v>
      </c>
      <c r="H51" s="15" t="n">
        <v>7</v>
      </c>
      <c r="I51" s="22">
        <f>G51*H51</f>
        <v/>
      </c>
      <c r="J51" s="15">
        <f>SOMME.SI.ENS(I$5:I$222; D$5:D$222; D51; C$5:C$222; C51)</f>
        <v/>
      </c>
      <c r="K51" s="23">
        <f>MAX(400; J51 * 0.85)</f>
        <v/>
      </c>
      <c r="L51" s="24">
        <f>SI(K51&gt;0; J51/K51; 1.0)</f>
        <v/>
      </c>
      <c r="M51" s="15">
        <f>SI(L51&gt;=1.5; "ZONE DANGER (&gt;1.5)"; SI(L51&gt;=1.3; "Zone Haute (1.3-1.5)"; SI(L51&gt;=0.8; "Sweet Spot (0.8-1.3)"; "Sous-charge (&lt;0.8)")))</f>
        <v/>
      </c>
      <c r="N51" s="14">
        <f>SI(L51&gt;=1.5; "Alléger séances / Régénération"; SI(L51&gt;=1.3; "Contrôler fatigue Hooper"; "Poursuivre programme"))</f>
        <v/>
      </c>
    </row>
    <row r="52">
      <c r="A52" s="15" t="inlineStr">
        <is>
          <t>S12</t>
        </is>
      </c>
      <c r="B52" s="21" t="n">
        <v>46080</v>
      </c>
      <c r="C52" s="15" t="inlineStr">
        <is>
          <t>S4</t>
        </is>
      </c>
      <c r="D52" s="15" t="inlineStr">
        <is>
          <t>ATH03</t>
        </is>
      </c>
      <c r="E52" s="14" t="inlineStr">
        <is>
          <t>Vendredi</t>
        </is>
      </c>
      <c r="F52" s="14" t="inlineStr">
        <is>
          <t>Collectif</t>
        </is>
      </c>
      <c r="G52" s="15" t="n">
        <v>107</v>
      </c>
      <c r="H52" s="15" t="n">
        <v>7</v>
      </c>
      <c r="I52" s="22">
        <f>G52*H52</f>
        <v/>
      </c>
      <c r="J52" s="15">
        <f>SOMME.SI.ENS(I$5:I$222; D$5:D$222; D52; C$5:C$222; C52)</f>
        <v/>
      </c>
      <c r="K52" s="23">
        <f>MAX(400; J52 * 0.85)</f>
        <v/>
      </c>
      <c r="L52" s="24">
        <f>SI(K52&gt;0; J52/K52; 1.0)</f>
        <v/>
      </c>
      <c r="M52" s="15">
        <f>SI(L52&gt;=1.5; "ZONE DANGER (&gt;1.5)"; SI(L52&gt;=1.3; "Zone Haute (1.3-1.5)"; SI(L52&gt;=0.8; "Sweet Spot (0.8-1.3)"; "Sous-charge (&lt;0.8)")))</f>
        <v/>
      </c>
      <c r="N52" s="14">
        <f>SI(L52&gt;=1.5; "Alléger séances / Régénération"; SI(L52&gt;=1.3; "Contrôler fatigue Hooper"; "Poursuivre programme"))</f>
        <v/>
      </c>
    </row>
    <row r="53">
      <c r="A53" s="15" t="inlineStr">
        <is>
          <t>S13</t>
        </is>
      </c>
      <c r="B53" s="21" t="n">
        <v>46083</v>
      </c>
      <c r="C53" s="15" t="inlineStr">
        <is>
          <t>S5</t>
        </is>
      </c>
      <c r="D53" s="15" t="inlineStr">
        <is>
          <t>ATH03</t>
        </is>
      </c>
      <c r="E53" s="14" t="inlineStr">
        <is>
          <t>Lundi</t>
        </is>
      </c>
      <c r="F53" s="14" t="inlineStr">
        <is>
          <t>Technique</t>
        </is>
      </c>
      <c r="G53" s="15" t="n">
        <v>74</v>
      </c>
      <c r="H53" s="15" t="n">
        <v>5</v>
      </c>
      <c r="I53" s="22">
        <f>G53*H53</f>
        <v/>
      </c>
      <c r="J53" s="15">
        <f>SOMME.SI.ENS(I$5:I$222; D$5:D$222; D53; C$5:C$222; C53)</f>
        <v/>
      </c>
      <c r="K53" s="23">
        <f>MAX(400; J53 * 0.85)</f>
        <v/>
      </c>
      <c r="L53" s="24">
        <f>SI(K53&gt;0; J53/K53; 1.0)</f>
        <v/>
      </c>
      <c r="M53" s="15">
        <f>SI(L53&gt;=1.5; "ZONE DANGER (&gt;1.5)"; SI(L53&gt;=1.3; "Zone Haute (1.3-1.5)"; SI(L53&gt;=0.8; "Sweet Spot (0.8-1.3)"; "Sous-charge (&lt;0.8)")))</f>
        <v/>
      </c>
      <c r="N53" s="14">
        <f>SI(L53&gt;=1.5; "Alléger séances / Régénération"; SI(L53&gt;=1.3; "Contrôler fatigue Hooper"; "Poursuivre programme"))</f>
        <v/>
      </c>
    </row>
    <row r="54">
      <c r="A54" s="15" t="inlineStr">
        <is>
          <t>S14</t>
        </is>
      </c>
      <c r="B54" s="21" t="n">
        <v>46085</v>
      </c>
      <c r="C54" s="15" t="inlineStr">
        <is>
          <t>S5</t>
        </is>
      </c>
      <c r="D54" s="15" t="inlineStr">
        <is>
          <t>ATH03</t>
        </is>
      </c>
      <c r="E54" s="14" t="inlineStr">
        <is>
          <t>Mercredi</t>
        </is>
      </c>
      <c r="F54" s="14" t="inlineStr">
        <is>
          <t>Intermittent</t>
        </is>
      </c>
      <c r="G54" s="15" t="n">
        <v>90</v>
      </c>
      <c r="H54" s="15" t="n">
        <v>8</v>
      </c>
      <c r="I54" s="22">
        <f>G54*H54</f>
        <v/>
      </c>
      <c r="J54" s="15">
        <f>SOMME.SI.ENS(I$5:I$222; D$5:D$222; D54; C$5:C$222; C54)</f>
        <v/>
      </c>
      <c r="K54" s="23">
        <f>MAX(400; J54 * 0.85)</f>
        <v/>
      </c>
      <c r="L54" s="24">
        <f>SI(K54&gt;0; J54/K54; 1.0)</f>
        <v/>
      </c>
      <c r="M54" s="15">
        <f>SI(L54&gt;=1.5; "ZONE DANGER (&gt;1.5)"; SI(L54&gt;=1.3; "Zone Haute (1.3-1.5)"; SI(L54&gt;=0.8; "Sweet Spot (0.8-1.3)"; "Sous-charge (&lt;0.8)")))</f>
        <v/>
      </c>
      <c r="N54" s="14">
        <f>SI(L54&gt;=1.5; "Alléger séances / Régénération"; SI(L54&gt;=1.3; "Contrôler fatigue Hooper"; "Poursuivre programme"))</f>
        <v/>
      </c>
    </row>
    <row r="55">
      <c r="A55" s="15" t="inlineStr">
        <is>
          <t>S15</t>
        </is>
      </c>
      <c r="B55" s="21" t="n">
        <v>46087</v>
      </c>
      <c r="C55" s="15" t="inlineStr">
        <is>
          <t>S5</t>
        </is>
      </c>
      <c r="D55" s="15" t="inlineStr">
        <is>
          <t>ATH03</t>
        </is>
      </c>
      <c r="E55" s="14" t="inlineStr">
        <is>
          <t>Vendredi</t>
        </is>
      </c>
      <c r="F55" s="14" t="inlineStr">
        <is>
          <t>Collectif</t>
        </is>
      </c>
      <c r="G55" s="15" t="n">
        <v>107</v>
      </c>
      <c r="H55" s="15" t="n">
        <v>7</v>
      </c>
      <c r="I55" s="22">
        <f>G55*H55</f>
        <v/>
      </c>
      <c r="J55" s="15">
        <f>SOMME.SI.ENS(I$5:I$222; D$5:D$222; D55; C$5:C$222; C55)</f>
        <v/>
      </c>
      <c r="K55" s="23">
        <f>MAX(400; J55 * 0.85)</f>
        <v/>
      </c>
      <c r="L55" s="24">
        <f>SI(K55&gt;0; J55/K55; 1.0)</f>
        <v/>
      </c>
      <c r="M55" s="15">
        <f>SI(L55&gt;=1.5; "ZONE DANGER (&gt;1.5)"; SI(L55&gt;=1.3; "Zone Haute (1.3-1.5)"; SI(L55&gt;=0.8; "Sweet Spot (0.8-1.3)"; "Sous-charge (&lt;0.8)")))</f>
        <v/>
      </c>
      <c r="N55" s="14">
        <f>SI(L55&gt;=1.5; "Alléger séances / Régénération"; SI(L55&gt;=1.3; "Contrôler fatigue Hooper"; "Poursuivre programme"))</f>
        <v/>
      </c>
    </row>
    <row r="56">
      <c r="A56" s="15" t="inlineStr">
        <is>
          <t>S16</t>
        </is>
      </c>
      <c r="B56" s="21" t="n">
        <v>46090</v>
      </c>
      <c r="C56" s="15" t="inlineStr">
        <is>
          <t>S6</t>
        </is>
      </c>
      <c r="D56" s="15" t="inlineStr">
        <is>
          <t>ATH03</t>
        </is>
      </c>
      <c r="E56" s="14" t="inlineStr">
        <is>
          <t>Lundi</t>
        </is>
      </c>
      <c r="F56" s="14" t="inlineStr">
        <is>
          <t>Force</t>
        </is>
      </c>
      <c r="G56" s="15" t="n">
        <v>66</v>
      </c>
      <c r="H56" s="15" t="n">
        <v>5</v>
      </c>
      <c r="I56" s="22">
        <f>G56*H56</f>
        <v/>
      </c>
      <c r="J56" s="15">
        <f>SOMME.SI.ENS(I$5:I$222; D$5:D$222; D56; C$5:C$222; C56)</f>
        <v/>
      </c>
      <c r="K56" s="23">
        <f>MAX(400; J56 * 0.85)</f>
        <v/>
      </c>
      <c r="L56" s="24">
        <f>SI(K56&gt;0; J56/K56; 1.0)</f>
        <v/>
      </c>
      <c r="M56" s="15">
        <f>SI(L56&gt;=1.5; "ZONE DANGER (&gt;1.5)"; SI(L56&gt;=1.3; "Zone Haute (1.3-1.5)"; SI(L56&gt;=0.8; "Sweet Spot (0.8-1.3)"; "Sous-charge (&lt;0.8)")))</f>
        <v/>
      </c>
      <c r="N56" s="14">
        <f>SI(L56&gt;=1.5; "Alléger séances / Régénération"; SI(L56&gt;=1.3; "Contrôler fatigue Hooper"; "Poursuivre programme"))</f>
        <v/>
      </c>
    </row>
    <row r="57">
      <c r="A57" s="15" t="inlineStr">
        <is>
          <t>S17</t>
        </is>
      </c>
      <c r="B57" s="21" t="n">
        <v>46092</v>
      </c>
      <c r="C57" s="15" t="inlineStr">
        <is>
          <t>S6</t>
        </is>
      </c>
      <c r="D57" s="15" t="inlineStr">
        <is>
          <t>ATH03</t>
        </is>
      </c>
      <c r="E57" s="14" t="inlineStr">
        <is>
          <t>Mercredi</t>
        </is>
      </c>
      <c r="F57" s="14" t="inlineStr">
        <is>
          <t>Intermittent</t>
        </is>
      </c>
      <c r="G57" s="15" t="n">
        <v>94</v>
      </c>
      <c r="H57" s="15" t="n">
        <v>7</v>
      </c>
      <c r="I57" s="22">
        <f>G57*H57</f>
        <v/>
      </c>
      <c r="J57" s="15">
        <f>SOMME.SI.ENS(I$5:I$222; D$5:D$222; D57; C$5:C$222; C57)</f>
        <v/>
      </c>
      <c r="K57" s="23">
        <f>MAX(400; J57 * 0.85)</f>
        <v/>
      </c>
      <c r="L57" s="24">
        <f>SI(K57&gt;0; J57/K57; 1.0)</f>
        <v/>
      </c>
      <c r="M57" s="15">
        <f>SI(L57&gt;=1.5; "ZONE DANGER (&gt;1.5)"; SI(L57&gt;=1.3; "Zone Haute (1.3-1.5)"; SI(L57&gt;=0.8; "Sweet Spot (0.8-1.3)"; "Sous-charge (&lt;0.8)")))</f>
        <v/>
      </c>
      <c r="N57" s="14">
        <f>SI(L57&gt;=1.5; "Alléger séances / Régénération"; SI(L57&gt;=1.3; "Contrôler fatigue Hooper"; "Poursuivre programme"))</f>
        <v/>
      </c>
    </row>
    <row r="58">
      <c r="A58" s="15" t="inlineStr">
        <is>
          <t>S18</t>
        </is>
      </c>
      <c r="B58" s="21" t="n">
        <v>46094</v>
      </c>
      <c r="C58" s="15" t="inlineStr">
        <is>
          <t>S6</t>
        </is>
      </c>
      <c r="D58" s="15" t="inlineStr">
        <is>
          <t>ATH03</t>
        </is>
      </c>
      <c r="E58" s="14" t="inlineStr">
        <is>
          <t>Vendredi</t>
        </is>
      </c>
      <c r="F58" s="14" t="inlineStr">
        <is>
          <t>Collectif</t>
        </is>
      </c>
      <c r="G58" s="15" t="n">
        <v>104</v>
      </c>
      <c r="H58" s="15" t="n">
        <v>4</v>
      </c>
      <c r="I58" s="22">
        <f>G58*H58</f>
        <v/>
      </c>
      <c r="J58" s="15">
        <f>SOMME.SI.ENS(I$5:I$222; D$5:D$222; D58; C$5:C$222; C58)</f>
        <v/>
      </c>
      <c r="K58" s="23">
        <f>MAX(400; J58 * 0.85)</f>
        <v/>
      </c>
      <c r="L58" s="24">
        <f>SI(K58&gt;0; J58/K58; 1.0)</f>
        <v/>
      </c>
      <c r="M58" s="15">
        <f>SI(L58&gt;=1.5; "ZONE DANGER (&gt;1.5)"; SI(L58&gt;=1.3; "Zone Haute (1.3-1.5)"; SI(L58&gt;=0.8; "Sweet Spot (0.8-1.3)"; "Sous-charge (&lt;0.8)")))</f>
        <v/>
      </c>
      <c r="N58" s="14">
        <f>SI(L58&gt;=1.5; "Alléger séances / Régénération"; SI(L58&gt;=1.3; "Contrôler fatigue Hooper"; "Poursuivre programme"))</f>
        <v/>
      </c>
    </row>
    <row r="59">
      <c r="A59" s="15" t="inlineStr">
        <is>
          <t>S01</t>
        </is>
      </c>
      <c r="B59" s="21" t="n">
        <v>46055</v>
      </c>
      <c r="C59" s="15" t="inlineStr">
        <is>
          <t>S1</t>
        </is>
      </c>
      <c r="D59" s="15" t="inlineStr">
        <is>
          <t>ATH04</t>
        </is>
      </c>
      <c r="E59" s="14" t="inlineStr">
        <is>
          <t>Lundi</t>
        </is>
      </c>
      <c r="F59" s="14" t="inlineStr">
        <is>
          <t>Technique</t>
        </is>
      </c>
      <c r="G59" s="15" t="n">
        <v>72</v>
      </c>
      <c r="H59" s="15" t="n">
        <v>4</v>
      </c>
      <c r="I59" s="22">
        <f>G59*H59</f>
        <v/>
      </c>
      <c r="J59" s="15">
        <f>SOMME.SI.ENS(I$5:I$222; D$5:D$222; D59; C$5:C$222; C59)</f>
        <v/>
      </c>
      <c r="K59" s="23">
        <f>MAX(400; J59 * 0.85)</f>
        <v/>
      </c>
      <c r="L59" s="24">
        <f>SI(K59&gt;0; J59/K59; 1.0)</f>
        <v/>
      </c>
      <c r="M59" s="15">
        <f>SI(L59&gt;=1.5; "ZONE DANGER (&gt;1.5)"; SI(L59&gt;=1.3; "Zone Haute (1.3-1.5)"; SI(L59&gt;=0.8; "Sweet Spot (0.8-1.3)"; "Sous-charge (&lt;0.8)")))</f>
        <v/>
      </c>
      <c r="N59" s="14">
        <f>SI(L59&gt;=1.5; "Alléger séances / Régénération"; SI(L59&gt;=1.3; "Contrôler fatigue Hooper"; "Poursuivre programme"))</f>
        <v/>
      </c>
    </row>
    <row r="60">
      <c r="A60" s="15" t="inlineStr">
        <is>
          <t>S02</t>
        </is>
      </c>
      <c r="B60" s="21" t="n">
        <v>46057</v>
      </c>
      <c r="C60" s="15" t="inlineStr">
        <is>
          <t>S1</t>
        </is>
      </c>
      <c r="D60" s="15" t="inlineStr">
        <is>
          <t>ATH04</t>
        </is>
      </c>
      <c r="E60" s="14" t="inlineStr">
        <is>
          <t>Mercredi</t>
        </is>
      </c>
      <c r="F60" s="14" t="inlineStr">
        <is>
          <t>Intermittent</t>
        </is>
      </c>
      <c r="G60" s="15" t="n">
        <v>90</v>
      </c>
      <c r="H60" s="15" t="n">
        <v>8</v>
      </c>
      <c r="I60" s="22">
        <f>G60*H60</f>
        <v/>
      </c>
      <c r="J60" s="15">
        <f>SOMME.SI.ENS(I$5:I$222; D$5:D$222; D60; C$5:C$222; C60)</f>
        <v/>
      </c>
      <c r="K60" s="23">
        <f>MAX(400; J60 * 0.85)</f>
        <v/>
      </c>
      <c r="L60" s="24">
        <f>SI(K60&gt;0; J60/K60; 1.0)</f>
        <v/>
      </c>
      <c r="M60" s="15">
        <f>SI(L60&gt;=1.5; "ZONE DANGER (&gt;1.5)"; SI(L60&gt;=1.3; "Zone Haute (1.3-1.5)"; SI(L60&gt;=0.8; "Sweet Spot (0.8-1.3)"; "Sous-charge (&lt;0.8)")))</f>
        <v/>
      </c>
      <c r="N60" s="14">
        <f>SI(L60&gt;=1.5; "Alléger séances / Régénération"; SI(L60&gt;=1.3; "Contrôler fatigue Hooper"; "Poursuivre programme"))</f>
        <v/>
      </c>
    </row>
    <row r="61">
      <c r="A61" s="15" t="inlineStr">
        <is>
          <t>S03</t>
        </is>
      </c>
      <c r="B61" s="21" t="n">
        <v>46059</v>
      </c>
      <c r="C61" s="15" t="inlineStr">
        <is>
          <t>S1</t>
        </is>
      </c>
      <c r="D61" s="15" t="inlineStr">
        <is>
          <t>ATH04</t>
        </is>
      </c>
      <c r="E61" s="14" t="inlineStr">
        <is>
          <t>Vendredi</t>
        </is>
      </c>
      <c r="F61" s="14" t="inlineStr">
        <is>
          <t>Collectif</t>
        </is>
      </c>
      <c r="G61" s="15" t="n">
        <v>105</v>
      </c>
      <c r="H61" s="15" t="n">
        <v>3</v>
      </c>
      <c r="I61" s="22">
        <f>G61*H61</f>
        <v/>
      </c>
      <c r="J61" s="15">
        <f>SOMME.SI.ENS(I$5:I$222; D$5:D$222; D61; C$5:C$222; C61)</f>
        <v/>
      </c>
      <c r="K61" s="23">
        <f>MAX(400; J61 * 0.85)</f>
        <v/>
      </c>
      <c r="L61" s="24">
        <f>SI(K61&gt;0; J61/K61; 1.0)</f>
        <v/>
      </c>
      <c r="M61" s="15">
        <f>SI(L61&gt;=1.5; "ZONE DANGER (&gt;1.5)"; SI(L61&gt;=1.3; "Zone Haute (1.3-1.5)"; SI(L61&gt;=0.8; "Sweet Spot (0.8-1.3)"; "Sous-charge (&lt;0.8)")))</f>
        <v/>
      </c>
      <c r="N61" s="14">
        <f>SI(L61&gt;=1.5; "Alléger séances / Régénération"; SI(L61&gt;=1.3; "Contrôler fatigue Hooper"; "Poursuivre programme"))</f>
        <v/>
      </c>
    </row>
    <row r="62">
      <c r="A62" s="15" t="inlineStr">
        <is>
          <t>S04</t>
        </is>
      </c>
      <c r="B62" s="21" t="n">
        <v>46062</v>
      </c>
      <c r="C62" s="15" t="inlineStr">
        <is>
          <t>S2</t>
        </is>
      </c>
      <c r="D62" s="15" t="inlineStr">
        <is>
          <t>ATH04</t>
        </is>
      </c>
      <c r="E62" s="14" t="inlineStr">
        <is>
          <t>Lundi</t>
        </is>
      </c>
      <c r="F62" s="14" t="inlineStr">
        <is>
          <t>Force</t>
        </is>
      </c>
      <c r="G62" s="15" t="n">
        <v>65</v>
      </c>
      <c r="H62" s="15" t="n">
        <v>7</v>
      </c>
      <c r="I62" s="22">
        <f>G62*H62</f>
        <v/>
      </c>
      <c r="J62" s="15">
        <f>SOMME.SI.ENS(I$5:I$222; D$5:D$222; D62; C$5:C$222; C62)</f>
        <v/>
      </c>
      <c r="K62" s="23">
        <f>MAX(400; J62 * 0.85)</f>
        <v/>
      </c>
      <c r="L62" s="24">
        <f>SI(K62&gt;0; J62/K62; 1.0)</f>
        <v/>
      </c>
      <c r="M62" s="15">
        <f>SI(L62&gt;=1.5; "ZONE DANGER (&gt;1.5)"; SI(L62&gt;=1.3; "Zone Haute (1.3-1.5)"; SI(L62&gt;=0.8; "Sweet Spot (0.8-1.3)"; "Sous-charge (&lt;0.8)")))</f>
        <v/>
      </c>
      <c r="N62" s="14">
        <f>SI(L62&gt;=1.5; "Alléger séances / Régénération"; SI(L62&gt;=1.3; "Contrôler fatigue Hooper"; "Poursuivre programme"))</f>
        <v/>
      </c>
    </row>
    <row r="63">
      <c r="A63" s="15" t="inlineStr">
        <is>
          <t>S05</t>
        </is>
      </c>
      <c r="B63" s="21" t="n">
        <v>46064</v>
      </c>
      <c r="C63" s="15" t="inlineStr">
        <is>
          <t>S2</t>
        </is>
      </c>
      <c r="D63" s="15" t="inlineStr">
        <is>
          <t>ATH04</t>
        </is>
      </c>
      <c r="E63" s="14" t="inlineStr">
        <is>
          <t>Mercredi</t>
        </is>
      </c>
      <c r="F63" s="14" t="inlineStr">
        <is>
          <t>Intermittent</t>
        </is>
      </c>
      <c r="G63" s="15" t="n">
        <v>87</v>
      </c>
      <c r="H63" s="15" t="n">
        <v>7</v>
      </c>
      <c r="I63" s="22">
        <f>G63*H63</f>
        <v/>
      </c>
      <c r="J63" s="15">
        <f>SOMME.SI.ENS(I$5:I$222; D$5:D$222; D63; C$5:C$222; C63)</f>
        <v/>
      </c>
      <c r="K63" s="23">
        <f>MAX(400; J63 * 0.85)</f>
        <v/>
      </c>
      <c r="L63" s="24">
        <f>SI(K63&gt;0; J63/K63; 1.0)</f>
        <v/>
      </c>
      <c r="M63" s="15">
        <f>SI(L63&gt;=1.5; "ZONE DANGER (&gt;1.5)"; SI(L63&gt;=1.3; "Zone Haute (1.3-1.5)"; SI(L63&gt;=0.8; "Sweet Spot (0.8-1.3)"; "Sous-charge (&lt;0.8)")))</f>
        <v/>
      </c>
      <c r="N63" s="14">
        <f>SI(L63&gt;=1.5; "Alléger séances / Régénération"; SI(L63&gt;=1.3; "Contrôler fatigue Hooper"; "Poursuivre programme"))</f>
        <v/>
      </c>
    </row>
    <row r="64">
      <c r="A64" s="15" t="inlineStr">
        <is>
          <t>S06</t>
        </is>
      </c>
      <c r="B64" s="21" t="n">
        <v>46066</v>
      </c>
      <c r="C64" s="15" t="inlineStr">
        <is>
          <t>S2</t>
        </is>
      </c>
      <c r="D64" s="15" t="inlineStr">
        <is>
          <t>ATH04</t>
        </is>
      </c>
      <c r="E64" s="14" t="inlineStr">
        <is>
          <t>Vendredi</t>
        </is>
      </c>
      <c r="F64" s="14" t="inlineStr">
        <is>
          <t>Collectif</t>
        </is>
      </c>
      <c r="G64" s="15" t="n">
        <v>114</v>
      </c>
      <c r="H64" s="15" t="n">
        <v>7</v>
      </c>
      <c r="I64" s="22">
        <f>G64*H64</f>
        <v/>
      </c>
      <c r="J64" s="15">
        <f>SOMME.SI.ENS(I$5:I$222; D$5:D$222; D64; C$5:C$222; C64)</f>
        <v/>
      </c>
      <c r="K64" s="23">
        <f>MAX(400; J64 * 0.85)</f>
        <v/>
      </c>
      <c r="L64" s="24">
        <f>SI(K64&gt;0; J64/K64; 1.0)</f>
        <v/>
      </c>
      <c r="M64" s="15">
        <f>SI(L64&gt;=1.5; "ZONE DANGER (&gt;1.5)"; SI(L64&gt;=1.3; "Zone Haute (1.3-1.5)"; SI(L64&gt;=0.8; "Sweet Spot (0.8-1.3)"; "Sous-charge (&lt;0.8)")))</f>
        <v/>
      </c>
      <c r="N64" s="14">
        <f>SI(L64&gt;=1.5; "Alléger séances / Régénération"; SI(L64&gt;=1.3; "Contrôler fatigue Hooper"; "Poursuivre programme"))</f>
        <v/>
      </c>
    </row>
    <row r="65">
      <c r="A65" s="15" t="inlineStr">
        <is>
          <t>S07</t>
        </is>
      </c>
      <c r="B65" s="21" t="n">
        <v>46069</v>
      </c>
      <c r="C65" s="15" t="inlineStr">
        <is>
          <t>S3</t>
        </is>
      </c>
      <c r="D65" s="15" t="inlineStr">
        <is>
          <t>ATH04</t>
        </is>
      </c>
      <c r="E65" s="14" t="inlineStr">
        <is>
          <t>Lundi</t>
        </is>
      </c>
      <c r="F65" s="14" t="inlineStr">
        <is>
          <t>Technique</t>
        </is>
      </c>
      <c r="G65" s="15" t="n">
        <v>70</v>
      </c>
      <c r="H65" s="15" t="n">
        <v>4</v>
      </c>
      <c r="I65" s="22">
        <f>G65*H65</f>
        <v/>
      </c>
      <c r="J65" s="15">
        <f>SOMME.SI.ENS(I$5:I$222; D$5:D$222; D65; C$5:C$222; C65)</f>
        <v/>
      </c>
      <c r="K65" s="23">
        <f>MAX(400; J65 * 0.85)</f>
        <v/>
      </c>
      <c r="L65" s="24">
        <f>SI(K65&gt;0; J65/K65; 1.0)</f>
        <v/>
      </c>
      <c r="M65" s="15">
        <f>SI(L65&gt;=1.5; "ZONE DANGER (&gt;1.5)"; SI(L65&gt;=1.3; "Zone Haute (1.3-1.5)"; SI(L65&gt;=0.8; "Sweet Spot (0.8-1.3)"; "Sous-charge (&lt;0.8)")))</f>
        <v/>
      </c>
      <c r="N65" s="14">
        <f>SI(L65&gt;=1.5; "Alléger séances / Régénération"; SI(L65&gt;=1.3; "Contrôler fatigue Hooper"; "Poursuivre programme"))</f>
        <v/>
      </c>
    </row>
    <row r="66">
      <c r="A66" s="15" t="inlineStr">
        <is>
          <t>S08</t>
        </is>
      </c>
      <c r="B66" s="21" t="n">
        <v>46071</v>
      </c>
      <c r="C66" s="15" t="inlineStr">
        <is>
          <t>S3</t>
        </is>
      </c>
      <c r="D66" s="15" t="inlineStr">
        <is>
          <t>ATH04</t>
        </is>
      </c>
      <c r="E66" s="14" t="inlineStr">
        <is>
          <t>Mercredi</t>
        </is>
      </c>
      <c r="F66" s="14" t="inlineStr">
        <is>
          <t>Intermittent</t>
        </is>
      </c>
      <c r="G66" s="15" t="n">
        <v>98</v>
      </c>
      <c r="H66" s="15" t="n">
        <v>9</v>
      </c>
      <c r="I66" s="22">
        <f>G66*H66</f>
        <v/>
      </c>
      <c r="J66" s="15">
        <f>SOMME.SI.ENS(I$5:I$222; D$5:D$222; D66; C$5:C$222; C66)</f>
        <v/>
      </c>
      <c r="K66" s="23">
        <f>MAX(400; J66 * 0.85)</f>
        <v/>
      </c>
      <c r="L66" s="24">
        <f>SI(K66&gt;0; J66/K66; 1.0)</f>
        <v/>
      </c>
      <c r="M66" s="15">
        <f>SI(L66&gt;=1.5; "ZONE DANGER (&gt;1.5)"; SI(L66&gt;=1.3; "Zone Haute (1.3-1.5)"; SI(L66&gt;=0.8; "Sweet Spot (0.8-1.3)"; "Sous-charge (&lt;0.8)")))</f>
        <v/>
      </c>
      <c r="N66" s="14">
        <f>SI(L66&gt;=1.5; "Alléger séances / Régénération"; SI(L66&gt;=1.3; "Contrôler fatigue Hooper"; "Poursuivre programme"))</f>
        <v/>
      </c>
    </row>
    <row r="67">
      <c r="A67" s="15" t="inlineStr">
        <is>
          <t>S09</t>
        </is>
      </c>
      <c r="B67" s="21" t="n">
        <v>46073</v>
      </c>
      <c r="C67" s="15" t="inlineStr">
        <is>
          <t>S3</t>
        </is>
      </c>
      <c r="D67" s="15" t="inlineStr">
        <is>
          <t>ATH04</t>
        </is>
      </c>
      <c r="E67" s="14" t="inlineStr">
        <is>
          <t>Vendredi</t>
        </is>
      </c>
      <c r="F67" s="14" t="inlineStr">
        <is>
          <t>Collectif</t>
        </is>
      </c>
      <c r="G67" s="15" t="n">
        <v>109</v>
      </c>
      <c r="H67" s="15" t="n">
        <v>8</v>
      </c>
      <c r="I67" s="22">
        <f>G67*H67</f>
        <v/>
      </c>
      <c r="J67" s="15">
        <f>SOMME.SI.ENS(I$5:I$222; D$5:D$222; D67; C$5:C$222; C67)</f>
        <v/>
      </c>
      <c r="K67" s="23">
        <f>MAX(400; J67 * 0.85)</f>
        <v/>
      </c>
      <c r="L67" s="24">
        <f>SI(K67&gt;0; J67/K67; 1.0)</f>
        <v/>
      </c>
      <c r="M67" s="15">
        <f>SI(L67&gt;=1.5; "ZONE DANGER (&gt;1.5)"; SI(L67&gt;=1.3; "Zone Haute (1.3-1.5)"; SI(L67&gt;=0.8; "Sweet Spot (0.8-1.3)"; "Sous-charge (&lt;0.8)")))</f>
        <v/>
      </c>
      <c r="N67" s="14">
        <f>SI(L67&gt;=1.5; "Alléger séances / Régénération"; SI(L67&gt;=1.3; "Contrôler fatigue Hooper"; "Poursuivre programme"))</f>
        <v/>
      </c>
    </row>
    <row r="68">
      <c r="A68" s="15" t="inlineStr">
        <is>
          <t>S10</t>
        </is>
      </c>
      <c r="B68" s="21" t="n">
        <v>46076</v>
      </c>
      <c r="C68" s="15" t="inlineStr">
        <is>
          <t>S4</t>
        </is>
      </c>
      <c r="D68" s="15" t="inlineStr">
        <is>
          <t>ATH04</t>
        </is>
      </c>
      <c r="E68" s="14" t="inlineStr">
        <is>
          <t>Lundi</t>
        </is>
      </c>
      <c r="F68" s="14" t="inlineStr">
        <is>
          <t>Force</t>
        </is>
      </c>
      <c r="G68" s="15" t="n">
        <v>74</v>
      </c>
      <c r="H68" s="15" t="n">
        <v>3</v>
      </c>
      <c r="I68" s="22">
        <f>G68*H68</f>
        <v/>
      </c>
      <c r="J68" s="15">
        <f>SOMME.SI.ENS(I$5:I$222; D$5:D$222; D68; C$5:C$222; C68)</f>
        <v/>
      </c>
      <c r="K68" s="23">
        <f>MAX(400; J68 * 0.85)</f>
        <v/>
      </c>
      <c r="L68" s="24">
        <f>SI(K68&gt;0; J68/K68; 1.0)</f>
        <v/>
      </c>
      <c r="M68" s="15">
        <f>SI(L68&gt;=1.5; "ZONE DANGER (&gt;1.5)"; SI(L68&gt;=1.3; "Zone Haute (1.3-1.5)"; SI(L68&gt;=0.8; "Sweet Spot (0.8-1.3)"; "Sous-charge (&lt;0.8)")))</f>
        <v/>
      </c>
      <c r="N68" s="14">
        <f>SI(L68&gt;=1.5; "Alléger séances / Régénération"; SI(L68&gt;=1.3; "Contrôler fatigue Hooper"; "Poursuivre programme"))</f>
        <v/>
      </c>
    </row>
    <row r="69">
      <c r="A69" s="15" t="inlineStr">
        <is>
          <t>S11</t>
        </is>
      </c>
      <c r="B69" s="21" t="n">
        <v>46078</v>
      </c>
      <c r="C69" s="15" t="inlineStr">
        <is>
          <t>S4</t>
        </is>
      </c>
      <c r="D69" s="15" t="inlineStr">
        <is>
          <t>ATH04</t>
        </is>
      </c>
      <c r="E69" s="14" t="inlineStr">
        <is>
          <t>Mercredi</t>
        </is>
      </c>
      <c r="F69" s="14" t="inlineStr">
        <is>
          <t>Intermittent</t>
        </is>
      </c>
      <c r="G69" s="15" t="n">
        <v>91</v>
      </c>
      <c r="H69" s="15" t="n">
        <v>7</v>
      </c>
      <c r="I69" s="22">
        <f>G69*H69</f>
        <v/>
      </c>
      <c r="J69" s="15">
        <f>SOMME.SI.ENS(I$5:I$222; D$5:D$222; D69; C$5:C$222; C69)</f>
        <v/>
      </c>
      <c r="K69" s="23">
        <f>MAX(400; J69 * 0.85)</f>
        <v/>
      </c>
      <c r="L69" s="24">
        <f>SI(K69&gt;0; J69/K69; 1.0)</f>
        <v/>
      </c>
      <c r="M69" s="15">
        <f>SI(L69&gt;=1.5; "ZONE DANGER (&gt;1.5)"; SI(L69&gt;=1.3; "Zone Haute (1.3-1.5)"; SI(L69&gt;=0.8; "Sweet Spot (0.8-1.3)"; "Sous-charge (&lt;0.8)")))</f>
        <v/>
      </c>
      <c r="N69" s="14">
        <f>SI(L69&gt;=1.5; "Alléger séances / Régénération"; SI(L69&gt;=1.3; "Contrôler fatigue Hooper"; "Poursuivre programme"))</f>
        <v/>
      </c>
    </row>
    <row r="70">
      <c r="A70" s="15" t="inlineStr">
        <is>
          <t>S12</t>
        </is>
      </c>
      <c r="B70" s="21" t="n">
        <v>46080</v>
      </c>
      <c r="C70" s="15" t="inlineStr">
        <is>
          <t>S4</t>
        </is>
      </c>
      <c r="D70" s="15" t="inlineStr">
        <is>
          <t>ATH04</t>
        </is>
      </c>
      <c r="E70" s="14" t="inlineStr">
        <is>
          <t>Vendredi</t>
        </is>
      </c>
      <c r="F70" s="14" t="inlineStr">
        <is>
          <t>Collectif</t>
        </is>
      </c>
      <c r="G70" s="15" t="n">
        <v>106</v>
      </c>
      <c r="H70" s="15" t="n">
        <v>8</v>
      </c>
      <c r="I70" s="22">
        <f>G70*H70</f>
        <v/>
      </c>
      <c r="J70" s="15">
        <f>SOMME.SI.ENS(I$5:I$222; D$5:D$222; D70; C$5:C$222; C70)</f>
        <v/>
      </c>
      <c r="K70" s="23">
        <f>MAX(400; J70 * 0.85)</f>
        <v/>
      </c>
      <c r="L70" s="24">
        <f>SI(K70&gt;0; J70/K70; 1.0)</f>
        <v/>
      </c>
      <c r="M70" s="15">
        <f>SI(L70&gt;=1.5; "ZONE DANGER (&gt;1.5)"; SI(L70&gt;=1.3; "Zone Haute (1.3-1.5)"; SI(L70&gt;=0.8; "Sweet Spot (0.8-1.3)"; "Sous-charge (&lt;0.8)")))</f>
        <v/>
      </c>
      <c r="N70" s="14">
        <f>SI(L70&gt;=1.5; "Alléger séances / Régénération"; SI(L70&gt;=1.3; "Contrôler fatigue Hooper"; "Poursuivre programme"))</f>
        <v/>
      </c>
    </row>
    <row r="71">
      <c r="A71" s="15" t="inlineStr">
        <is>
          <t>S13</t>
        </is>
      </c>
      <c r="B71" s="21" t="n">
        <v>46083</v>
      </c>
      <c r="C71" s="15" t="inlineStr">
        <is>
          <t>S5</t>
        </is>
      </c>
      <c r="D71" s="15" t="inlineStr">
        <is>
          <t>ATH04</t>
        </is>
      </c>
      <c r="E71" s="14" t="inlineStr">
        <is>
          <t>Lundi</t>
        </is>
      </c>
      <c r="F71" s="14" t="inlineStr">
        <is>
          <t>Technique</t>
        </is>
      </c>
      <c r="G71" s="15" t="n">
        <v>74</v>
      </c>
      <c r="H71" s="15" t="n">
        <v>6</v>
      </c>
      <c r="I71" s="22">
        <f>G71*H71</f>
        <v/>
      </c>
      <c r="J71" s="15">
        <f>SOMME.SI.ENS(I$5:I$222; D$5:D$222; D71; C$5:C$222; C71)</f>
        <v/>
      </c>
      <c r="K71" s="23">
        <f>MAX(400; J71 * 0.85)</f>
        <v/>
      </c>
      <c r="L71" s="24">
        <f>SI(K71&gt;0; J71/K71; 1.0)</f>
        <v/>
      </c>
      <c r="M71" s="15">
        <f>SI(L71&gt;=1.5; "ZONE DANGER (&gt;1.5)"; SI(L71&gt;=1.3; "Zone Haute (1.3-1.5)"; SI(L71&gt;=0.8; "Sweet Spot (0.8-1.3)"; "Sous-charge (&lt;0.8)")))</f>
        <v/>
      </c>
      <c r="N71" s="14">
        <f>SI(L71&gt;=1.5; "Alléger séances / Régénération"; SI(L71&gt;=1.3; "Contrôler fatigue Hooper"; "Poursuivre programme"))</f>
        <v/>
      </c>
    </row>
    <row r="72">
      <c r="A72" s="15" t="inlineStr">
        <is>
          <t>S14</t>
        </is>
      </c>
      <c r="B72" s="21" t="n">
        <v>46085</v>
      </c>
      <c r="C72" s="15" t="inlineStr">
        <is>
          <t>S5</t>
        </is>
      </c>
      <c r="D72" s="15" t="inlineStr">
        <is>
          <t>ATH04</t>
        </is>
      </c>
      <c r="E72" s="14" t="inlineStr">
        <is>
          <t>Mercredi</t>
        </is>
      </c>
      <c r="F72" s="14" t="inlineStr">
        <is>
          <t>Intermittent</t>
        </is>
      </c>
      <c r="G72" s="15" t="n">
        <v>100</v>
      </c>
      <c r="H72" s="15" t="n">
        <v>6</v>
      </c>
      <c r="I72" s="22">
        <f>G72*H72</f>
        <v/>
      </c>
      <c r="J72" s="15">
        <f>SOMME.SI.ENS(I$5:I$222; D$5:D$222; D72; C$5:C$222; C72)</f>
        <v/>
      </c>
      <c r="K72" s="23">
        <f>MAX(400; J72 * 0.85)</f>
        <v/>
      </c>
      <c r="L72" s="24">
        <f>SI(K72&gt;0; J72/K72; 1.0)</f>
        <v/>
      </c>
      <c r="M72" s="15">
        <f>SI(L72&gt;=1.5; "ZONE DANGER (&gt;1.5)"; SI(L72&gt;=1.3; "Zone Haute (1.3-1.5)"; SI(L72&gt;=0.8; "Sweet Spot (0.8-1.3)"; "Sous-charge (&lt;0.8)")))</f>
        <v/>
      </c>
      <c r="N72" s="14">
        <f>SI(L72&gt;=1.5; "Alléger séances / Régénération"; SI(L72&gt;=1.3; "Contrôler fatigue Hooper"; "Poursuivre programme"))</f>
        <v/>
      </c>
    </row>
    <row r="73">
      <c r="A73" s="15" t="inlineStr">
        <is>
          <t>S15</t>
        </is>
      </c>
      <c r="B73" s="21" t="n">
        <v>46087</v>
      </c>
      <c r="C73" s="15" t="inlineStr">
        <is>
          <t>S5</t>
        </is>
      </c>
      <c r="D73" s="15" t="inlineStr">
        <is>
          <t>ATH04</t>
        </is>
      </c>
      <c r="E73" s="14" t="inlineStr">
        <is>
          <t>Vendredi</t>
        </is>
      </c>
      <c r="F73" s="14" t="inlineStr">
        <is>
          <t>Collectif</t>
        </is>
      </c>
      <c r="G73" s="15" t="n">
        <v>102</v>
      </c>
      <c r="H73" s="15" t="n">
        <v>8</v>
      </c>
      <c r="I73" s="22">
        <f>G73*H73</f>
        <v/>
      </c>
      <c r="J73" s="15">
        <f>SOMME.SI.ENS(I$5:I$222; D$5:D$222; D73; C$5:C$222; C73)</f>
        <v/>
      </c>
      <c r="K73" s="23">
        <f>MAX(400; J73 * 0.85)</f>
        <v/>
      </c>
      <c r="L73" s="24">
        <f>SI(K73&gt;0; J73/K73; 1.0)</f>
        <v/>
      </c>
      <c r="M73" s="15">
        <f>SI(L73&gt;=1.5; "ZONE DANGER (&gt;1.5)"; SI(L73&gt;=1.3; "Zone Haute (1.3-1.5)"; SI(L73&gt;=0.8; "Sweet Spot (0.8-1.3)"; "Sous-charge (&lt;0.8)")))</f>
        <v/>
      </c>
      <c r="N73" s="14">
        <f>SI(L73&gt;=1.5; "Alléger séances / Régénération"; SI(L73&gt;=1.3; "Contrôler fatigue Hooper"; "Poursuivre programme"))</f>
        <v/>
      </c>
    </row>
    <row r="74">
      <c r="A74" s="15" t="inlineStr">
        <is>
          <t>S16</t>
        </is>
      </c>
      <c r="B74" s="21" t="n">
        <v>46090</v>
      </c>
      <c r="C74" s="15" t="inlineStr">
        <is>
          <t>S6</t>
        </is>
      </c>
      <c r="D74" s="15" t="inlineStr">
        <is>
          <t>ATH04</t>
        </is>
      </c>
      <c r="E74" s="14" t="inlineStr">
        <is>
          <t>Lundi</t>
        </is>
      </c>
      <c r="F74" s="14" t="inlineStr">
        <is>
          <t>Force</t>
        </is>
      </c>
      <c r="G74" s="15" t="n">
        <v>65</v>
      </c>
      <c r="H74" s="15" t="n">
        <v>4</v>
      </c>
      <c r="I74" s="22">
        <f>G74*H74</f>
        <v/>
      </c>
      <c r="J74" s="15">
        <f>SOMME.SI.ENS(I$5:I$222; D$5:D$222; D74; C$5:C$222; C74)</f>
        <v/>
      </c>
      <c r="K74" s="23">
        <f>MAX(400; J74 * 0.85)</f>
        <v/>
      </c>
      <c r="L74" s="24">
        <f>SI(K74&gt;0; J74/K74; 1.0)</f>
        <v/>
      </c>
      <c r="M74" s="15">
        <f>SI(L74&gt;=1.5; "ZONE DANGER (&gt;1.5)"; SI(L74&gt;=1.3; "Zone Haute (1.3-1.5)"; SI(L74&gt;=0.8; "Sweet Spot (0.8-1.3)"; "Sous-charge (&lt;0.8)")))</f>
        <v/>
      </c>
      <c r="N74" s="14">
        <f>SI(L74&gt;=1.5; "Alléger séances / Régénération"; SI(L74&gt;=1.3; "Contrôler fatigue Hooper"; "Poursuivre programme"))</f>
        <v/>
      </c>
    </row>
    <row r="75">
      <c r="A75" s="15" t="inlineStr">
        <is>
          <t>S17</t>
        </is>
      </c>
      <c r="B75" s="21" t="n">
        <v>46092</v>
      </c>
      <c r="C75" s="15" t="inlineStr">
        <is>
          <t>S6</t>
        </is>
      </c>
      <c r="D75" s="15" t="inlineStr">
        <is>
          <t>ATH04</t>
        </is>
      </c>
      <c r="E75" s="14" t="inlineStr">
        <is>
          <t>Mercredi</t>
        </is>
      </c>
      <c r="F75" s="14" t="inlineStr">
        <is>
          <t>Intermittent</t>
        </is>
      </c>
      <c r="G75" s="15" t="n">
        <v>0</v>
      </c>
      <c r="H75" s="15" t="n">
        <v>0</v>
      </c>
      <c r="I75" s="22">
        <f>G75*H75</f>
        <v/>
      </c>
      <c r="J75" s="15">
        <f>SOMME.SI.ENS(I$5:I$222; D$5:D$222; D75; C$5:C$222; C75)</f>
        <v/>
      </c>
      <c r="K75" s="23">
        <f>MAX(400; J75 * 0.85)</f>
        <v/>
      </c>
      <c r="L75" s="24">
        <f>SI(K75&gt;0; J75/K75; 1.0)</f>
        <v/>
      </c>
      <c r="M75" s="15">
        <f>SI(L75&gt;=1.5; "ZONE DANGER (&gt;1.5)"; SI(L75&gt;=1.3; "Zone Haute (1.3-1.5)"; SI(L75&gt;=0.8; "Sweet Spot (0.8-1.3)"; "Sous-charge (&lt;0.8)")))</f>
        <v/>
      </c>
      <c r="N75" s="14">
        <f>SI(L75&gt;=1.5; "Alléger séances / Régénération"; SI(L75&gt;=1.3; "Contrôler fatigue Hooper"; "Poursuivre programme"))</f>
        <v/>
      </c>
    </row>
    <row r="76">
      <c r="A76" s="15" t="inlineStr">
        <is>
          <t>S18</t>
        </is>
      </c>
      <c r="B76" s="21" t="n">
        <v>46094</v>
      </c>
      <c r="C76" s="15" t="inlineStr">
        <is>
          <t>S6</t>
        </is>
      </c>
      <c r="D76" s="15" t="inlineStr">
        <is>
          <t>ATH04</t>
        </is>
      </c>
      <c r="E76" s="14" t="inlineStr">
        <is>
          <t>Vendredi</t>
        </is>
      </c>
      <c r="F76" s="14" t="inlineStr">
        <is>
          <t>Collectif</t>
        </is>
      </c>
      <c r="G76" s="15" t="n">
        <v>97</v>
      </c>
      <c r="H76" s="15" t="n">
        <v>5</v>
      </c>
      <c r="I76" s="22">
        <f>G76*H76</f>
        <v/>
      </c>
      <c r="J76" s="15">
        <f>SOMME.SI.ENS(I$5:I$222; D$5:D$222; D76; C$5:C$222; C76)</f>
        <v/>
      </c>
      <c r="K76" s="23">
        <f>MAX(400; J76 * 0.85)</f>
        <v/>
      </c>
      <c r="L76" s="24">
        <f>SI(K76&gt;0; J76/K76; 1.0)</f>
        <v/>
      </c>
      <c r="M76" s="15">
        <f>SI(L76&gt;=1.5; "ZONE DANGER (&gt;1.5)"; SI(L76&gt;=1.3; "Zone Haute (1.3-1.5)"; SI(L76&gt;=0.8; "Sweet Spot (0.8-1.3)"; "Sous-charge (&lt;0.8)")))</f>
        <v/>
      </c>
      <c r="N76" s="14">
        <f>SI(L76&gt;=1.5; "Alléger séances / Régénération"; SI(L76&gt;=1.3; "Contrôler fatigue Hooper"; "Poursuivre programme"))</f>
        <v/>
      </c>
    </row>
    <row r="77">
      <c r="A77" s="15" t="inlineStr">
        <is>
          <t>S01</t>
        </is>
      </c>
      <c r="B77" s="21" t="n">
        <v>46055</v>
      </c>
      <c r="C77" s="15" t="inlineStr">
        <is>
          <t>S1</t>
        </is>
      </c>
      <c r="D77" s="15" t="inlineStr">
        <is>
          <t>ATH05</t>
        </is>
      </c>
      <c r="E77" s="14" t="inlineStr">
        <is>
          <t>Lundi</t>
        </is>
      </c>
      <c r="F77" s="14" t="inlineStr">
        <is>
          <t>Technique</t>
        </is>
      </c>
      <c r="G77" s="15" t="n">
        <v>77</v>
      </c>
      <c r="H77" s="15" t="n">
        <v>5</v>
      </c>
      <c r="I77" s="22">
        <f>G77*H77</f>
        <v/>
      </c>
      <c r="J77" s="15">
        <f>SOMME.SI.ENS(I$5:I$222; D$5:D$222; D77; C$5:C$222; C77)</f>
        <v/>
      </c>
      <c r="K77" s="23">
        <f>MAX(400; J77 * 0.85)</f>
        <v/>
      </c>
      <c r="L77" s="24">
        <f>SI(K77&gt;0; J77/K77; 1.0)</f>
        <v/>
      </c>
      <c r="M77" s="15">
        <f>SI(L77&gt;=1.5; "ZONE DANGER (&gt;1.5)"; SI(L77&gt;=1.3; "Zone Haute (1.3-1.5)"; SI(L77&gt;=0.8; "Sweet Spot (0.8-1.3)"; "Sous-charge (&lt;0.8)")))</f>
        <v/>
      </c>
      <c r="N77" s="14">
        <f>SI(L77&gt;=1.5; "Alléger séances / Régénération"; SI(L77&gt;=1.3; "Contrôler fatigue Hooper"; "Poursuivre programme"))</f>
        <v/>
      </c>
    </row>
    <row r="78">
      <c r="A78" s="15" t="inlineStr">
        <is>
          <t>S02</t>
        </is>
      </c>
      <c r="B78" s="21" t="n">
        <v>46057</v>
      </c>
      <c r="C78" s="15" t="inlineStr">
        <is>
          <t>S1</t>
        </is>
      </c>
      <c r="D78" s="15" t="inlineStr">
        <is>
          <t>ATH05</t>
        </is>
      </c>
      <c r="E78" s="14" t="inlineStr">
        <is>
          <t>Mercredi</t>
        </is>
      </c>
      <c r="F78" s="14" t="inlineStr">
        <is>
          <t>Intermittent</t>
        </is>
      </c>
      <c r="G78" s="15" t="n">
        <v>95</v>
      </c>
      <c r="H78" s="15" t="n">
        <v>7</v>
      </c>
      <c r="I78" s="22">
        <f>G78*H78</f>
        <v/>
      </c>
      <c r="J78" s="15">
        <f>SOMME.SI.ENS(I$5:I$222; D$5:D$222; D78; C$5:C$222; C78)</f>
        <v/>
      </c>
      <c r="K78" s="23">
        <f>MAX(400; J78 * 0.85)</f>
        <v/>
      </c>
      <c r="L78" s="24">
        <f>SI(K78&gt;0; J78/K78; 1.0)</f>
        <v/>
      </c>
      <c r="M78" s="15">
        <f>SI(L78&gt;=1.5; "ZONE DANGER (&gt;1.5)"; SI(L78&gt;=1.3; "Zone Haute (1.3-1.5)"; SI(L78&gt;=0.8; "Sweet Spot (0.8-1.3)"; "Sous-charge (&lt;0.8)")))</f>
        <v/>
      </c>
      <c r="N78" s="14">
        <f>SI(L78&gt;=1.5; "Alléger séances / Régénération"; SI(L78&gt;=1.3; "Contrôler fatigue Hooper"; "Poursuivre programme"))</f>
        <v/>
      </c>
    </row>
    <row r="79">
      <c r="A79" s="15" t="inlineStr">
        <is>
          <t>S03</t>
        </is>
      </c>
      <c r="B79" s="21" t="n">
        <v>46059</v>
      </c>
      <c r="C79" s="15" t="inlineStr">
        <is>
          <t>S1</t>
        </is>
      </c>
      <c r="D79" s="15" t="inlineStr">
        <is>
          <t>ATH05</t>
        </is>
      </c>
      <c r="E79" s="14" t="inlineStr">
        <is>
          <t>Vendredi</t>
        </is>
      </c>
      <c r="F79" s="14" t="inlineStr">
        <is>
          <t>Collectif</t>
        </is>
      </c>
      <c r="G79" s="15" t="n">
        <v>108</v>
      </c>
      <c r="H79" s="15" t="n">
        <v>0</v>
      </c>
      <c r="I79" s="22">
        <f>G79*H79</f>
        <v/>
      </c>
      <c r="J79" s="15">
        <f>SOMME.SI.ENS(I$5:I$222; D$5:D$222; D79; C$5:C$222; C79)</f>
        <v/>
      </c>
      <c r="K79" s="23">
        <f>MAX(400; J79 * 0.85)</f>
        <v/>
      </c>
      <c r="L79" s="24">
        <f>SI(K79&gt;0; J79/K79; 1.0)</f>
        <v/>
      </c>
      <c r="M79" s="15">
        <f>SI(L79&gt;=1.5; "ZONE DANGER (&gt;1.5)"; SI(L79&gt;=1.3; "Zone Haute (1.3-1.5)"; SI(L79&gt;=0.8; "Sweet Spot (0.8-1.3)"; "Sous-charge (&lt;0.8)")))</f>
        <v/>
      </c>
      <c r="N79" s="14">
        <f>SI(L79&gt;=1.5; "Alléger séances / Régénération"; SI(L79&gt;=1.3; "Contrôler fatigue Hooper"; "Poursuivre programme"))</f>
        <v/>
      </c>
    </row>
    <row r="80">
      <c r="A80" s="15" t="inlineStr">
        <is>
          <t>S04</t>
        </is>
      </c>
      <c r="B80" s="21" t="n">
        <v>46062</v>
      </c>
      <c r="C80" s="15" t="inlineStr">
        <is>
          <t>S2</t>
        </is>
      </c>
      <c r="D80" s="15" t="inlineStr">
        <is>
          <t>ATH05</t>
        </is>
      </c>
      <c r="E80" s="14" t="inlineStr">
        <is>
          <t>Lundi</t>
        </is>
      </c>
      <c r="F80" s="14" t="inlineStr">
        <is>
          <t>Force</t>
        </is>
      </c>
      <c r="G80" s="15" t="n">
        <v>71</v>
      </c>
      <c r="H80" s="15" t="n">
        <v>6</v>
      </c>
      <c r="I80" s="22">
        <f>G80*H80</f>
        <v/>
      </c>
      <c r="J80" s="15">
        <f>SOMME.SI.ENS(I$5:I$222; D$5:D$222; D80; C$5:C$222; C80)</f>
        <v/>
      </c>
      <c r="K80" s="23">
        <f>MAX(400; J80 * 0.85)</f>
        <v/>
      </c>
      <c r="L80" s="24">
        <f>SI(K80&gt;0; J80/K80; 1.0)</f>
        <v/>
      </c>
      <c r="M80" s="15">
        <f>SI(L80&gt;=1.5; "ZONE DANGER (&gt;1.5)"; SI(L80&gt;=1.3; "Zone Haute (1.3-1.5)"; SI(L80&gt;=0.8; "Sweet Spot (0.8-1.3)"; "Sous-charge (&lt;0.8)")))</f>
        <v/>
      </c>
      <c r="N80" s="14">
        <f>SI(L80&gt;=1.5; "Alléger séances / Régénération"; SI(L80&gt;=1.3; "Contrôler fatigue Hooper"; "Poursuivre programme"))</f>
        <v/>
      </c>
    </row>
    <row r="81">
      <c r="A81" s="15" t="inlineStr">
        <is>
          <t>S05</t>
        </is>
      </c>
      <c r="B81" s="21" t="n">
        <v>46064</v>
      </c>
      <c r="C81" s="15" t="inlineStr">
        <is>
          <t>S2</t>
        </is>
      </c>
      <c r="D81" s="15" t="inlineStr">
        <is>
          <t>ATH05</t>
        </is>
      </c>
      <c r="E81" s="14" t="inlineStr">
        <is>
          <t>Mercredi</t>
        </is>
      </c>
      <c r="F81" s="14" t="inlineStr">
        <is>
          <t>Intermittent</t>
        </is>
      </c>
      <c r="G81" s="15" t="n">
        <v>91</v>
      </c>
      <c r="H81" s="15" t="n">
        <v>6</v>
      </c>
      <c r="I81" s="22">
        <f>G81*H81</f>
        <v/>
      </c>
      <c r="J81" s="15">
        <f>SOMME.SI.ENS(I$5:I$222; D$5:D$222; D81; C$5:C$222; C81)</f>
        <v/>
      </c>
      <c r="K81" s="23">
        <f>MAX(400; J81 * 0.85)</f>
        <v/>
      </c>
      <c r="L81" s="24">
        <f>SI(K81&gt;0; J81/K81; 1.0)</f>
        <v/>
      </c>
      <c r="M81" s="15">
        <f>SI(L81&gt;=1.5; "ZONE DANGER (&gt;1.5)"; SI(L81&gt;=1.3; "Zone Haute (1.3-1.5)"; SI(L81&gt;=0.8; "Sweet Spot (0.8-1.3)"; "Sous-charge (&lt;0.8)")))</f>
        <v/>
      </c>
      <c r="N81" s="14">
        <f>SI(L81&gt;=1.5; "Alléger séances / Régénération"; SI(L81&gt;=1.3; "Contrôler fatigue Hooper"; "Poursuivre programme"))</f>
        <v/>
      </c>
    </row>
    <row r="82">
      <c r="A82" s="15" t="inlineStr">
        <is>
          <t>S06</t>
        </is>
      </c>
      <c r="B82" s="21" t="n">
        <v>46066</v>
      </c>
      <c r="C82" s="15" t="inlineStr">
        <is>
          <t>S2</t>
        </is>
      </c>
      <c r="D82" s="15" t="inlineStr">
        <is>
          <t>ATH05</t>
        </is>
      </c>
      <c r="E82" s="14" t="inlineStr">
        <is>
          <t>Vendredi</t>
        </is>
      </c>
      <c r="F82" s="14" t="inlineStr">
        <is>
          <t>Collectif</t>
        </is>
      </c>
      <c r="G82" s="15" t="n">
        <v>113</v>
      </c>
      <c r="H82" s="15" t="n">
        <v>10</v>
      </c>
      <c r="I82" s="22">
        <f>G82*H82</f>
        <v/>
      </c>
      <c r="J82" s="15">
        <f>SOMME.SI.ENS(I$5:I$222; D$5:D$222; D82; C$5:C$222; C82)</f>
        <v/>
      </c>
      <c r="K82" s="23">
        <f>MAX(400; J82 * 0.85)</f>
        <v/>
      </c>
      <c r="L82" s="24">
        <f>SI(K82&gt;0; J82/K82; 1.0)</f>
        <v/>
      </c>
      <c r="M82" s="15">
        <f>SI(L82&gt;=1.5; "ZONE DANGER (&gt;1.5)"; SI(L82&gt;=1.3; "Zone Haute (1.3-1.5)"; SI(L82&gt;=0.8; "Sweet Spot (0.8-1.3)"; "Sous-charge (&lt;0.8)")))</f>
        <v/>
      </c>
      <c r="N82" s="14">
        <f>SI(L82&gt;=1.5; "Alléger séances / Régénération"; SI(L82&gt;=1.3; "Contrôler fatigue Hooper"; "Poursuivre programme"))</f>
        <v/>
      </c>
    </row>
    <row r="83">
      <c r="A83" s="15" t="inlineStr">
        <is>
          <t>S07</t>
        </is>
      </c>
      <c r="B83" s="21" t="n">
        <v>46069</v>
      </c>
      <c r="C83" s="15" t="inlineStr">
        <is>
          <t>S3</t>
        </is>
      </c>
      <c r="D83" s="15" t="inlineStr">
        <is>
          <t>ATH05</t>
        </is>
      </c>
      <c r="E83" s="14" t="inlineStr">
        <is>
          <t>Lundi</t>
        </is>
      </c>
      <c r="F83" s="14" t="inlineStr">
        <is>
          <t>Technique</t>
        </is>
      </c>
      <c r="G83" s="15" t="n">
        <v>78</v>
      </c>
      <c r="H83" s="15" t="n">
        <v>4</v>
      </c>
      <c r="I83" s="22">
        <f>G83*H83</f>
        <v/>
      </c>
      <c r="J83" s="15">
        <f>SOMME.SI.ENS(I$5:I$222; D$5:D$222; D83; C$5:C$222; C83)</f>
        <v/>
      </c>
      <c r="K83" s="23">
        <f>MAX(400; J83 * 0.85)</f>
        <v/>
      </c>
      <c r="L83" s="24">
        <f>SI(K83&gt;0; J83/K83; 1.0)</f>
        <v/>
      </c>
      <c r="M83" s="15">
        <f>SI(L83&gt;=1.5; "ZONE DANGER (&gt;1.5)"; SI(L83&gt;=1.3; "Zone Haute (1.3-1.5)"; SI(L83&gt;=0.8; "Sweet Spot (0.8-1.3)"; "Sous-charge (&lt;0.8)")))</f>
        <v/>
      </c>
      <c r="N83" s="14">
        <f>SI(L83&gt;=1.5; "Alléger séances / Régénération"; SI(L83&gt;=1.3; "Contrôler fatigue Hooper"; "Poursuivre programme"))</f>
        <v/>
      </c>
    </row>
    <row r="84">
      <c r="A84" s="15" t="inlineStr">
        <is>
          <t>S08</t>
        </is>
      </c>
      <c r="B84" s="21" t="n">
        <v>46071</v>
      </c>
      <c r="C84" s="15" t="inlineStr">
        <is>
          <t>S3</t>
        </is>
      </c>
      <c r="D84" s="15" t="inlineStr">
        <is>
          <t>ATH05</t>
        </is>
      </c>
      <c r="E84" s="14" t="inlineStr">
        <is>
          <t>Mercredi</t>
        </is>
      </c>
      <c r="F84" s="14" t="inlineStr">
        <is>
          <t>Intermittent</t>
        </is>
      </c>
      <c r="G84" s="15" t="n">
        <v>94</v>
      </c>
      <c r="H84" s="15" t="n">
        <v>9</v>
      </c>
      <c r="I84" s="22">
        <f>G84*H84</f>
        <v/>
      </c>
      <c r="J84" s="15">
        <f>SOMME.SI.ENS(I$5:I$222; D$5:D$222; D84; C$5:C$222; C84)</f>
        <v/>
      </c>
      <c r="K84" s="23">
        <f>MAX(400; J84 * 0.85)</f>
        <v/>
      </c>
      <c r="L84" s="24">
        <f>SI(K84&gt;0; J84/K84; 1.0)</f>
        <v/>
      </c>
      <c r="M84" s="15">
        <f>SI(L84&gt;=1.5; "ZONE DANGER (&gt;1.5)"; SI(L84&gt;=1.3; "Zone Haute (1.3-1.5)"; SI(L84&gt;=0.8; "Sweet Spot (0.8-1.3)"; "Sous-charge (&lt;0.8)")))</f>
        <v/>
      </c>
      <c r="N84" s="14">
        <f>SI(L84&gt;=1.5; "Alléger séances / Régénération"; SI(L84&gt;=1.3; "Contrôler fatigue Hooper"; "Poursuivre programme"))</f>
        <v/>
      </c>
    </row>
    <row r="85">
      <c r="A85" s="15" t="inlineStr">
        <is>
          <t>S09</t>
        </is>
      </c>
      <c r="B85" s="21" t="n">
        <v>46073</v>
      </c>
      <c r="C85" s="15" t="inlineStr">
        <is>
          <t>S3</t>
        </is>
      </c>
      <c r="D85" s="15" t="inlineStr">
        <is>
          <t>ATH05</t>
        </is>
      </c>
      <c r="E85" s="14" t="inlineStr">
        <is>
          <t>Vendredi</t>
        </is>
      </c>
      <c r="F85" s="14" t="inlineStr">
        <is>
          <t>Collectif</t>
        </is>
      </c>
      <c r="G85" s="15" t="n">
        <v>110</v>
      </c>
      <c r="H85" s="15" t="n">
        <v>8</v>
      </c>
      <c r="I85" s="22">
        <f>G85*H85</f>
        <v/>
      </c>
      <c r="J85" s="15">
        <f>SOMME.SI.ENS(I$5:I$222; D$5:D$222; D85; C$5:C$222; C85)</f>
        <v/>
      </c>
      <c r="K85" s="23">
        <f>MAX(400; J85 * 0.85)</f>
        <v/>
      </c>
      <c r="L85" s="24">
        <f>SI(K85&gt;0; J85/K85; 1.0)</f>
        <v/>
      </c>
      <c r="M85" s="15">
        <f>SI(L85&gt;=1.5; "ZONE DANGER (&gt;1.5)"; SI(L85&gt;=1.3; "Zone Haute (1.3-1.5)"; SI(L85&gt;=0.8; "Sweet Spot (0.8-1.3)"; "Sous-charge (&lt;0.8)")))</f>
        <v/>
      </c>
      <c r="N85" s="14">
        <f>SI(L85&gt;=1.5; "Alléger séances / Régénération"; SI(L85&gt;=1.3; "Contrôler fatigue Hooper"; "Poursuivre programme"))</f>
        <v/>
      </c>
    </row>
    <row r="86">
      <c r="A86" s="15" t="inlineStr">
        <is>
          <t>S10</t>
        </is>
      </c>
      <c r="B86" s="21" t="n">
        <v>46076</v>
      </c>
      <c r="C86" s="15" t="inlineStr">
        <is>
          <t>S4</t>
        </is>
      </c>
      <c r="D86" s="15" t="inlineStr">
        <is>
          <t>ATH05</t>
        </is>
      </c>
      <c r="E86" s="14" t="inlineStr">
        <is>
          <t>Lundi</t>
        </is>
      </c>
      <c r="F86" s="14" t="inlineStr">
        <is>
          <t>Force</t>
        </is>
      </c>
      <c r="G86" s="15" t="n">
        <v>74</v>
      </c>
      <c r="H86" s="15" t="n">
        <v>5</v>
      </c>
      <c r="I86" s="22">
        <f>G86*H86</f>
        <v/>
      </c>
      <c r="J86" s="15">
        <f>SOMME.SI.ENS(I$5:I$222; D$5:D$222; D86; C$5:C$222; C86)</f>
        <v/>
      </c>
      <c r="K86" s="23">
        <f>MAX(400; J86 * 0.85)</f>
        <v/>
      </c>
      <c r="L86" s="24">
        <f>SI(K86&gt;0; J86/K86; 1.0)</f>
        <v/>
      </c>
      <c r="M86" s="15">
        <f>SI(L86&gt;=1.5; "ZONE DANGER (&gt;1.5)"; SI(L86&gt;=1.3; "Zone Haute (1.3-1.5)"; SI(L86&gt;=0.8; "Sweet Spot (0.8-1.3)"; "Sous-charge (&lt;0.8)")))</f>
        <v/>
      </c>
      <c r="N86" s="14">
        <f>SI(L86&gt;=1.5; "Alléger séances / Régénération"; SI(L86&gt;=1.3; "Contrôler fatigue Hooper"; "Poursuivre programme"))</f>
        <v/>
      </c>
    </row>
    <row r="87">
      <c r="A87" s="15" t="inlineStr">
        <is>
          <t>S11</t>
        </is>
      </c>
      <c r="B87" s="21" t="n">
        <v>46078</v>
      </c>
      <c r="C87" s="15" t="inlineStr">
        <is>
          <t>S4</t>
        </is>
      </c>
      <c r="D87" s="15" t="inlineStr">
        <is>
          <t>ATH05</t>
        </is>
      </c>
      <c r="E87" s="14" t="inlineStr">
        <is>
          <t>Mercredi</t>
        </is>
      </c>
      <c r="F87" s="14" t="inlineStr">
        <is>
          <t>Intermittent</t>
        </is>
      </c>
      <c r="G87" s="15" t="n">
        <v>95</v>
      </c>
      <c r="H87" s="15" t="n">
        <v>8</v>
      </c>
      <c r="I87" s="22">
        <f>G87*H87</f>
        <v/>
      </c>
      <c r="J87" s="15">
        <f>SOMME.SI.ENS(I$5:I$222; D$5:D$222; D87; C$5:C$222; C87)</f>
        <v/>
      </c>
      <c r="K87" s="23">
        <f>MAX(400; J87 * 0.85)</f>
        <v/>
      </c>
      <c r="L87" s="24">
        <f>SI(K87&gt;0; J87/K87; 1.0)</f>
        <v/>
      </c>
      <c r="M87" s="15">
        <f>SI(L87&gt;=1.5; "ZONE DANGER (&gt;1.5)"; SI(L87&gt;=1.3; "Zone Haute (1.3-1.5)"; SI(L87&gt;=0.8; "Sweet Spot (0.8-1.3)"; "Sous-charge (&lt;0.8)")))</f>
        <v/>
      </c>
      <c r="N87" s="14">
        <f>SI(L87&gt;=1.5; "Alléger séances / Régénération"; SI(L87&gt;=1.3; "Contrôler fatigue Hooper"; "Poursuivre programme"))</f>
        <v/>
      </c>
    </row>
    <row r="88">
      <c r="A88" s="15" t="inlineStr">
        <is>
          <t>S12</t>
        </is>
      </c>
      <c r="B88" s="21" t="n">
        <v>46080</v>
      </c>
      <c r="C88" s="15" t="inlineStr">
        <is>
          <t>S4</t>
        </is>
      </c>
      <c r="D88" s="15" t="inlineStr">
        <is>
          <t>ATH05</t>
        </is>
      </c>
      <c r="E88" s="14" t="inlineStr">
        <is>
          <t>Vendredi</t>
        </is>
      </c>
      <c r="F88" s="14" t="inlineStr">
        <is>
          <t>Collectif</t>
        </is>
      </c>
      <c r="G88" s="15" t="n">
        <v>112</v>
      </c>
      <c r="H88" s="15" t="n">
        <v>7</v>
      </c>
      <c r="I88" s="22">
        <f>G88*H88</f>
        <v/>
      </c>
      <c r="J88" s="15">
        <f>SOMME.SI.ENS(I$5:I$222; D$5:D$222; D88; C$5:C$222; C88)</f>
        <v/>
      </c>
      <c r="K88" s="23">
        <f>MAX(400; J88 * 0.85)</f>
        <v/>
      </c>
      <c r="L88" s="24">
        <f>SI(K88&gt;0; J88/K88; 1.0)</f>
        <v/>
      </c>
      <c r="M88" s="15">
        <f>SI(L88&gt;=1.5; "ZONE DANGER (&gt;1.5)"; SI(L88&gt;=1.3; "Zone Haute (1.3-1.5)"; SI(L88&gt;=0.8; "Sweet Spot (0.8-1.3)"; "Sous-charge (&lt;0.8)")))</f>
        <v/>
      </c>
      <c r="N88" s="14">
        <f>SI(L88&gt;=1.5; "Alléger séances / Régénération"; SI(L88&gt;=1.3; "Contrôler fatigue Hooper"; "Poursuivre programme"))</f>
        <v/>
      </c>
    </row>
    <row r="89">
      <c r="A89" s="15" t="inlineStr">
        <is>
          <t>S13</t>
        </is>
      </c>
      <c r="B89" s="21" t="n">
        <v>46083</v>
      </c>
      <c r="C89" s="15" t="inlineStr">
        <is>
          <t>S5</t>
        </is>
      </c>
      <c r="D89" s="15" t="inlineStr">
        <is>
          <t>ATH05</t>
        </is>
      </c>
      <c r="E89" s="14" t="inlineStr">
        <is>
          <t>Lundi</t>
        </is>
      </c>
      <c r="F89" s="14" t="inlineStr">
        <is>
          <t>Technique</t>
        </is>
      </c>
      <c r="G89" s="15" t="n">
        <v>71</v>
      </c>
      <c r="H89" s="15" t="n">
        <v>4</v>
      </c>
      <c r="I89" s="22">
        <f>G89*H89</f>
        <v/>
      </c>
      <c r="J89" s="15">
        <f>SOMME.SI.ENS(I$5:I$222; D$5:D$222; D89; C$5:C$222; C89)</f>
        <v/>
      </c>
      <c r="K89" s="23">
        <f>MAX(400; J89 * 0.85)</f>
        <v/>
      </c>
      <c r="L89" s="24">
        <f>SI(K89&gt;0; J89/K89; 1.0)</f>
        <v/>
      </c>
      <c r="M89" s="15">
        <f>SI(L89&gt;=1.5; "ZONE DANGER (&gt;1.5)"; SI(L89&gt;=1.3; "Zone Haute (1.3-1.5)"; SI(L89&gt;=0.8; "Sweet Spot (0.8-1.3)"; "Sous-charge (&lt;0.8)")))</f>
        <v/>
      </c>
      <c r="N89" s="14">
        <f>SI(L89&gt;=1.5; "Alléger séances / Régénération"; SI(L89&gt;=1.3; "Contrôler fatigue Hooper"; "Poursuivre programme"))</f>
        <v/>
      </c>
    </row>
    <row r="90">
      <c r="A90" s="15" t="inlineStr">
        <is>
          <t>S14</t>
        </is>
      </c>
      <c r="B90" s="21" t="n">
        <v>46085</v>
      </c>
      <c r="C90" s="15" t="inlineStr">
        <is>
          <t>S5</t>
        </is>
      </c>
      <c r="D90" s="15" t="inlineStr">
        <is>
          <t>ATH05</t>
        </is>
      </c>
      <c r="E90" s="14" t="inlineStr">
        <is>
          <t>Mercredi</t>
        </is>
      </c>
      <c r="F90" s="14" t="inlineStr">
        <is>
          <t>Intermittent</t>
        </is>
      </c>
      <c r="G90" s="15" t="n">
        <v>95</v>
      </c>
      <c r="H90" s="15" t="n">
        <v>8</v>
      </c>
      <c r="I90" s="22">
        <f>G90*H90</f>
        <v/>
      </c>
      <c r="J90" s="15">
        <f>SOMME.SI.ENS(I$5:I$222; D$5:D$222; D90; C$5:C$222; C90)</f>
        <v/>
      </c>
      <c r="K90" s="23">
        <f>MAX(400; J90 * 0.85)</f>
        <v/>
      </c>
      <c r="L90" s="24">
        <f>SI(K90&gt;0; J90/K90; 1.0)</f>
        <v/>
      </c>
      <c r="M90" s="15">
        <f>SI(L90&gt;=1.5; "ZONE DANGER (&gt;1.5)"; SI(L90&gt;=1.3; "Zone Haute (1.3-1.5)"; SI(L90&gt;=0.8; "Sweet Spot (0.8-1.3)"; "Sous-charge (&lt;0.8)")))</f>
        <v/>
      </c>
      <c r="N90" s="14">
        <f>SI(L90&gt;=1.5; "Alléger séances / Régénération"; SI(L90&gt;=1.3; "Contrôler fatigue Hooper"; "Poursuivre programme"))</f>
        <v/>
      </c>
    </row>
    <row r="91">
      <c r="A91" s="15" t="inlineStr">
        <is>
          <t>S15</t>
        </is>
      </c>
      <c r="B91" s="21" t="n">
        <v>46087</v>
      </c>
      <c r="C91" s="15" t="inlineStr">
        <is>
          <t>S5</t>
        </is>
      </c>
      <c r="D91" s="15" t="inlineStr">
        <is>
          <t>ATH05</t>
        </is>
      </c>
      <c r="E91" s="14" t="inlineStr">
        <is>
          <t>Vendredi</t>
        </is>
      </c>
      <c r="F91" s="14" t="inlineStr">
        <is>
          <t>Collectif</t>
        </is>
      </c>
      <c r="G91" s="15" t="n">
        <v>103</v>
      </c>
      <c r="H91" s="15" t="n">
        <v>6</v>
      </c>
      <c r="I91" s="22">
        <f>G91*H91</f>
        <v/>
      </c>
      <c r="J91" s="15">
        <f>SOMME.SI.ENS(I$5:I$222; D$5:D$222; D91; C$5:C$222; C91)</f>
        <v/>
      </c>
      <c r="K91" s="23">
        <f>MAX(400; J91 * 0.85)</f>
        <v/>
      </c>
      <c r="L91" s="24">
        <f>SI(K91&gt;0; J91/K91; 1.0)</f>
        <v/>
      </c>
      <c r="M91" s="15">
        <f>SI(L91&gt;=1.5; "ZONE DANGER (&gt;1.5)"; SI(L91&gt;=1.3; "Zone Haute (1.3-1.5)"; SI(L91&gt;=0.8; "Sweet Spot (0.8-1.3)"; "Sous-charge (&lt;0.8)")))</f>
        <v/>
      </c>
      <c r="N91" s="14">
        <f>SI(L91&gt;=1.5; "Alléger séances / Régénération"; SI(L91&gt;=1.3; "Contrôler fatigue Hooper"; "Poursuivre programme"))</f>
        <v/>
      </c>
    </row>
    <row r="92">
      <c r="A92" s="15" t="inlineStr">
        <is>
          <t>S16</t>
        </is>
      </c>
      <c r="B92" s="21" t="n">
        <v>46090</v>
      </c>
      <c r="C92" s="15" t="inlineStr">
        <is>
          <t>S6</t>
        </is>
      </c>
      <c r="D92" s="15" t="inlineStr">
        <is>
          <t>ATH05</t>
        </is>
      </c>
      <c r="E92" s="14" t="inlineStr">
        <is>
          <t>Lundi</t>
        </is>
      </c>
      <c r="F92" s="14" t="inlineStr">
        <is>
          <t>Force</t>
        </is>
      </c>
      <c r="G92" s="15" t="n">
        <v>75</v>
      </c>
      <c r="H92" s="15" t="n">
        <v>6</v>
      </c>
      <c r="I92" s="22">
        <f>G92*H92</f>
        <v/>
      </c>
      <c r="J92" s="15">
        <f>SOMME.SI.ENS(I$5:I$222; D$5:D$222; D92; C$5:C$222; C92)</f>
        <v/>
      </c>
      <c r="K92" s="23">
        <f>MAX(400; J92 * 0.85)</f>
        <v/>
      </c>
      <c r="L92" s="24">
        <f>SI(K92&gt;0; J92/K92; 1.0)</f>
        <v/>
      </c>
      <c r="M92" s="15">
        <f>SI(L92&gt;=1.5; "ZONE DANGER (&gt;1.5)"; SI(L92&gt;=1.3; "Zone Haute (1.3-1.5)"; SI(L92&gt;=0.8; "Sweet Spot (0.8-1.3)"; "Sous-charge (&lt;0.8)")))</f>
        <v/>
      </c>
      <c r="N92" s="14">
        <f>SI(L92&gt;=1.5; "Alléger séances / Régénération"; SI(L92&gt;=1.3; "Contrôler fatigue Hooper"; "Poursuivre programme"))</f>
        <v/>
      </c>
    </row>
    <row r="93">
      <c r="A93" s="15" t="inlineStr">
        <is>
          <t>S17</t>
        </is>
      </c>
      <c r="B93" s="21" t="n">
        <v>46092</v>
      </c>
      <c r="C93" s="15" t="inlineStr">
        <is>
          <t>S6</t>
        </is>
      </c>
      <c r="D93" s="15" t="inlineStr">
        <is>
          <t>ATH05</t>
        </is>
      </c>
      <c r="E93" s="14" t="inlineStr">
        <is>
          <t>Mercredi</t>
        </is>
      </c>
      <c r="F93" s="14" t="inlineStr">
        <is>
          <t>Intermittent</t>
        </is>
      </c>
      <c r="G93" s="15" t="n">
        <v>94</v>
      </c>
      <c r="H93" s="15" t="n">
        <v>7</v>
      </c>
      <c r="I93" s="22">
        <f>G93*H93</f>
        <v/>
      </c>
      <c r="J93" s="15">
        <f>SOMME.SI.ENS(I$5:I$222; D$5:D$222; D93; C$5:C$222; C93)</f>
        <v/>
      </c>
      <c r="K93" s="23">
        <f>MAX(400; J93 * 0.85)</f>
        <v/>
      </c>
      <c r="L93" s="24">
        <f>SI(K93&gt;0; J93/K93; 1.0)</f>
        <v/>
      </c>
      <c r="M93" s="15">
        <f>SI(L93&gt;=1.5; "ZONE DANGER (&gt;1.5)"; SI(L93&gt;=1.3; "Zone Haute (1.3-1.5)"; SI(L93&gt;=0.8; "Sweet Spot (0.8-1.3)"; "Sous-charge (&lt;0.8)")))</f>
        <v/>
      </c>
      <c r="N93" s="14">
        <f>SI(L93&gt;=1.5; "Alléger séances / Régénération"; SI(L93&gt;=1.3; "Contrôler fatigue Hooper"; "Poursuivre programme"))</f>
        <v/>
      </c>
    </row>
    <row r="94">
      <c r="A94" s="15" t="inlineStr">
        <is>
          <t>S18</t>
        </is>
      </c>
      <c r="B94" s="21" t="n">
        <v>46094</v>
      </c>
      <c r="C94" s="15" t="inlineStr">
        <is>
          <t>S6</t>
        </is>
      </c>
      <c r="D94" s="15" t="inlineStr">
        <is>
          <t>ATH05</t>
        </is>
      </c>
      <c r="E94" s="14" t="inlineStr">
        <is>
          <t>Vendredi</t>
        </is>
      </c>
      <c r="F94" s="14" t="inlineStr">
        <is>
          <t>Collectif</t>
        </is>
      </c>
      <c r="G94" s="15" t="n">
        <v>95</v>
      </c>
      <c r="H94" s="15" t="n">
        <v>5</v>
      </c>
      <c r="I94" s="22">
        <f>G94*H94</f>
        <v/>
      </c>
      <c r="J94" s="15">
        <f>SOMME.SI.ENS(I$5:I$222; D$5:D$222; D94; C$5:C$222; C94)</f>
        <v/>
      </c>
      <c r="K94" s="23">
        <f>MAX(400; J94 * 0.85)</f>
        <v/>
      </c>
      <c r="L94" s="24">
        <f>SI(K94&gt;0; J94/K94; 1.0)</f>
        <v/>
      </c>
      <c r="M94" s="15">
        <f>SI(L94&gt;=1.5; "ZONE DANGER (&gt;1.5)"; SI(L94&gt;=1.3; "Zone Haute (1.3-1.5)"; SI(L94&gt;=0.8; "Sweet Spot (0.8-1.3)"; "Sous-charge (&lt;0.8)")))</f>
        <v/>
      </c>
      <c r="N94" s="14">
        <f>SI(L94&gt;=1.5; "Alléger séances / Régénération"; SI(L94&gt;=1.3; "Contrôler fatigue Hooper"; "Poursuivre programme"))</f>
        <v/>
      </c>
    </row>
    <row r="95">
      <c r="A95" s="15" t="inlineStr">
        <is>
          <t>S01</t>
        </is>
      </c>
      <c r="B95" s="21" t="n">
        <v>46055</v>
      </c>
      <c r="C95" s="15" t="inlineStr">
        <is>
          <t>S1</t>
        </is>
      </c>
      <c r="D95" s="15" t="inlineStr">
        <is>
          <t>ATH06</t>
        </is>
      </c>
      <c r="E95" s="14" t="inlineStr">
        <is>
          <t>Lundi</t>
        </is>
      </c>
      <c r="F95" s="14" t="inlineStr">
        <is>
          <t>Technique</t>
        </is>
      </c>
      <c r="G95" s="15" t="n">
        <v>75</v>
      </c>
      <c r="H95" s="15" t="n">
        <v>5</v>
      </c>
      <c r="I95" s="22">
        <f>G95*H95</f>
        <v/>
      </c>
      <c r="J95" s="15">
        <f>SOMME.SI.ENS(I$5:I$222; D$5:D$222; D95; C$5:C$222; C95)</f>
        <v/>
      </c>
      <c r="K95" s="23">
        <f>MAX(400; J95 * 0.85)</f>
        <v/>
      </c>
      <c r="L95" s="24">
        <f>SI(K95&gt;0; J95/K95; 1.0)</f>
        <v/>
      </c>
      <c r="M95" s="15">
        <f>SI(L95&gt;=1.5; "ZONE DANGER (&gt;1.5)"; SI(L95&gt;=1.3; "Zone Haute (1.3-1.5)"; SI(L95&gt;=0.8; "Sweet Spot (0.8-1.3)"; "Sous-charge (&lt;0.8)")))</f>
        <v/>
      </c>
      <c r="N95" s="14">
        <f>SI(L95&gt;=1.5; "Alléger séances / Régénération"; SI(L95&gt;=1.3; "Contrôler fatigue Hooper"; "Poursuivre programme"))</f>
        <v/>
      </c>
    </row>
    <row r="96">
      <c r="A96" s="15" t="inlineStr">
        <is>
          <t>S02</t>
        </is>
      </c>
      <c r="B96" s="21" t="n">
        <v>46057</v>
      </c>
      <c r="C96" s="15" t="inlineStr">
        <is>
          <t>S1</t>
        </is>
      </c>
      <c r="D96" s="15" t="inlineStr">
        <is>
          <t>ATH06</t>
        </is>
      </c>
      <c r="E96" s="14" t="inlineStr">
        <is>
          <t>Mercredi</t>
        </is>
      </c>
      <c r="F96" s="14" t="inlineStr">
        <is>
          <t>Intermittent</t>
        </is>
      </c>
      <c r="G96" s="15" t="n">
        <v>88</v>
      </c>
      <c r="H96" s="15" t="n">
        <v>5</v>
      </c>
      <c r="I96" s="22">
        <f>G96*H96</f>
        <v/>
      </c>
      <c r="J96" s="15">
        <f>SOMME.SI.ENS(I$5:I$222; D$5:D$222; D96; C$5:C$222; C96)</f>
        <v/>
      </c>
      <c r="K96" s="23">
        <f>MAX(400; J96 * 0.85)</f>
        <v/>
      </c>
      <c r="L96" s="24">
        <f>SI(K96&gt;0; J96/K96; 1.0)</f>
        <v/>
      </c>
      <c r="M96" s="15">
        <f>SI(L96&gt;=1.5; "ZONE DANGER (&gt;1.5)"; SI(L96&gt;=1.3; "Zone Haute (1.3-1.5)"; SI(L96&gt;=0.8; "Sweet Spot (0.8-1.3)"; "Sous-charge (&lt;0.8)")))</f>
        <v/>
      </c>
      <c r="N96" s="14">
        <f>SI(L96&gt;=1.5; "Alléger séances / Régénération"; SI(L96&gt;=1.3; "Contrôler fatigue Hooper"; "Poursuivre programme"))</f>
        <v/>
      </c>
    </row>
    <row r="97">
      <c r="A97" s="15" t="inlineStr">
        <is>
          <t>S03</t>
        </is>
      </c>
      <c r="B97" s="21" t="n">
        <v>46059</v>
      </c>
      <c r="C97" s="15" t="inlineStr">
        <is>
          <t>S1</t>
        </is>
      </c>
      <c r="D97" s="15" t="inlineStr">
        <is>
          <t>ATH06</t>
        </is>
      </c>
      <c r="E97" s="14" t="inlineStr">
        <is>
          <t>Vendredi</t>
        </is>
      </c>
      <c r="F97" s="14" t="inlineStr">
        <is>
          <t>Collectif</t>
        </is>
      </c>
      <c r="G97" s="15" t="n">
        <v>100</v>
      </c>
      <c r="H97" s="15" t="n">
        <v>6</v>
      </c>
      <c r="I97" s="22">
        <f>G97*H97</f>
        <v/>
      </c>
      <c r="J97" s="15">
        <f>SOMME.SI.ENS(I$5:I$222; D$5:D$222; D97; C$5:C$222; C97)</f>
        <v/>
      </c>
      <c r="K97" s="23">
        <f>MAX(400; J97 * 0.85)</f>
        <v/>
      </c>
      <c r="L97" s="24">
        <f>SI(K97&gt;0; J97/K97; 1.0)</f>
        <v/>
      </c>
      <c r="M97" s="15">
        <f>SI(L97&gt;=1.5; "ZONE DANGER (&gt;1.5)"; SI(L97&gt;=1.3; "Zone Haute (1.3-1.5)"; SI(L97&gt;=0.8; "Sweet Spot (0.8-1.3)"; "Sous-charge (&lt;0.8)")))</f>
        <v/>
      </c>
      <c r="N97" s="14">
        <f>SI(L97&gt;=1.5; "Alléger séances / Régénération"; SI(L97&gt;=1.3; "Contrôler fatigue Hooper"; "Poursuivre programme"))</f>
        <v/>
      </c>
    </row>
    <row r="98">
      <c r="A98" s="15" t="inlineStr">
        <is>
          <t>S04</t>
        </is>
      </c>
      <c r="B98" s="21" t="n">
        <v>46062</v>
      </c>
      <c r="C98" s="15" t="inlineStr">
        <is>
          <t>S2</t>
        </is>
      </c>
      <c r="D98" s="15" t="inlineStr">
        <is>
          <t>ATH06</t>
        </is>
      </c>
      <c r="E98" s="14" t="inlineStr">
        <is>
          <t>Lundi</t>
        </is>
      </c>
      <c r="F98" s="14" t="inlineStr">
        <is>
          <t>Force</t>
        </is>
      </c>
      <c r="G98" s="15" t="n">
        <v>74</v>
      </c>
      <c r="H98" s="15" t="n">
        <v>6</v>
      </c>
      <c r="I98" s="22">
        <f>G98*H98</f>
        <v/>
      </c>
      <c r="J98" s="15">
        <f>SOMME.SI.ENS(I$5:I$222; D$5:D$222; D98; C$5:C$222; C98)</f>
        <v/>
      </c>
      <c r="K98" s="23">
        <f>MAX(400; J98 * 0.85)</f>
        <v/>
      </c>
      <c r="L98" s="24">
        <f>SI(K98&gt;0; J98/K98; 1.0)</f>
        <v/>
      </c>
      <c r="M98" s="15">
        <f>SI(L98&gt;=1.5; "ZONE DANGER (&gt;1.5)"; SI(L98&gt;=1.3; "Zone Haute (1.3-1.5)"; SI(L98&gt;=0.8; "Sweet Spot (0.8-1.3)"; "Sous-charge (&lt;0.8)")))</f>
        <v/>
      </c>
      <c r="N98" s="14">
        <f>SI(L98&gt;=1.5; "Alléger séances / Régénération"; SI(L98&gt;=1.3; "Contrôler fatigue Hooper"; "Poursuivre programme"))</f>
        <v/>
      </c>
    </row>
    <row r="99">
      <c r="A99" s="15" t="inlineStr">
        <is>
          <t>S05</t>
        </is>
      </c>
      <c r="B99" s="21" t="n">
        <v>46064</v>
      </c>
      <c r="C99" s="15" t="inlineStr">
        <is>
          <t>S2</t>
        </is>
      </c>
      <c r="D99" s="15" t="inlineStr">
        <is>
          <t>ATH06</t>
        </is>
      </c>
      <c r="E99" s="14" t="inlineStr">
        <is>
          <t>Mercredi</t>
        </is>
      </c>
      <c r="F99" s="14" t="inlineStr">
        <is>
          <t>Intermittent</t>
        </is>
      </c>
      <c r="G99" s="15" t="n">
        <v>94</v>
      </c>
      <c r="H99" s="15" t="n">
        <v>7</v>
      </c>
      <c r="I99" s="22">
        <f>G99*H99</f>
        <v/>
      </c>
      <c r="J99" s="15">
        <f>SOMME.SI.ENS(I$5:I$222; D$5:D$222; D99; C$5:C$222; C99)</f>
        <v/>
      </c>
      <c r="K99" s="23">
        <f>MAX(400; J99 * 0.85)</f>
        <v/>
      </c>
      <c r="L99" s="24">
        <f>SI(K99&gt;0; J99/K99; 1.0)</f>
        <v/>
      </c>
      <c r="M99" s="15">
        <f>SI(L99&gt;=1.5; "ZONE DANGER (&gt;1.5)"; SI(L99&gt;=1.3; "Zone Haute (1.3-1.5)"; SI(L99&gt;=0.8; "Sweet Spot (0.8-1.3)"; "Sous-charge (&lt;0.8)")))</f>
        <v/>
      </c>
      <c r="N99" s="14">
        <f>SI(L99&gt;=1.5; "Alléger séances / Régénération"; SI(L99&gt;=1.3; "Contrôler fatigue Hooper"; "Poursuivre programme"))</f>
        <v/>
      </c>
    </row>
    <row r="100">
      <c r="A100" s="15" t="inlineStr">
        <is>
          <t>S06</t>
        </is>
      </c>
      <c r="B100" s="21" t="n">
        <v>46066</v>
      </c>
      <c r="C100" s="15" t="inlineStr">
        <is>
          <t>S2</t>
        </is>
      </c>
      <c r="D100" s="15" t="inlineStr">
        <is>
          <t>ATH06</t>
        </is>
      </c>
      <c r="E100" s="14" t="inlineStr">
        <is>
          <t>Vendredi</t>
        </is>
      </c>
      <c r="F100" s="14" t="inlineStr">
        <is>
          <t>Collectif</t>
        </is>
      </c>
      <c r="G100" s="15" t="n">
        <v>999</v>
      </c>
      <c r="H100" s="15" t="n">
        <v>5</v>
      </c>
      <c r="I100" s="22">
        <f>G100*H100</f>
        <v/>
      </c>
      <c r="J100" s="15">
        <f>SOMME.SI.ENS(I$5:I$222; D$5:D$222; D100; C$5:C$222; C100)</f>
        <v/>
      </c>
      <c r="K100" s="23">
        <f>MAX(400; J100 * 0.85)</f>
        <v/>
      </c>
      <c r="L100" s="24">
        <f>SI(K100&gt;0; J100/K100; 1.0)</f>
        <v/>
      </c>
      <c r="M100" s="15">
        <f>SI(L100&gt;=1.5; "ZONE DANGER (&gt;1.5)"; SI(L100&gt;=1.3; "Zone Haute (1.3-1.5)"; SI(L100&gt;=0.8; "Sweet Spot (0.8-1.3)"; "Sous-charge (&lt;0.8)")))</f>
        <v/>
      </c>
      <c r="N100" s="14">
        <f>SI(L100&gt;=1.5; "Alléger séances / Régénération"; SI(L100&gt;=1.3; "Contrôler fatigue Hooper"; "Poursuivre programme"))</f>
        <v/>
      </c>
    </row>
    <row r="101">
      <c r="A101" s="15" t="inlineStr">
        <is>
          <t>S07</t>
        </is>
      </c>
      <c r="B101" s="21" t="n">
        <v>46069</v>
      </c>
      <c r="C101" s="15" t="inlineStr">
        <is>
          <t>S3</t>
        </is>
      </c>
      <c r="D101" s="15" t="inlineStr">
        <is>
          <t>ATH06</t>
        </is>
      </c>
      <c r="E101" s="14" t="inlineStr">
        <is>
          <t>Lundi</t>
        </is>
      </c>
      <c r="F101" s="14" t="inlineStr">
        <is>
          <t>Technique</t>
        </is>
      </c>
      <c r="G101" s="15" t="n">
        <v>70</v>
      </c>
      <c r="H101" s="15" t="n">
        <v>4</v>
      </c>
      <c r="I101" s="22">
        <f>G101*H101</f>
        <v/>
      </c>
      <c r="J101" s="15">
        <f>SOMME.SI.ENS(I$5:I$222; D$5:D$222; D101; C$5:C$222; C101)</f>
        <v/>
      </c>
      <c r="K101" s="23">
        <f>MAX(400; J101 * 0.85)</f>
        <v/>
      </c>
      <c r="L101" s="24">
        <f>SI(K101&gt;0; J101/K101; 1.0)</f>
        <v/>
      </c>
      <c r="M101" s="15">
        <f>SI(L101&gt;=1.5; "ZONE DANGER (&gt;1.5)"; SI(L101&gt;=1.3; "Zone Haute (1.3-1.5)"; SI(L101&gt;=0.8; "Sweet Spot (0.8-1.3)"; "Sous-charge (&lt;0.8)")))</f>
        <v/>
      </c>
      <c r="N101" s="14">
        <f>SI(L101&gt;=1.5; "Alléger séances / Régénération"; SI(L101&gt;=1.3; "Contrôler fatigue Hooper"; "Poursuivre programme"))</f>
        <v/>
      </c>
    </row>
    <row r="102">
      <c r="A102" s="15" t="inlineStr">
        <is>
          <t>S08</t>
        </is>
      </c>
      <c r="B102" s="21" t="n">
        <v>46071</v>
      </c>
      <c r="C102" s="15" t="inlineStr">
        <is>
          <t>S3</t>
        </is>
      </c>
      <c r="D102" s="15" t="inlineStr">
        <is>
          <t>ATH06</t>
        </is>
      </c>
      <c r="E102" s="14" t="inlineStr">
        <is>
          <t>Mercredi</t>
        </is>
      </c>
      <c r="F102" s="14" t="inlineStr">
        <is>
          <t>Intermittent</t>
        </is>
      </c>
      <c r="G102" s="15" t="n">
        <v>92</v>
      </c>
      <c r="H102" s="15" t="n">
        <v>9</v>
      </c>
      <c r="I102" s="22">
        <f>G102*H102</f>
        <v/>
      </c>
      <c r="J102" s="15">
        <f>SOMME.SI.ENS(I$5:I$222; D$5:D$222; D102; C$5:C$222; C102)</f>
        <v/>
      </c>
      <c r="K102" s="23">
        <f>MAX(400; J102 * 0.85)</f>
        <v/>
      </c>
      <c r="L102" s="24">
        <f>SI(K102&gt;0; J102/K102; 1.0)</f>
        <v/>
      </c>
      <c r="M102" s="15">
        <f>SI(L102&gt;=1.5; "ZONE DANGER (&gt;1.5)"; SI(L102&gt;=1.3; "Zone Haute (1.3-1.5)"; SI(L102&gt;=0.8; "Sweet Spot (0.8-1.3)"; "Sous-charge (&lt;0.8)")))</f>
        <v/>
      </c>
      <c r="N102" s="14">
        <f>SI(L102&gt;=1.5; "Alléger séances / Régénération"; SI(L102&gt;=1.3; "Contrôler fatigue Hooper"; "Poursuivre programme"))</f>
        <v/>
      </c>
    </row>
    <row r="103">
      <c r="A103" s="15" t="inlineStr">
        <is>
          <t>S09</t>
        </is>
      </c>
      <c r="B103" s="21" t="n">
        <v>46073</v>
      </c>
      <c r="C103" s="15" t="inlineStr">
        <is>
          <t>S3</t>
        </is>
      </c>
      <c r="D103" s="15" t="inlineStr">
        <is>
          <t>ATH06</t>
        </is>
      </c>
      <c r="E103" s="14" t="inlineStr">
        <is>
          <t>Vendredi</t>
        </is>
      </c>
      <c r="F103" s="14" t="inlineStr">
        <is>
          <t>Collectif</t>
        </is>
      </c>
      <c r="G103" s="15" t="n">
        <v>104</v>
      </c>
      <c r="H103" s="15" t="n">
        <v>6</v>
      </c>
      <c r="I103" s="22">
        <f>G103*H103</f>
        <v/>
      </c>
      <c r="J103" s="15">
        <f>SOMME.SI.ENS(I$5:I$222; D$5:D$222; D103; C$5:C$222; C103)</f>
        <v/>
      </c>
      <c r="K103" s="23">
        <f>MAX(400; J103 * 0.85)</f>
        <v/>
      </c>
      <c r="L103" s="24">
        <f>SI(K103&gt;0; J103/K103; 1.0)</f>
        <v/>
      </c>
      <c r="M103" s="15">
        <f>SI(L103&gt;=1.5; "ZONE DANGER (&gt;1.5)"; SI(L103&gt;=1.3; "Zone Haute (1.3-1.5)"; SI(L103&gt;=0.8; "Sweet Spot (0.8-1.3)"; "Sous-charge (&lt;0.8)")))</f>
        <v/>
      </c>
      <c r="N103" s="14">
        <f>SI(L103&gt;=1.5; "Alléger séances / Régénération"; SI(L103&gt;=1.3; "Contrôler fatigue Hooper"; "Poursuivre programme"))</f>
        <v/>
      </c>
    </row>
    <row r="104">
      <c r="A104" s="15" t="inlineStr">
        <is>
          <t>S10</t>
        </is>
      </c>
      <c r="B104" s="21" t="n">
        <v>46076</v>
      </c>
      <c r="C104" s="15" t="inlineStr">
        <is>
          <t>S4</t>
        </is>
      </c>
      <c r="D104" s="15" t="inlineStr">
        <is>
          <t>ATH06</t>
        </is>
      </c>
      <c r="E104" s="14" t="inlineStr">
        <is>
          <t>Lundi</t>
        </is>
      </c>
      <c r="F104" s="14" t="inlineStr">
        <is>
          <t>Force</t>
        </is>
      </c>
      <c r="G104" s="15" t="n">
        <v>65</v>
      </c>
      <c r="H104" s="15" t="n">
        <v>4</v>
      </c>
      <c r="I104" s="22">
        <f>G104*H104</f>
        <v/>
      </c>
      <c r="J104" s="15">
        <f>SOMME.SI.ENS(I$5:I$222; D$5:D$222; D104; C$5:C$222; C104)</f>
        <v/>
      </c>
      <c r="K104" s="23">
        <f>MAX(400; J104 * 0.85)</f>
        <v/>
      </c>
      <c r="L104" s="24">
        <f>SI(K104&gt;0; J104/K104; 1.0)</f>
        <v/>
      </c>
      <c r="M104" s="15">
        <f>SI(L104&gt;=1.5; "ZONE DANGER (&gt;1.5)"; SI(L104&gt;=1.3; "Zone Haute (1.3-1.5)"; SI(L104&gt;=0.8; "Sweet Spot (0.8-1.3)"; "Sous-charge (&lt;0.8)")))</f>
        <v/>
      </c>
      <c r="N104" s="14">
        <f>SI(L104&gt;=1.5; "Alléger séances / Régénération"; SI(L104&gt;=1.3; "Contrôler fatigue Hooper"; "Poursuivre programme"))</f>
        <v/>
      </c>
    </row>
    <row r="105">
      <c r="A105" s="15" t="inlineStr">
        <is>
          <t>S11</t>
        </is>
      </c>
      <c r="B105" s="21" t="n">
        <v>46078</v>
      </c>
      <c r="C105" s="15" t="inlineStr">
        <is>
          <t>S4</t>
        </is>
      </c>
      <c r="D105" s="15" t="inlineStr">
        <is>
          <t>ATH06</t>
        </is>
      </c>
      <c r="E105" s="14" t="inlineStr">
        <is>
          <t>Mercredi</t>
        </is>
      </c>
      <c r="F105" s="14" t="inlineStr">
        <is>
          <t>Intermittent</t>
        </is>
      </c>
      <c r="G105" s="15" t="n">
        <v>90</v>
      </c>
      <c r="H105" s="15" t="n">
        <v>8</v>
      </c>
      <c r="I105" s="22">
        <f>G105*H105</f>
        <v/>
      </c>
      <c r="J105" s="15">
        <f>SOMME.SI.ENS(I$5:I$222; D$5:D$222; D105; C$5:C$222; C105)</f>
        <v/>
      </c>
      <c r="K105" s="23">
        <f>MAX(400; J105 * 0.85)</f>
        <v/>
      </c>
      <c r="L105" s="24">
        <f>SI(K105&gt;0; J105/K105; 1.0)</f>
        <v/>
      </c>
      <c r="M105" s="15">
        <f>SI(L105&gt;=1.5; "ZONE DANGER (&gt;1.5)"; SI(L105&gt;=1.3; "Zone Haute (1.3-1.5)"; SI(L105&gt;=0.8; "Sweet Spot (0.8-1.3)"; "Sous-charge (&lt;0.8)")))</f>
        <v/>
      </c>
      <c r="N105" s="14">
        <f>SI(L105&gt;=1.5; "Alléger séances / Régénération"; SI(L105&gt;=1.3; "Contrôler fatigue Hooper"; "Poursuivre programme"))</f>
        <v/>
      </c>
    </row>
    <row r="106">
      <c r="A106" s="15" t="inlineStr">
        <is>
          <t>S12</t>
        </is>
      </c>
      <c r="B106" s="21" t="n">
        <v>46080</v>
      </c>
      <c r="C106" s="15" t="inlineStr">
        <is>
          <t>S4</t>
        </is>
      </c>
      <c r="D106" s="15" t="inlineStr">
        <is>
          <t>ATH06</t>
        </is>
      </c>
      <c r="E106" s="14" t="inlineStr">
        <is>
          <t>Vendredi</t>
        </is>
      </c>
      <c r="F106" s="14" t="inlineStr">
        <is>
          <t>Collectif</t>
        </is>
      </c>
      <c r="G106" s="15" t="n">
        <v>105</v>
      </c>
      <c r="H106" s="15" t="n">
        <v>7</v>
      </c>
      <c r="I106" s="22">
        <f>G106*H106</f>
        <v/>
      </c>
      <c r="J106" s="15">
        <f>SOMME.SI.ENS(I$5:I$222; D$5:D$222; D106; C$5:C$222; C106)</f>
        <v/>
      </c>
      <c r="K106" s="23">
        <f>MAX(400; J106 * 0.85)</f>
        <v/>
      </c>
      <c r="L106" s="24">
        <f>SI(K106&gt;0; J106/K106; 1.0)</f>
        <v/>
      </c>
      <c r="M106" s="15">
        <f>SI(L106&gt;=1.5; "ZONE DANGER (&gt;1.5)"; SI(L106&gt;=1.3; "Zone Haute (1.3-1.5)"; SI(L106&gt;=0.8; "Sweet Spot (0.8-1.3)"; "Sous-charge (&lt;0.8)")))</f>
        <v/>
      </c>
      <c r="N106" s="14">
        <f>SI(L106&gt;=1.5; "Alléger séances / Régénération"; SI(L106&gt;=1.3; "Contrôler fatigue Hooper"; "Poursuivre programme"))</f>
        <v/>
      </c>
    </row>
    <row r="107">
      <c r="A107" s="15" t="inlineStr">
        <is>
          <t>S13</t>
        </is>
      </c>
      <c r="B107" s="21" t="n">
        <v>46083</v>
      </c>
      <c r="C107" s="15" t="inlineStr">
        <is>
          <t>S5</t>
        </is>
      </c>
      <c r="D107" s="15" t="inlineStr">
        <is>
          <t>ATH06</t>
        </is>
      </c>
      <c r="E107" s="14" t="inlineStr">
        <is>
          <t>Lundi</t>
        </is>
      </c>
      <c r="F107" s="14" t="inlineStr">
        <is>
          <t>Technique</t>
        </is>
      </c>
      <c r="G107" s="15" t="n">
        <v>74</v>
      </c>
      <c r="H107" s="15" t="n">
        <v>5</v>
      </c>
      <c r="I107" s="22">
        <f>G107*H107</f>
        <v/>
      </c>
      <c r="J107" s="15">
        <f>SOMME.SI.ENS(I$5:I$222; D$5:D$222; D107; C$5:C$222; C107)</f>
        <v/>
      </c>
      <c r="K107" s="23">
        <f>MAX(400; J107 * 0.85)</f>
        <v/>
      </c>
      <c r="L107" s="24">
        <f>SI(K107&gt;0; J107/K107; 1.0)</f>
        <v/>
      </c>
      <c r="M107" s="15">
        <f>SI(L107&gt;=1.5; "ZONE DANGER (&gt;1.5)"; SI(L107&gt;=1.3; "Zone Haute (1.3-1.5)"; SI(L107&gt;=0.8; "Sweet Spot (0.8-1.3)"; "Sous-charge (&lt;0.8)")))</f>
        <v/>
      </c>
      <c r="N107" s="14">
        <f>SI(L107&gt;=1.5; "Alléger séances / Régénération"; SI(L107&gt;=1.3; "Contrôler fatigue Hooper"; "Poursuivre programme"))</f>
        <v/>
      </c>
    </row>
    <row r="108">
      <c r="A108" s="15" t="inlineStr">
        <is>
          <t>S14</t>
        </is>
      </c>
      <c r="B108" s="21" t="n">
        <v>46085</v>
      </c>
      <c r="C108" s="15" t="inlineStr">
        <is>
          <t>S5</t>
        </is>
      </c>
      <c r="D108" s="15" t="inlineStr">
        <is>
          <t>ATH06</t>
        </is>
      </c>
      <c r="E108" s="14" t="inlineStr">
        <is>
          <t>Mercredi</t>
        </is>
      </c>
      <c r="F108" s="14" t="inlineStr">
        <is>
          <t>Intermittent</t>
        </is>
      </c>
      <c r="G108" s="15" t="n">
        <v>90</v>
      </c>
      <c r="H108" s="15" t="n">
        <v>8</v>
      </c>
      <c r="I108" s="22">
        <f>G108*H108</f>
        <v/>
      </c>
      <c r="J108" s="15">
        <f>SOMME.SI.ENS(I$5:I$222; D$5:D$222; D108; C$5:C$222; C108)</f>
        <v/>
      </c>
      <c r="K108" s="23">
        <f>MAX(400; J108 * 0.85)</f>
        <v/>
      </c>
      <c r="L108" s="24">
        <f>SI(K108&gt;0; J108/K108; 1.0)</f>
        <v/>
      </c>
      <c r="M108" s="15">
        <f>SI(L108&gt;=1.5; "ZONE DANGER (&gt;1.5)"; SI(L108&gt;=1.3; "Zone Haute (1.3-1.5)"; SI(L108&gt;=0.8; "Sweet Spot (0.8-1.3)"; "Sous-charge (&lt;0.8)")))</f>
        <v/>
      </c>
      <c r="N108" s="14">
        <f>SI(L108&gt;=1.5; "Alléger séances / Régénération"; SI(L108&gt;=1.3; "Contrôler fatigue Hooper"; "Poursuivre programme"))</f>
        <v/>
      </c>
    </row>
    <row r="109">
      <c r="A109" s="15" t="inlineStr">
        <is>
          <t>S15</t>
        </is>
      </c>
      <c r="B109" s="21" t="n">
        <v>46087</v>
      </c>
      <c r="C109" s="15" t="inlineStr">
        <is>
          <t>S5</t>
        </is>
      </c>
      <c r="D109" s="15" t="inlineStr">
        <is>
          <t>ATH06</t>
        </is>
      </c>
      <c r="E109" s="14" t="inlineStr">
        <is>
          <t>Vendredi</t>
        </is>
      </c>
      <c r="F109" s="14" t="inlineStr">
        <is>
          <t>Collectif</t>
        </is>
      </c>
      <c r="G109" s="15" t="n">
        <v>109</v>
      </c>
      <c r="H109" s="15" t="n">
        <v>8</v>
      </c>
      <c r="I109" s="22">
        <f>G109*H109</f>
        <v/>
      </c>
      <c r="J109" s="15">
        <f>SOMME.SI.ENS(I$5:I$222; D$5:D$222; D109; C$5:C$222; C109)</f>
        <v/>
      </c>
      <c r="K109" s="23">
        <f>MAX(400; J109 * 0.85)</f>
        <v/>
      </c>
      <c r="L109" s="24">
        <f>SI(K109&gt;0; J109/K109; 1.0)</f>
        <v/>
      </c>
      <c r="M109" s="15">
        <f>SI(L109&gt;=1.5; "ZONE DANGER (&gt;1.5)"; SI(L109&gt;=1.3; "Zone Haute (1.3-1.5)"; SI(L109&gt;=0.8; "Sweet Spot (0.8-1.3)"; "Sous-charge (&lt;0.8)")))</f>
        <v/>
      </c>
      <c r="N109" s="14">
        <f>SI(L109&gt;=1.5; "Alléger séances / Régénération"; SI(L109&gt;=1.3; "Contrôler fatigue Hooper"; "Poursuivre programme"))</f>
        <v/>
      </c>
    </row>
    <row r="110">
      <c r="A110" s="15" t="inlineStr">
        <is>
          <t>S16</t>
        </is>
      </c>
      <c r="B110" s="21" t="n">
        <v>46090</v>
      </c>
      <c r="C110" s="15" t="inlineStr">
        <is>
          <t>S6</t>
        </is>
      </c>
      <c r="D110" s="15" t="inlineStr">
        <is>
          <t>ATH06</t>
        </is>
      </c>
      <c r="E110" s="14" t="inlineStr">
        <is>
          <t>Lundi</t>
        </is>
      </c>
      <c r="F110" s="14" t="inlineStr">
        <is>
          <t>Force</t>
        </is>
      </c>
      <c r="G110" s="15" t="n">
        <v>70</v>
      </c>
      <c r="H110" s="15" t="n">
        <v>5</v>
      </c>
      <c r="I110" s="22">
        <f>G110*H110</f>
        <v/>
      </c>
      <c r="J110" s="15">
        <f>SOMME.SI.ENS(I$5:I$222; D$5:D$222; D110; C$5:C$222; C110)</f>
        <v/>
      </c>
      <c r="K110" s="23">
        <f>MAX(400; J110 * 0.85)</f>
        <v/>
      </c>
      <c r="L110" s="24">
        <f>SI(K110&gt;0; J110/K110; 1.0)</f>
        <v/>
      </c>
      <c r="M110" s="15">
        <f>SI(L110&gt;=1.5; "ZONE DANGER (&gt;1.5)"; SI(L110&gt;=1.3; "Zone Haute (1.3-1.5)"; SI(L110&gt;=0.8; "Sweet Spot (0.8-1.3)"; "Sous-charge (&lt;0.8)")))</f>
        <v/>
      </c>
      <c r="N110" s="14">
        <f>SI(L110&gt;=1.5; "Alléger séances / Régénération"; SI(L110&gt;=1.3; "Contrôler fatigue Hooper"; "Poursuivre programme"))</f>
        <v/>
      </c>
    </row>
    <row r="111">
      <c r="A111" s="15" t="inlineStr">
        <is>
          <t>S17</t>
        </is>
      </c>
      <c r="B111" s="21" t="n">
        <v>46092</v>
      </c>
      <c r="C111" s="15" t="inlineStr">
        <is>
          <t>S6</t>
        </is>
      </c>
      <c r="D111" s="15" t="inlineStr">
        <is>
          <t>ATH06</t>
        </is>
      </c>
      <c r="E111" s="14" t="inlineStr">
        <is>
          <t>Mercredi</t>
        </is>
      </c>
      <c r="F111" s="14" t="inlineStr">
        <is>
          <t>Intermittent</t>
        </is>
      </c>
      <c r="G111" s="15" t="n">
        <v>93</v>
      </c>
      <c r="H111" s="15" t="n">
        <v>6</v>
      </c>
      <c r="I111" s="22">
        <f>G111*H111</f>
        <v/>
      </c>
      <c r="J111" s="15">
        <f>SOMME.SI.ENS(I$5:I$222; D$5:D$222; D111; C$5:C$222; C111)</f>
        <v/>
      </c>
      <c r="K111" s="23">
        <f>MAX(400; J111 * 0.85)</f>
        <v/>
      </c>
      <c r="L111" s="24">
        <f>SI(K111&gt;0; J111/K111; 1.0)</f>
        <v/>
      </c>
      <c r="M111" s="15">
        <f>SI(L111&gt;=1.5; "ZONE DANGER (&gt;1.5)"; SI(L111&gt;=1.3; "Zone Haute (1.3-1.5)"; SI(L111&gt;=0.8; "Sweet Spot (0.8-1.3)"; "Sous-charge (&lt;0.8)")))</f>
        <v/>
      </c>
      <c r="N111" s="14">
        <f>SI(L111&gt;=1.5; "Alléger séances / Régénération"; SI(L111&gt;=1.3; "Contrôler fatigue Hooper"; "Poursuivre programme"))</f>
        <v/>
      </c>
    </row>
    <row r="112">
      <c r="A112" s="15" t="inlineStr">
        <is>
          <t>S18</t>
        </is>
      </c>
      <c r="B112" s="21" t="n">
        <v>46094</v>
      </c>
      <c r="C112" s="15" t="inlineStr">
        <is>
          <t>S6</t>
        </is>
      </c>
      <c r="D112" s="15" t="inlineStr">
        <is>
          <t>ATH06</t>
        </is>
      </c>
      <c r="E112" s="14" t="inlineStr">
        <is>
          <t>Vendredi</t>
        </is>
      </c>
      <c r="F112" s="14" t="inlineStr">
        <is>
          <t>Collectif</t>
        </is>
      </c>
      <c r="G112" s="15" t="n">
        <v>100</v>
      </c>
      <c r="H112" s="15" t="n">
        <v>6</v>
      </c>
      <c r="I112" s="22">
        <f>G112*H112</f>
        <v/>
      </c>
      <c r="J112" s="15">
        <f>SOMME.SI.ENS(I$5:I$222; D$5:D$222; D112; C$5:C$222; C112)</f>
        <v/>
      </c>
      <c r="K112" s="23">
        <f>MAX(400; J112 * 0.85)</f>
        <v/>
      </c>
      <c r="L112" s="24">
        <f>SI(K112&gt;0; J112/K112; 1.0)</f>
        <v/>
      </c>
      <c r="M112" s="15">
        <f>SI(L112&gt;=1.5; "ZONE DANGER (&gt;1.5)"; SI(L112&gt;=1.3; "Zone Haute (1.3-1.5)"; SI(L112&gt;=0.8; "Sweet Spot (0.8-1.3)"; "Sous-charge (&lt;0.8)")))</f>
        <v/>
      </c>
      <c r="N112" s="14">
        <f>SI(L112&gt;=1.5; "Alléger séances / Régénération"; SI(L112&gt;=1.3; "Contrôler fatigue Hooper"; "Poursuivre programme"))</f>
        <v/>
      </c>
    </row>
    <row r="113">
      <c r="A113" s="15" t="inlineStr">
        <is>
          <t>S01</t>
        </is>
      </c>
      <c r="B113" s="21" t="n">
        <v>46055</v>
      </c>
      <c r="C113" s="15" t="inlineStr">
        <is>
          <t>S1</t>
        </is>
      </c>
      <c r="D113" s="15" t="inlineStr">
        <is>
          <t>ATH07</t>
        </is>
      </c>
      <c r="E113" s="14" t="inlineStr">
        <is>
          <t>Lundi</t>
        </is>
      </c>
      <c r="F113" s="14" t="inlineStr">
        <is>
          <t>Technique</t>
        </is>
      </c>
      <c r="G113" s="15" t="n">
        <v>71</v>
      </c>
      <c r="H113" s="15" t="n">
        <v>5</v>
      </c>
      <c r="I113" s="22">
        <f>G113*H113</f>
        <v/>
      </c>
      <c r="J113" s="15">
        <f>SOMME.SI.ENS(I$5:I$222; D$5:D$222; D113; C$5:C$222; C113)</f>
        <v/>
      </c>
      <c r="K113" s="23">
        <f>MAX(400; J113 * 0.85)</f>
        <v/>
      </c>
      <c r="L113" s="24">
        <f>SI(K113&gt;0; J113/K113; 1.0)</f>
        <v/>
      </c>
      <c r="M113" s="15">
        <f>SI(L113&gt;=1.5; "ZONE DANGER (&gt;1.5)"; SI(L113&gt;=1.3; "Zone Haute (1.3-1.5)"; SI(L113&gt;=0.8; "Sweet Spot (0.8-1.3)"; "Sous-charge (&lt;0.8)")))</f>
        <v/>
      </c>
      <c r="N113" s="14">
        <f>SI(L113&gt;=1.5; "Alléger séances / Régénération"; SI(L113&gt;=1.3; "Contrôler fatigue Hooper"; "Poursuivre programme"))</f>
        <v/>
      </c>
    </row>
    <row r="114">
      <c r="A114" s="15" t="inlineStr">
        <is>
          <t>S02</t>
        </is>
      </c>
      <c r="B114" s="21" t="n">
        <v>46057</v>
      </c>
      <c r="C114" s="15" t="inlineStr">
        <is>
          <t>S1</t>
        </is>
      </c>
      <c r="D114" s="15" t="inlineStr">
        <is>
          <t>ATH07</t>
        </is>
      </c>
      <c r="E114" s="14" t="inlineStr">
        <is>
          <t>Mercredi</t>
        </is>
      </c>
      <c r="F114" s="14" t="inlineStr">
        <is>
          <t>Intermittent</t>
        </is>
      </c>
      <c r="G114" s="15" t="n">
        <v>91</v>
      </c>
      <c r="H114" s="15" t="n">
        <v>8</v>
      </c>
      <c r="I114" s="22">
        <f>G114*H114</f>
        <v/>
      </c>
      <c r="J114" s="15">
        <f>SOMME.SI.ENS(I$5:I$222; D$5:D$222; D114; C$5:C$222; C114)</f>
        <v/>
      </c>
      <c r="K114" s="23">
        <f>MAX(400; J114 * 0.85)</f>
        <v/>
      </c>
      <c r="L114" s="24">
        <f>SI(K114&gt;0; J114/K114; 1.0)</f>
        <v/>
      </c>
      <c r="M114" s="15">
        <f>SI(L114&gt;=1.5; "ZONE DANGER (&gt;1.5)"; SI(L114&gt;=1.3; "Zone Haute (1.3-1.5)"; SI(L114&gt;=0.8; "Sweet Spot (0.8-1.3)"; "Sous-charge (&lt;0.8)")))</f>
        <v/>
      </c>
      <c r="N114" s="14">
        <f>SI(L114&gt;=1.5; "Alléger séances / Régénération"; SI(L114&gt;=1.3; "Contrôler fatigue Hooper"; "Poursuivre programme"))</f>
        <v/>
      </c>
    </row>
    <row r="115">
      <c r="A115" s="15" t="inlineStr">
        <is>
          <t>S03</t>
        </is>
      </c>
      <c r="B115" s="21" t="n">
        <v>46059</v>
      </c>
      <c r="C115" s="15" t="inlineStr">
        <is>
          <t>S1</t>
        </is>
      </c>
      <c r="D115" s="15" t="inlineStr">
        <is>
          <t>ATH07</t>
        </is>
      </c>
      <c r="E115" s="14" t="inlineStr">
        <is>
          <t>Vendredi</t>
        </is>
      </c>
      <c r="F115" s="14" t="inlineStr">
        <is>
          <t>Collectif</t>
        </is>
      </c>
      <c r="G115" s="15" t="n">
        <v>107</v>
      </c>
      <c r="H115" s="15" t="n">
        <v>6</v>
      </c>
      <c r="I115" s="22">
        <f>G115*H115</f>
        <v/>
      </c>
      <c r="J115" s="15">
        <f>SOMME.SI.ENS(I$5:I$222; D$5:D$222; D115; C$5:C$222; C115)</f>
        <v/>
      </c>
      <c r="K115" s="23">
        <f>MAX(400; J115 * 0.85)</f>
        <v/>
      </c>
      <c r="L115" s="24">
        <f>SI(K115&gt;0; J115/K115; 1.0)</f>
        <v/>
      </c>
      <c r="M115" s="15">
        <f>SI(L115&gt;=1.5; "ZONE DANGER (&gt;1.5)"; SI(L115&gt;=1.3; "Zone Haute (1.3-1.5)"; SI(L115&gt;=0.8; "Sweet Spot (0.8-1.3)"; "Sous-charge (&lt;0.8)")))</f>
        <v/>
      </c>
      <c r="N115" s="14">
        <f>SI(L115&gt;=1.5; "Alléger séances / Régénération"; SI(L115&gt;=1.3; "Contrôler fatigue Hooper"; "Poursuivre programme"))</f>
        <v/>
      </c>
    </row>
    <row r="116">
      <c r="A116" s="15" t="inlineStr">
        <is>
          <t>S04</t>
        </is>
      </c>
      <c r="B116" s="21" t="n">
        <v>46062</v>
      </c>
      <c r="C116" s="15" t="inlineStr">
        <is>
          <t>S2</t>
        </is>
      </c>
      <c r="D116" s="15" t="inlineStr">
        <is>
          <t>ATH07</t>
        </is>
      </c>
      <c r="E116" s="14" t="inlineStr">
        <is>
          <t>Lundi</t>
        </is>
      </c>
      <c r="F116" s="14" t="inlineStr">
        <is>
          <t>Force</t>
        </is>
      </c>
      <c r="G116" s="15" t="n">
        <v>75</v>
      </c>
      <c r="H116" s="15" t="n">
        <v>4</v>
      </c>
      <c r="I116" s="22">
        <f>G116*H116</f>
        <v/>
      </c>
      <c r="J116" s="15">
        <f>SOMME.SI.ENS(I$5:I$222; D$5:D$222; D116; C$5:C$222; C116)</f>
        <v/>
      </c>
      <c r="K116" s="23">
        <f>MAX(400; J116 * 0.85)</f>
        <v/>
      </c>
      <c r="L116" s="24">
        <f>SI(K116&gt;0; J116/K116; 1.0)</f>
        <v/>
      </c>
      <c r="M116" s="15">
        <f>SI(L116&gt;=1.5; "ZONE DANGER (&gt;1.5)"; SI(L116&gt;=1.3; "Zone Haute (1.3-1.5)"; SI(L116&gt;=0.8; "Sweet Spot (0.8-1.3)"; "Sous-charge (&lt;0.8)")))</f>
        <v/>
      </c>
      <c r="N116" s="14">
        <f>SI(L116&gt;=1.5; "Alléger séances / Régénération"; SI(L116&gt;=1.3; "Contrôler fatigue Hooper"; "Poursuivre programme"))</f>
        <v/>
      </c>
    </row>
    <row r="117">
      <c r="A117" s="15" t="inlineStr">
        <is>
          <t>S05</t>
        </is>
      </c>
      <c r="B117" s="21" t="n">
        <v>46064</v>
      </c>
      <c r="C117" s="15" t="inlineStr">
        <is>
          <t>S2</t>
        </is>
      </c>
      <c r="D117" s="15" t="inlineStr">
        <is>
          <t>ATH07</t>
        </is>
      </c>
      <c r="E117" s="14" t="inlineStr">
        <is>
          <t>Mercredi</t>
        </is>
      </c>
      <c r="F117" s="14" t="inlineStr">
        <is>
          <t>Intermittent</t>
        </is>
      </c>
      <c r="G117" s="15" t="n">
        <v>95</v>
      </c>
      <c r="H117" s="15" t="n">
        <v>7</v>
      </c>
      <c r="I117" s="22">
        <f>G117*H117</f>
        <v/>
      </c>
      <c r="J117" s="15">
        <f>SOMME.SI.ENS(I$5:I$222; D$5:D$222; D117; C$5:C$222; C117)</f>
        <v/>
      </c>
      <c r="K117" s="23">
        <f>MAX(400; J117 * 0.85)</f>
        <v/>
      </c>
      <c r="L117" s="24">
        <f>SI(K117&gt;0; J117/K117; 1.0)</f>
        <v/>
      </c>
      <c r="M117" s="15">
        <f>SI(L117&gt;=1.5; "ZONE DANGER (&gt;1.5)"; SI(L117&gt;=1.3; "Zone Haute (1.3-1.5)"; SI(L117&gt;=0.8; "Sweet Spot (0.8-1.3)"; "Sous-charge (&lt;0.8)")))</f>
        <v/>
      </c>
      <c r="N117" s="14">
        <f>SI(L117&gt;=1.5; "Alléger séances / Régénération"; SI(L117&gt;=1.3; "Contrôler fatigue Hooper"; "Poursuivre programme"))</f>
        <v/>
      </c>
    </row>
    <row r="118">
      <c r="A118" s="15" t="inlineStr">
        <is>
          <t>S06</t>
        </is>
      </c>
      <c r="B118" s="21" t="n">
        <v>46066</v>
      </c>
      <c r="C118" s="15" t="inlineStr">
        <is>
          <t>S2</t>
        </is>
      </c>
      <c r="D118" s="15" t="inlineStr">
        <is>
          <t>ATH07</t>
        </is>
      </c>
      <c r="E118" s="14" t="inlineStr">
        <is>
          <t>Vendredi</t>
        </is>
      </c>
      <c r="F118" s="14" t="inlineStr">
        <is>
          <t>Collectif</t>
        </is>
      </c>
      <c r="G118" s="15" t="n">
        <v>106</v>
      </c>
      <c r="H118" s="15" t="n">
        <v>8</v>
      </c>
      <c r="I118" s="22">
        <f>G118*H118</f>
        <v/>
      </c>
      <c r="J118" s="15">
        <f>SOMME.SI.ENS(I$5:I$222; D$5:D$222; D118; C$5:C$222; C118)</f>
        <v/>
      </c>
      <c r="K118" s="23">
        <f>MAX(400; J118 * 0.85)</f>
        <v/>
      </c>
      <c r="L118" s="24">
        <f>SI(K118&gt;0; J118/K118; 1.0)</f>
        <v/>
      </c>
      <c r="M118" s="15">
        <f>SI(L118&gt;=1.5; "ZONE DANGER (&gt;1.5)"; SI(L118&gt;=1.3; "Zone Haute (1.3-1.5)"; SI(L118&gt;=0.8; "Sweet Spot (0.8-1.3)"; "Sous-charge (&lt;0.8)")))</f>
        <v/>
      </c>
      <c r="N118" s="14">
        <f>SI(L118&gt;=1.5; "Alléger séances / Régénération"; SI(L118&gt;=1.3; "Contrôler fatigue Hooper"; "Poursuivre programme"))</f>
        <v/>
      </c>
    </row>
    <row r="119">
      <c r="A119" s="15" t="inlineStr">
        <is>
          <t>S07</t>
        </is>
      </c>
      <c r="B119" s="21" t="n">
        <v>46069</v>
      </c>
      <c r="C119" s="15" t="inlineStr">
        <is>
          <t>S3</t>
        </is>
      </c>
      <c r="D119" s="15" t="inlineStr">
        <is>
          <t>ATH07</t>
        </is>
      </c>
      <c r="E119" s="14" t="inlineStr">
        <is>
          <t>Lundi</t>
        </is>
      </c>
      <c r="F119" s="14" t="inlineStr">
        <is>
          <t>Technique</t>
        </is>
      </c>
      <c r="G119" s="15" t="n">
        <v>75</v>
      </c>
      <c r="H119" s="15" t="n">
        <v>7</v>
      </c>
      <c r="I119" s="22">
        <f>G119*H119</f>
        <v/>
      </c>
      <c r="J119" s="15">
        <f>SOMME.SI.ENS(I$5:I$222; D$5:D$222; D119; C$5:C$222; C119)</f>
        <v/>
      </c>
      <c r="K119" s="23">
        <f>MAX(400; J119 * 0.85)</f>
        <v/>
      </c>
      <c r="L119" s="24">
        <f>SI(K119&gt;0; J119/K119; 1.0)</f>
        <v/>
      </c>
      <c r="M119" s="15">
        <f>SI(L119&gt;=1.5; "ZONE DANGER (&gt;1.5)"; SI(L119&gt;=1.3; "Zone Haute (1.3-1.5)"; SI(L119&gt;=0.8; "Sweet Spot (0.8-1.3)"; "Sous-charge (&lt;0.8)")))</f>
        <v/>
      </c>
      <c r="N119" s="14">
        <f>SI(L119&gt;=1.5; "Alléger séances / Régénération"; SI(L119&gt;=1.3; "Contrôler fatigue Hooper"; "Poursuivre programme"))</f>
        <v/>
      </c>
    </row>
    <row r="120">
      <c r="A120" s="15" t="inlineStr">
        <is>
          <t>S08</t>
        </is>
      </c>
      <c r="B120" s="21" t="n">
        <v>46071</v>
      </c>
      <c r="C120" s="15" t="inlineStr">
        <is>
          <t>S3</t>
        </is>
      </c>
      <c r="D120" s="15" t="inlineStr">
        <is>
          <t>ATH07</t>
        </is>
      </c>
      <c r="E120" s="14" t="inlineStr">
        <is>
          <t>Mercredi</t>
        </is>
      </c>
      <c r="F120" s="14" t="inlineStr">
        <is>
          <t>Intermittent</t>
        </is>
      </c>
      <c r="G120" s="15" t="n">
        <v>90</v>
      </c>
      <c r="H120" s="15" t="n">
        <v>7</v>
      </c>
      <c r="I120" s="22">
        <f>G120*H120</f>
        <v/>
      </c>
      <c r="J120" s="15">
        <f>SOMME.SI.ENS(I$5:I$222; D$5:D$222; D120; C$5:C$222; C120)</f>
        <v/>
      </c>
      <c r="K120" s="23">
        <f>MAX(400; J120 * 0.85)</f>
        <v/>
      </c>
      <c r="L120" s="24">
        <f>SI(K120&gt;0; J120/K120; 1.0)</f>
        <v/>
      </c>
      <c r="M120" s="15">
        <f>SI(L120&gt;=1.5; "ZONE DANGER (&gt;1.5)"; SI(L120&gt;=1.3; "Zone Haute (1.3-1.5)"; SI(L120&gt;=0.8; "Sweet Spot (0.8-1.3)"; "Sous-charge (&lt;0.8)")))</f>
        <v/>
      </c>
      <c r="N120" s="14">
        <f>SI(L120&gt;=1.5; "Alléger séances / Régénération"; SI(L120&gt;=1.3; "Contrôler fatigue Hooper"; "Poursuivre programme"))</f>
        <v/>
      </c>
    </row>
    <row r="121">
      <c r="A121" s="15" t="inlineStr">
        <is>
          <t>S09</t>
        </is>
      </c>
      <c r="B121" s="21" t="n">
        <v>46073</v>
      </c>
      <c r="C121" s="15" t="inlineStr">
        <is>
          <t>S3</t>
        </is>
      </c>
      <c r="D121" s="15" t="inlineStr">
        <is>
          <t>ATH07</t>
        </is>
      </c>
      <c r="E121" s="14" t="inlineStr">
        <is>
          <t>Vendredi</t>
        </is>
      </c>
      <c r="F121" s="14" t="inlineStr">
        <is>
          <t>Collectif</t>
        </is>
      </c>
      <c r="G121" s="15" t="n">
        <v>108</v>
      </c>
      <c r="H121" s="15" t="n">
        <v>6</v>
      </c>
      <c r="I121" s="22">
        <f>G121*H121</f>
        <v/>
      </c>
      <c r="J121" s="15">
        <f>SOMME.SI.ENS(I$5:I$222; D$5:D$222; D121; C$5:C$222; C121)</f>
        <v/>
      </c>
      <c r="K121" s="23">
        <f>MAX(400; J121 * 0.85)</f>
        <v/>
      </c>
      <c r="L121" s="24">
        <f>SI(K121&gt;0; J121/K121; 1.0)</f>
        <v/>
      </c>
      <c r="M121" s="15">
        <f>SI(L121&gt;=1.5; "ZONE DANGER (&gt;1.5)"; SI(L121&gt;=1.3; "Zone Haute (1.3-1.5)"; SI(L121&gt;=0.8; "Sweet Spot (0.8-1.3)"; "Sous-charge (&lt;0.8)")))</f>
        <v/>
      </c>
      <c r="N121" s="14">
        <f>SI(L121&gt;=1.5; "Alléger séances / Régénération"; SI(L121&gt;=1.3; "Contrôler fatigue Hooper"; "Poursuivre programme"))</f>
        <v/>
      </c>
    </row>
    <row r="122">
      <c r="A122" s="15" t="inlineStr">
        <is>
          <t>S10</t>
        </is>
      </c>
      <c r="B122" s="21" t="n">
        <v>46076</v>
      </c>
      <c r="C122" s="15" t="inlineStr">
        <is>
          <t>S4</t>
        </is>
      </c>
      <c r="D122" s="15" t="inlineStr">
        <is>
          <t>ATH07</t>
        </is>
      </c>
      <c r="E122" s="14" t="inlineStr">
        <is>
          <t>Lundi</t>
        </is>
      </c>
      <c r="F122" s="14" t="inlineStr">
        <is>
          <t>Force</t>
        </is>
      </c>
      <c r="G122" s="15" t="n">
        <v>65</v>
      </c>
      <c r="H122" s="15" t="n">
        <v>5</v>
      </c>
      <c r="I122" s="22">
        <f>G122*H122</f>
        <v/>
      </c>
      <c r="J122" s="15">
        <f>SOMME.SI.ENS(I$5:I$222; D$5:D$222; D122; C$5:C$222; C122)</f>
        <v/>
      </c>
      <c r="K122" s="23">
        <f>MAX(400; J122 * 0.85)</f>
        <v/>
      </c>
      <c r="L122" s="24">
        <f>SI(K122&gt;0; J122/K122; 1.0)</f>
        <v/>
      </c>
      <c r="M122" s="15">
        <f>SI(L122&gt;=1.5; "ZONE DANGER (&gt;1.5)"; SI(L122&gt;=1.3; "Zone Haute (1.3-1.5)"; SI(L122&gt;=0.8; "Sweet Spot (0.8-1.3)"; "Sous-charge (&lt;0.8)")))</f>
        <v/>
      </c>
      <c r="N122" s="14">
        <f>SI(L122&gt;=1.5; "Alléger séances / Régénération"; SI(L122&gt;=1.3; "Contrôler fatigue Hooper"; "Poursuivre programme"))</f>
        <v/>
      </c>
    </row>
    <row r="123">
      <c r="A123" s="15" t="inlineStr">
        <is>
          <t>S11</t>
        </is>
      </c>
      <c r="B123" s="21" t="n">
        <v>46078</v>
      </c>
      <c r="C123" s="15" t="inlineStr">
        <is>
          <t>S4</t>
        </is>
      </c>
      <c r="D123" s="15" t="inlineStr">
        <is>
          <t>ATH07</t>
        </is>
      </c>
      <c r="E123" s="14" t="inlineStr">
        <is>
          <t>Mercredi</t>
        </is>
      </c>
      <c r="F123" s="14" t="inlineStr">
        <is>
          <t>Intermittent</t>
        </is>
      </c>
      <c r="G123" s="15" t="n">
        <v>92</v>
      </c>
      <c r="H123" s="15" t="n">
        <v>9</v>
      </c>
      <c r="I123" s="22">
        <f>G123*H123</f>
        <v/>
      </c>
      <c r="J123" s="15">
        <f>SOMME.SI.ENS(I$5:I$222; D$5:D$222; D123; C$5:C$222; C123)</f>
        <v/>
      </c>
      <c r="K123" s="23">
        <f>MAX(400; J123 * 0.85)</f>
        <v/>
      </c>
      <c r="L123" s="24">
        <f>SI(K123&gt;0; J123/K123; 1.0)</f>
        <v/>
      </c>
      <c r="M123" s="15">
        <f>SI(L123&gt;=1.5; "ZONE DANGER (&gt;1.5)"; SI(L123&gt;=1.3; "Zone Haute (1.3-1.5)"; SI(L123&gt;=0.8; "Sweet Spot (0.8-1.3)"; "Sous-charge (&lt;0.8)")))</f>
        <v/>
      </c>
      <c r="N123" s="14">
        <f>SI(L123&gt;=1.5; "Alléger séances / Régénération"; SI(L123&gt;=1.3; "Contrôler fatigue Hooper"; "Poursuivre programme"))</f>
        <v/>
      </c>
    </row>
    <row r="124">
      <c r="A124" s="15" t="inlineStr">
        <is>
          <t>S12</t>
        </is>
      </c>
      <c r="B124" s="21" t="n">
        <v>46080</v>
      </c>
      <c r="C124" s="15" t="inlineStr">
        <is>
          <t>S4</t>
        </is>
      </c>
      <c r="D124" s="15" t="inlineStr">
        <is>
          <t>ATH07</t>
        </is>
      </c>
      <c r="E124" s="14" t="inlineStr">
        <is>
          <t>Vendredi</t>
        </is>
      </c>
      <c r="F124" s="14" t="inlineStr">
        <is>
          <t>Collectif</t>
        </is>
      </c>
      <c r="G124" s="15" t="n">
        <v>115</v>
      </c>
      <c r="H124" s="15" t="n">
        <v>8</v>
      </c>
      <c r="I124" s="22">
        <f>G124*H124</f>
        <v/>
      </c>
      <c r="J124" s="15">
        <f>SOMME.SI.ENS(I$5:I$222; D$5:D$222; D124; C$5:C$222; C124)</f>
        <v/>
      </c>
      <c r="K124" s="23">
        <f>MAX(400; J124 * 0.85)</f>
        <v/>
      </c>
      <c r="L124" s="24">
        <f>SI(K124&gt;0; J124/K124; 1.0)</f>
        <v/>
      </c>
      <c r="M124" s="15">
        <f>SI(L124&gt;=1.5; "ZONE DANGER (&gt;1.5)"; SI(L124&gt;=1.3; "Zone Haute (1.3-1.5)"; SI(L124&gt;=0.8; "Sweet Spot (0.8-1.3)"; "Sous-charge (&lt;0.8)")))</f>
        <v/>
      </c>
      <c r="N124" s="14">
        <f>SI(L124&gt;=1.5; "Alléger séances / Régénération"; SI(L124&gt;=1.3; "Contrôler fatigue Hooper"; "Poursuivre programme"))</f>
        <v/>
      </c>
    </row>
    <row r="125">
      <c r="A125" s="15" t="inlineStr">
        <is>
          <t>S13</t>
        </is>
      </c>
      <c r="B125" s="21" t="n">
        <v>46083</v>
      </c>
      <c r="C125" s="15" t="inlineStr">
        <is>
          <t>S5</t>
        </is>
      </c>
      <c r="D125" s="15" t="inlineStr">
        <is>
          <t>ATH07</t>
        </is>
      </c>
      <c r="E125" s="14" t="inlineStr">
        <is>
          <t>Lundi</t>
        </is>
      </c>
      <c r="F125" s="14" t="inlineStr">
        <is>
          <t>Technique</t>
        </is>
      </c>
      <c r="G125" s="15" t="n">
        <v>80</v>
      </c>
      <c r="H125" s="15" t="n">
        <v>5</v>
      </c>
      <c r="I125" s="22">
        <f>G125*H125</f>
        <v/>
      </c>
      <c r="J125" s="15">
        <f>SOMME.SI.ENS(I$5:I$222; D$5:D$222; D125; C$5:C$222; C125)</f>
        <v/>
      </c>
      <c r="K125" s="23">
        <f>MAX(400; J125 * 0.85)</f>
        <v/>
      </c>
      <c r="L125" s="24">
        <f>SI(K125&gt;0; J125/K125; 1.0)</f>
        <v/>
      </c>
      <c r="M125" s="15">
        <f>SI(L125&gt;=1.5; "ZONE DANGER (&gt;1.5)"; SI(L125&gt;=1.3; "Zone Haute (1.3-1.5)"; SI(L125&gt;=0.8; "Sweet Spot (0.8-1.3)"; "Sous-charge (&lt;0.8)")))</f>
        <v/>
      </c>
      <c r="N125" s="14">
        <f>SI(L125&gt;=1.5; "Alléger séances / Régénération"; SI(L125&gt;=1.3; "Contrôler fatigue Hooper"; "Poursuivre programme"))</f>
        <v/>
      </c>
    </row>
    <row r="126">
      <c r="A126" s="15" t="inlineStr">
        <is>
          <t>S14</t>
        </is>
      </c>
      <c r="B126" s="21" t="n">
        <v>46085</v>
      </c>
      <c r="C126" s="15" t="inlineStr">
        <is>
          <t>S5</t>
        </is>
      </c>
      <c r="D126" s="15" t="inlineStr">
        <is>
          <t>ATH07</t>
        </is>
      </c>
      <c r="E126" s="14" t="inlineStr">
        <is>
          <t>Mercredi</t>
        </is>
      </c>
      <c r="F126" s="14" t="inlineStr">
        <is>
          <t>Intermittent</t>
        </is>
      </c>
      <c r="G126" s="15" t="n">
        <v>98</v>
      </c>
      <c r="H126" s="15" t="n">
        <v>10</v>
      </c>
      <c r="I126" s="22">
        <f>G126*H126</f>
        <v/>
      </c>
      <c r="J126" s="15">
        <f>SOMME.SI.ENS(I$5:I$222; D$5:D$222; D126; C$5:C$222; C126)</f>
        <v/>
      </c>
      <c r="K126" s="23">
        <f>MAX(400; J126 * 0.85)</f>
        <v/>
      </c>
      <c r="L126" s="24">
        <f>SI(K126&gt;0; J126/K126; 1.0)</f>
        <v/>
      </c>
      <c r="M126" s="15">
        <f>SI(L126&gt;=1.5; "ZONE DANGER (&gt;1.5)"; SI(L126&gt;=1.3; "Zone Haute (1.3-1.5)"; SI(L126&gt;=0.8; "Sweet Spot (0.8-1.3)"; "Sous-charge (&lt;0.8)")))</f>
        <v/>
      </c>
      <c r="N126" s="14">
        <f>SI(L126&gt;=1.5; "Alléger séances / Régénération"; SI(L126&gt;=1.3; "Contrôler fatigue Hooper"; "Poursuivre programme"))</f>
        <v/>
      </c>
    </row>
    <row r="127">
      <c r="A127" s="15" t="inlineStr">
        <is>
          <t>S15</t>
        </is>
      </c>
      <c r="B127" s="21" t="n">
        <v>46087</v>
      </c>
      <c r="C127" s="15" t="inlineStr">
        <is>
          <t>S5</t>
        </is>
      </c>
      <c r="D127" s="15" t="inlineStr">
        <is>
          <t>ATH07</t>
        </is>
      </c>
      <c r="E127" s="14" t="inlineStr">
        <is>
          <t>Vendredi</t>
        </is>
      </c>
      <c r="F127" s="14" t="inlineStr">
        <is>
          <t>Collectif</t>
        </is>
      </c>
      <c r="G127" s="15" t="n">
        <v>100</v>
      </c>
      <c r="H127" s="15" t="n">
        <v>6</v>
      </c>
      <c r="I127" s="22">
        <f>G127*H127</f>
        <v/>
      </c>
      <c r="J127" s="15">
        <f>SOMME.SI.ENS(I$5:I$222; D$5:D$222; D127; C$5:C$222; C127)</f>
        <v/>
      </c>
      <c r="K127" s="23">
        <f>MAX(400; J127 * 0.85)</f>
        <v/>
      </c>
      <c r="L127" s="24">
        <f>SI(K127&gt;0; J127/K127; 1.0)</f>
        <v/>
      </c>
      <c r="M127" s="15">
        <f>SI(L127&gt;=1.5; "ZONE DANGER (&gt;1.5)"; SI(L127&gt;=1.3; "Zone Haute (1.3-1.5)"; SI(L127&gt;=0.8; "Sweet Spot (0.8-1.3)"; "Sous-charge (&lt;0.8)")))</f>
        <v/>
      </c>
      <c r="N127" s="14">
        <f>SI(L127&gt;=1.5; "Alléger séances / Régénération"; SI(L127&gt;=1.3; "Contrôler fatigue Hooper"; "Poursuivre programme"))</f>
        <v/>
      </c>
    </row>
    <row r="128">
      <c r="A128" s="15" t="inlineStr">
        <is>
          <t>S16</t>
        </is>
      </c>
      <c r="B128" s="21" t="n">
        <v>46090</v>
      </c>
      <c r="C128" s="15" t="inlineStr">
        <is>
          <t>S6</t>
        </is>
      </c>
      <c r="D128" s="15" t="inlineStr">
        <is>
          <t>ATH07</t>
        </is>
      </c>
      <c r="E128" s="14" t="inlineStr">
        <is>
          <t>Lundi</t>
        </is>
      </c>
      <c r="F128" s="14" t="inlineStr">
        <is>
          <t>Force</t>
        </is>
      </c>
      <c r="G128" s="15" t="n">
        <v>74</v>
      </c>
      <c r="H128" s="15" t="n">
        <v>3</v>
      </c>
      <c r="I128" s="22">
        <f>G128*H128</f>
        <v/>
      </c>
      <c r="J128" s="15">
        <f>SOMME.SI.ENS(I$5:I$222; D$5:D$222; D128; C$5:C$222; C128)</f>
        <v/>
      </c>
      <c r="K128" s="23">
        <f>MAX(400; J128 * 0.85)</f>
        <v/>
      </c>
      <c r="L128" s="24">
        <f>SI(K128&gt;0; J128/K128; 1.0)</f>
        <v/>
      </c>
      <c r="M128" s="15">
        <f>SI(L128&gt;=1.5; "ZONE DANGER (&gt;1.5)"; SI(L128&gt;=1.3; "Zone Haute (1.3-1.5)"; SI(L128&gt;=0.8; "Sweet Spot (0.8-1.3)"; "Sous-charge (&lt;0.8)")))</f>
        <v/>
      </c>
      <c r="N128" s="14">
        <f>SI(L128&gt;=1.5; "Alléger séances / Régénération"; SI(L128&gt;=1.3; "Contrôler fatigue Hooper"; "Poursuivre programme"))</f>
        <v/>
      </c>
    </row>
    <row r="129">
      <c r="A129" s="15" t="inlineStr">
        <is>
          <t>S17</t>
        </is>
      </c>
      <c r="B129" s="21" t="n">
        <v>46092</v>
      </c>
      <c r="C129" s="15" t="inlineStr">
        <is>
          <t>S6</t>
        </is>
      </c>
      <c r="D129" s="15" t="inlineStr">
        <is>
          <t>ATH07</t>
        </is>
      </c>
      <c r="E129" s="14" t="inlineStr">
        <is>
          <t>Mercredi</t>
        </is>
      </c>
      <c r="F129" s="14" t="inlineStr">
        <is>
          <t>Intermittent</t>
        </is>
      </c>
      <c r="G129" s="15" t="n">
        <v>88</v>
      </c>
      <c r="H129" s="15" t="n">
        <v>8</v>
      </c>
      <c r="I129" s="22">
        <f>G129*H129</f>
        <v/>
      </c>
      <c r="J129" s="15">
        <f>SOMME.SI.ENS(I$5:I$222; D$5:D$222; D129; C$5:C$222; C129)</f>
        <v/>
      </c>
      <c r="K129" s="23">
        <f>MAX(400; J129 * 0.85)</f>
        <v/>
      </c>
      <c r="L129" s="24">
        <f>SI(K129&gt;0; J129/K129; 1.0)</f>
        <v/>
      </c>
      <c r="M129" s="15">
        <f>SI(L129&gt;=1.5; "ZONE DANGER (&gt;1.5)"; SI(L129&gt;=1.3; "Zone Haute (1.3-1.5)"; SI(L129&gt;=0.8; "Sweet Spot (0.8-1.3)"; "Sous-charge (&lt;0.8)")))</f>
        <v/>
      </c>
      <c r="N129" s="14">
        <f>SI(L129&gt;=1.5; "Alléger séances / Régénération"; SI(L129&gt;=1.3; "Contrôler fatigue Hooper"; "Poursuivre programme"))</f>
        <v/>
      </c>
    </row>
    <row r="130">
      <c r="A130" s="15" t="inlineStr">
        <is>
          <t>S18</t>
        </is>
      </c>
      <c r="B130" s="21" t="n">
        <v>46094</v>
      </c>
      <c r="C130" s="15" t="inlineStr">
        <is>
          <t>S6</t>
        </is>
      </c>
      <c r="D130" s="15" t="inlineStr">
        <is>
          <t>ATH07</t>
        </is>
      </c>
      <c r="E130" s="14" t="inlineStr">
        <is>
          <t>Vendredi</t>
        </is>
      </c>
      <c r="F130" s="14" t="inlineStr">
        <is>
          <t>Collectif</t>
        </is>
      </c>
      <c r="G130" s="15" t="n">
        <v>99</v>
      </c>
      <c r="H130" s="15" t="n">
        <v>6</v>
      </c>
      <c r="I130" s="22">
        <f>G130*H130</f>
        <v/>
      </c>
      <c r="J130" s="15">
        <f>SOMME.SI.ENS(I$5:I$222; D$5:D$222; D130; C$5:C$222; C130)</f>
        <v/>
      </c>
      <c r="K130" s="23">
        <f>MAX(400; J130 * 0.85)</f>
        <v/>
      </c>
      <c r="L130" s="24">
        <f>SI(K130&gt;0; J130/K130; 1.0)</f>
        <v/>
      </c>
      <c r="M130" s="15">
        <f>SI(L130&gt;=1.5; "ZONE DANGER (&gt;1.5)"; SI(L130&gt;=1.3; "Zone Haute (1.3-1.5)"; SI(L130&gt;=0.8; "Sweet Spot (0.8-1.3)"; "Sous-charge (&lt;0.8)")))</f>
        <v/>
      </c>
      <c r="N130" s="14">
        <f>SI(L130&gt;=1.5; "Alléger séances / Régénération"; SI(L130&gt;=1.3; "Contrôler fatigue Hooper"; "Poursuivre programme"))</f>
        <v/>
      </c>
    </row>
    <row r="131">
      <c r="A131" s="15" t="inlineStr">
        <is>
          <t>S01</t>
        </is>
      </c>
      <c r="B131" s="21" t="n">
        <v>46055</v>
      </c>
      <c r="C131" s="15" t="inlineStr">
        <is>
          <t>S1</t>
        </is>
      </c>
      <c r="D131" s="15" t="inlineStr">
        <is>
          <t>ATH08</t>
        </is>
      </c>
      <c r="E131" s="14" t="inlineStr">
        <is>
          <t>Lundi</t>
        </is>
      </c>
      <c r="F131" s="14" t="inlineStr">
        <is>
          <t>Technique</t>
        </is>
      </c>
      <c r="G131" s="15" t="n">
        <v>77</v>
      </c>
      <c r="H131" s="15" t="n">
        <v>5</v>
      </c>
      <c r="I131" s="22">
        <f>G131*H131</f>
        <v/>
      </c>
      <c r="J131" s="15">
        <f>SOMME.SI.ENS(I$5:I$222; D$5:D$222; D131; C$5:C$222; C131)</f>
        <v/>
      </c>
      <c r="K131" s="23">
        <f>MAX(400; J131 * 0.85)</f>
        <v/>
      </c>
      <c r="L131" s="24">
        <f>SI(K131&gt;0; J131/K131; 1.0)</f>
        <v/>
      </c>
      <c r="M131" s="15">
        <f>SI(L131&gt;=1.5; "ZONE DANGER (&gt;1.5)"; SI(L131&gt;=1.3; "Zone Haute (1.3-1.5)"; SI(L131&gt;=0.8; "Sweet Spot (0.8-1.3)"; "Sous-charge (&lt;0.8)")))</f>
        <v/>
      </c>
      <c r="N131" s="14">
        <f>SI(L131&gt;=1.5; "Alléger séances / Régénération"; SI(L131&gt;=1.3; "Contrôler fatigue Hooper"; "Poursuivre programme"))</f>
        <v/>
      </c>
    </row>
    <row r="132">
      <c r="A132" s="15" t="inlineStr">
        <is>
          <t>S02</t>
        </is>
      </c>
      <c r="B132" s="21" t="n">
        <v>46057</v>
      </c>
      <c r="C132" s="15" t="inlineStr">
        <is>
          <t>S1</t>
        </is>
      </c>
      <c r="D132" s="15" t="inlineStr">
        <is>
          <t>ATH08</t>
        </is>
      </c>
      <c r="E132" s="14" t="inlineStr">
        <is>
          <t>Mercredi</t>
        </is>
      </c>
      <c r="F132" s="14" t="inlineStr">
        <is>
          <t>Intermittent</t>
        </is>
      </c>
      <c r="G132" s="15" t="n">
        <v>90</v>
      </c>
      <c r="H132" s="15" t="n">
        <v>6</v>
      </c>
      <c r="I132" s="22">
        <f>G132*H132</f>
        <v/>
      </c>
      <c r="J132" s="15">
        <f>SOMME.SI.ENS(I$5:I$222; D$5:D$222; D132; C$5:C$222; C132)</f>
        <v/>
      </c>
      <c r="K132" s="23">
        <f>MAX(400; J132 * 0.85)</f>
        <v/>
      </c>
      <c r="L132" s="24">
        <f>SI(K132&gt;0; J132/K132; 1.0)</f>
        <v/>
      </c>
      <c r="M132" s="15">
        <f>SI(L132&gt;=1.5; "ZONE DANGER (&gt;1.5)"; SI(L132&gt;=1.3; "Zone Haute (1.3-1.5)"; SI(L132&gt;=0.8; "Sweet Spot (0.8-1.3)"; "Sous-charge (&lt;0.8)")))</f>
        <v/>
      </c>
      <c r="N132" s="14">
        <f>SI(L132&gt;=1.5; "Alléger séances / Régénération"; SI(L132&gt;=1.3; "Contrôler fatigue Hooper"; "Poursuivre programme"))</f>
        <v/>
      </c>
    </row>
    <row r="133">
      <c r="A133" s="15" t="inlineStr">
        <is>
          <t>S03</t>
        </is>
      </c>
      <c r="B133" s="21" t="n">
        <v>46059</v>
      </c>
      <c r="C133" s="15" t="inlineStr">
        <is>
          <t>S1</t>
        </is>
      </c>
      <c r="D133" s="15" t="inlineStr">
        <is>
          <t>ATH08</t>
        </is>
      </c>
      <c r="E133" s="14" t="inlineStr">
        <is>
          <t>Vendredi</t>
        </is>
      </c>
      <c r="F133" s="14" t="inlineStr">
        <is>
          <t>Collectif</t>
        </is>
      </c>
      <c r="G133" s="15" t="n">
        <v>105</v>
      </c>
      <c r="H133" s="15" t="n">
        <v>6</v>
      </c>
      <c r="I133" s="22">
        <f>G133*H133</f>
        <v/>
      </c>
      <c r="J133" s="15">
        <f>SOMME.SI.ENS(I$5:I$222; D$5:D$222; D133; C$5:C$222; C133)</f>
        <v/>
      </c>
      <c r="K133" s="23">
        <f>MAX(400; J133 * 0.85)</f>
        <v/>
      </c>
      <c r="L133" s="24">
        <f>SI(K133&gt;0; J133/K133; 1.0)</f>
        <v/>
      </c>
      <c r="M133" s="15">
        <f>SI(L133&gt;=1.5; "ZONE DANGER (&gt;1.5)"; SI(L133&gt;=1.3; "Zone Haute (1.3-1.5)"; SI(L133&gt;=0.8; "Sweet Spot (0.8-1.3)"; "Sous-charge (&lt;0.8)")))</f>
        <v/>
      </c>
      <c r="N133" s="14">
        <f>SI(L133&gt;=1.5; "Alléger séances / Régénération"; SI(L133&gt;=1.3; "Contrôler fatigue Hooper"; "Poursuivre programme"))</f>
        <v/>
      </c>
    </row>
    <row r="134">
      <c r="A134" s="15" t="inlineStr">
        <is>
          <t>S04</t>
        </is>
      </c>
      <c r="B134" s="21" t="n">
        <v>46062</v>
      </c>
      <c r="C134" s="15" t="inlineStr">
        <is>
          <t>S2</t>
        </is>
      </c>
      <c r="D134" s="15" t="inlineStr">
        <is>
          <t>ATH08</t>
        </is>
      </c>
      <c r="E134" s="14" t="inlineStr">
        <is>
          <t>Lundi</t>
        </is>
      </c>
      <c r="F134" s="14" t="inlineStr">
        <is>
          <t>Force</t>
        </is>
      </c>
      <c r="G134" s="15" t="n">
        <v>75</v>
      </c>
      <c r="H134" s="15" t="n">
        <v>6</v>
      </c>
      <c r="I134" s="22">
        <f>G134*H134</f>
        <v/>
      </c>
      <c r="J134" s="15">
        <f>SOMME.SI.ENS(I$5:I$222; D$5:D$222; D134; C$5:C$222; C134)</f>
        <v/>
      </c>
      <c r="K134" s="23">
        <f>MAX(400; J134 * 0.85)</f>
        <v/>
      </c>
      <c r="L134" s="24">
        <f>SI(K134&gt;0; J134/K134; 1.0)</f>
        <v/>
      </c>
      <c r="M134" s="15">
        <f>SI(L134&gt;=1.5; "ZONE DANGER (&gt;1.5)"; SI(L134&gt;=1.3; "Zone Haute (1.3-1.5)"; SI(L134&gt;=0.8; "Sweet Spot (0.8-1.3)"; "Sous-charge (&lt;0.8)")))</f>
        <v/>
      </c>
      <c r="N134" s="14">
        <f>SI(L134&gt;=1.5; "Alléger séances / Régénération"; SI(L134&gt;=1.3; "Contrôler fatigue Hooper"; "Poursuivre programme"))</f>
        <v/>
      </c>
    </row>
    <row r="135">
      <c r="A135" s="15" t="inlineStr">
        <is>
          <t>S05</t>
        </is>
      </c>
      <c r="B135" s="21" t="n">
        <v>46064</v>
      </c>
      <c r="C135" s="15" t="inlineStr">
        <is>
          <t>S2</t>
        </is>
      </c>
      <c r="D135" s="15" t="inlineStr">
        <is>
          <t>ATH08</t>
        </is>
      </c>
      <c r="E135" s="14" t="inlineStr">
        <is>
          <t>Mercredi</t>
        </is>
      </c>
      <c r="F135" s="14" t="inlineStr">
        <is>
          <t>Intermittent</t>
        </is>
      </c>
      <c r="G135" s="15" t="n">
        <v>90</v>
      </c>
      <c r="H135" s="15" t="n">
        <v>7</v>
      </c>
      <c r="I135" s="22">
        <f>G135*H135</f>
        <v/>
      </c>
      <c r="J135" s="15">
        <f>SOMME.SI.ENS(I$5:I$222; D$5:D$222; D135; C$5:C$222; C135)</f>
        <v/>
      </c>
      <c r="K135" s="23">
        <f>MAX(400; J135 * 0.85)</f>
        <v/>
      </c>
      <c r="L135" s="24">
        <f>SI(K135&gt;0; J135/K135; 1.0)</f>
        <v/>
      </c>
      <c r="M135" s="15">
        <f>SI(L135&gt;=1.5; "ZONE DANGER (&gt;1.5)"; SI(L135&gt;=1.3; "Zone Haute (1.3-1.5)"; SI(L135&gt;=0.8; "Sweet Spot (0.8-1.3)"; "Sous-charge (&lt;0.8)")))</f>
        <v/>
      </c>
      <c r="N135" s="14">
        <f>SI(L135&gt;=1.5; "Alléger séances / Régénération"; SI(L135&gt;=1.3; "Contrôler fatigue Hooper"; "Poursuivre programme"))</f>
        <v/>
      </c>
    </row>
    <row r="136">
      <c r="A136" s="15" t="inlineStr">
        <is>
          <t>S06</t>
        </is>
      </c>
      <c r="B136" s="21" t="n">
        <v>46066</v>
      </c>
      <c r="C136" s="15" t="inlineStr">
        <is>
          <t>S2</t>
        </is>
      </c>
      <c r="D136" s="15" t="inlineStr">
        <is>
          <t>ATH08</t>
        </is>
      </c>
      <c r="E136" s="14" t="inlineStr">
        <is>
          <t>Vendredi</t>
        </is>
      </c>
      <c r="F136" s="14" t="inlineStr">
        <is>
          <t>Collectif</t>
        </is>
      </c>
      <c r="G136" s="15" t="n">
        <v>105</v>
      </c>
      <c r="H136" s="15" t="n">
        <v>7</v>
      </c>
      <c r="I136" s="22">
        <f>G136*H136</f>
        <v/>
      </c>
      <c r="J136" s="15">
        <f>SOMME.SI.ENS(I$5:I$222; D$5:D$222; D136; C$5:C$222; C136)</f>
        <v/>
      </c>
      <c r="K136" s="23">
        <f>MAX(400; J136 * 0.85)</f>
        <v/>
      </c>
      <c r="L136" s="24">
        <f>SI(K136&gt;0; J136/K136; 1.0)</f>
        <v/>
      </c>
      <c r="M136" s="15">
        <f>SI(L136&gt;=1.5; "ZONE DANGER (&gt;1.5)"; SI(L136&gt;=1.3; "Zone Haute (1.3-1.5)"; SI(L136&gt;=0.8; "Sweet Spot (0.8-1.3)"; "Sous-charge (&lt;0.8)")))</f>
        <v/>
      </c>
      <c r="N136" s="14">
        <f>SI(L136&gt;=1.5; "Alléger séances / Régénération"; SI(L136&gt;=1.3; "Contrôler fatigue Hooper"; "Poursuivre programme"))</f>
        <v/>
      </c>
    </row>
    <row r="137">
      <c r="A137" s="15" t="inlineStr">
        <is>
          <t>S07</t>
        </is>
      </c>
      <c r="B137" s="21" t="n">
        <v>46069</v>
      </c>
      <c r="C137" s="15" t="inlineStr">
        <is>
          <t>S3</t>
        </is>
      </c>
      <c r="D137" s="15" t="inlineStr">
        <is>
          <t>ATH08</t>
        </is>
      </c>
      <c r="E137" s="14" t="inlineStr">
        <is>
          <t>Lundi</t>
        </is>
      </c>
      <c r="F137" s="14" t="inlineStr">
        <is>
          <t>Technique</t>
        </is>
      </c>
      <c r="G137" s="15" t="n">
        <v>80</v>
      </c>
      <c r="H137" s="15" t="n">
        <v>5</v>
      </c>
      <c r="I137" s="22">
        <f>G137*H137</f>
        <v/>
      </c>
      <c r="J137" s="15">
        <f>SOMME.SI.ENS(I$5:I$222; D$5:D$222; D137; C$5:C$222; C137)</f>
        <v/>
      </c>
      <c r="K137" s="23">
        <f>MAX(400; J137 * 0.85)</f>
        <v/>
      </c>
      <c r="L137" s="24">
        <f>SI(K137&gt;0; J137/K137; 1.0)</f>
        <v/>
      </c>
      <c r="M137" s="15">
        <f>SI(L137&gt;=1.5; "ZONE DANGER (&gt;1.5)"; SI(L137&gt;=1.3; "Zone Haute (1.3-1.5)"; SI(L137&gt;=0.8; "Sweet Spot (0.8-1.3)"; "Sous-charge (&lt;0.8)")))</f>
        <v/>
      </c>
      <c r="N137" s="14">
        <f>SI(L137&gt;=1.5; "Alléger séances / Régénération"; SI(L137&gt;=1.3; "Contrôler fatigue Hooper"; "Poursuivre programme"))</f>
        <v/>
      </c>
    </row>
    <row r="138">
      <c r="A138" s="15" t="inlineStr">
        <is>
          <t>S08</t>
        </is>
      </c>
      <c r="B138" s="21" t="n">
        <v>46071</v>
      </c>
      <c r="C138" s="15" t="inlineStr">
        <is>
          <t>S3</t>
        </is>
      </c>
      <c r="D138" s="15" t="inlineStr">
        <is>
          <t>ATH08</t>
        </is>
      </c>
      <c r="E138" s="14" t="inlineStr">
        <is>
          <t>Mercredi</t>
        </is>
      </c>
      <c r="F138" s="14" t="inlineStr">
        <is>
          <t>Intermittent</t>
        </is>
      </c>
      <c r="G138" s="15" t="n">
        <v>94</v>
      </c>
      <c r="H138" s="15" t="n">
        <v>6</v>
      </c>
      <c r="I138" s="22">
        <f>G138*H138</f>
        <v/>
      </c>
      <c r="J138" s="15">
        <f>SOMME.SI.ENS(I$5:I$222; D$5:D$222; D138; C$5:C$222; C138)</f>
        <v/>
      </c>
      <c r="K138" s="23">
        <f>MAX(400; J138 * 0.85)</f>
        <v/>
      </c>
      <c r="L138" s="24">
        <f>SI(K138&gt;0; J138/K138; 1.0)</f>
        <v/>
      </c>
      <c r="M138" s="15">
        <f>SI(L138&gt;=1.5; "ZONE DANGER (&gt;1.5)"; SI(L138&gt;=1.3; "Zone Haute (1.3-1.5)"; SI(L138&gt;=0.8; "Sweet Spot (0.8-1.3)"; "Sous-charge (&lt;0.8)")))</f>
        <v/>
      </c>
      <c r="N138" s="14">
        <f>SI(L138&gt;=1.5; "Alléger séances / Régénération"; SI(L138&gt;=1.3; "Contrôler fatigue Hooper"; "Poursuivre programme"))</f>
        <v/>
      </c>
    </row>
    <row r="139">
      <c r="A139" s="15" t="inlineStr">
        <is>
          <t>S09</t>
        </is>
      </c>
      <c r="B139" s="21" t="n">
        <v>46073</v>
      </c>
      <c r="C139" s="15" t="inlineStr">
        <is>
          <t>S3</t>
        </is>
      </c>
      <c r="D139" s="15" t="inlineStr">
        <is>
          <t>ATH08</t>
        </is>
      </c>
      <c r="E139" s="14" t="inlineStr">
        <is>
          <t>Vendredi</t>
        </is>
      </c>
      <c r="F139" s="14" t="inlineStr">
        <is>
          <t>Collectif</t>
        </is>
      </c>
      <c r="G139" s="15" t="n">
        <v>104</v>
      </c>
      <c r="H139" s="15" t="n">
        <v>6</v>
      </c>
      <c r="I139" s="22">
        <f>G139*H139</f>
        <v/>
      </c>
      <c r="J139" s="15">
        <f>SOMME.SI.ENS(I$5:I$222; D$5:D$222; D139; C$5:C$222; C139)</f>
        <v/>
      </c>
      <c r="K139" s="23">
        <f>MAX(400; J139 * 0.85)</f>
        <v/>
      </c>
      <c r="L139" s="24">
        <f>SI(K139&gt;0; J139/K139; 1.0)</f>
        <v/>
      </c>
      <c r="M139" s="15">
        <f>SI(L139&gt;=1.5; "ZONE DANGER (&gt;1.5)"; SI(L139&gt;=1.3; "Zone Haute (1.3-1.5)"; SI(L139&gt;=0.8; "Sweet Spot (0.8-1.3)"; "Sous-charge (&lt;0.8)")))</f>
        <v/>
      </c>
      <c r="N139" s="14">
        <f>SI(L139&gt;=1.5; "Alléger séances / Régénération"; SI(L139&gt;=1.3; "Contrôler fatigue Hooper"; "Poursuivre programme"))</f>
        <v/>
      </c>
    </row>
    <row r="140">
      <c r="A140" s="15" t="inlineStr">
        <is>
          <t>S10</t>
        </is>
      </c>
      <c r="B140" s="21" t="n">
        <v>46076</v>
      </c>
      <c r="C140" s="15" t="inlineStr">
        <is>
          <t>S4</t>
        </is>
      </c>
      <c r="D140" s="15" t="inlineStr">
        <is>
          <t>ATH08</t>
        </is>
      </c>
      <c r="E140" s="14" t="inlineStr">
        <is>
          <t>Lundi</t>
        </is>
      </c>
      <c r="F140" s="14" t="inlineStr">
        <is>
          <t>Force</t>
        </is>
      </c>
      <c r="G140" s="15" t="n">
        <v>65</v>
      </c>
      <c r="H140" s="15" t="n">
        <v>5</v>
      </c>
      <c r="I140" s="22">
        <f>G140*H140</f>
        <v/>
      </c>
      <c r="J140" s="15">
        <f>SOMME.SI.ENS(I$5:I$222; D$5:D$222; D140; C$5:C$222; C140)</f>
        <v/>
      </c>
      <c r="K140" s="23">
        <f>MAX(400; J140 * 0.85)</f>
        <v/>
      </c>
      <c r="L140" s="24">
        <f>SI(K140&gt;0; J140/K140; 1.0)</f>
        <v/>
      </c>
      <c r="M140" s="15">
        <f>SI(L140&gt;=1.5; "ZONE DANGER (&gt;1.5)"; SI(L140&gt;=1.3; "Zone Haute (1.3-1.5)"; SI(L140&gt;=0.8; "Sweet Spot (0.8-1.3)"; "Sous-charge (&lt;0.8)")))</f>
        <v/>
      </c>
      <c r="N140" s="14">
        <f>SI(L140&gt;=1.5; "Alléger séances / Régénération"; SI(L140&gt;=1.3; "Contrôler fatigue Hooper"; "Poursuivre programme"))</f>
        <v/>
      </c>
    </row>
    <row r="141">
      <c r="A141" s="15" t="inlineStr">
        <is>
          <t>S11</t>
        </is>
      </c>
      <c r="B141" s="21" t="n">
        <v>46078</v>
      </c>
      <c r="C141" s="15" t="inlineStr">
        <is>
          <t>S4</t>
        </is>
      </c>
      <c r="D141" s="15" t="inlineStr">
        <is>
          <t>ATH08</t>
        </is>
      </c>
      <c r="E141" s="14" t="inlineStr">
        <is>
          <t>Mercredi</t>
        </is>
      </c>
      <c r="F141" s="14" t="inlineStr">
        <is>
          <t>Intermittent</t>
        </is>
      </c>
      <c r="G141" s="15" t="n">
        <v>0</v>
      </c>
      <c r="H141" s="15" t="n">
        <v>0</v>
      </c>
      <c r="I141" s="22">
        <f>G141*H141</f>
        <v/>
      </c>
      <c r="J141" s="15">
        <f>SOMME.SI.ENS(I$5:I$222; D$5:D$222; D141; C$5:C$222; C141)</f>
        <v/>
      </c>
      <c r="K141" s="23">
        <f>MAX(400; J141 * 0.85)</f>
        <v/>
      </c>
      <c r="L141" s="24">
        <f>SI(K141&gt;0; J141/K141; 1.0)</f>
        <v/>
      </c>
      <c r="M141" s="15">
        <f>SI(L141&gt;=1.5; "ZONE DANGER (&gt;1.5)"; SI(L141&gt;=1.3; "Zone Haute (1.3-1.5)"; SI(L141&gt;=0.8; "Sweet Spot (0.8-1.3)"; "Sous-charge (&lt;0.8)")))</f>
        <v/>
      </c>
      <c r="N141" s="14">
        <f>SI(L141&gt;=1.5; "Alléger séances / Régénération"; SI(L141&gt;=1.3; "Contrôler fatigue Hooper"; "Poursuivre programme"))</f>
        <v/>
      </c>
    </row>
    <row r="142">
      <c r="A142" s="15" t="inlineStr">
        <is>
          <t>S12</t>
        </is>
      </c>
      <c r="B142" s="21" t="n">
        <v>46080</v>
      </c>
      <c r="C142" s="15" t="inlineStr">
        <is>
          <t>S4</t>
        </is>
      </c>
      <c r="D142" s="15" t="inlineStr">
        <is>
          <t>ATH08</t>
        </is>
      </c>
      <c r="E142" s="14" t="inlineStr">
        <is>
          <t>Vendredi</t>
        </is>
      </c>
      <c r="F142" s="14" t="inlineStr">
        <is>
          <t>Collectif</t>
        </is>
      </c>
      <c r="G142" s="15" t="n">
        <v>113</v>
      </c>
      <c r="H142" s="15" t="n">
        <v>7</v>
      </c>
      <c r="I142" s="22">
        <f>G142*H142</f>
        <v/>
      </c>
      <c r="J142" s="15">
        <f>SOMME.SI.ENS(I$5:I$222; D$5:D$222; D142; C$5:C$222; C142)</f>
        <v/>
      </c>
      <c r="K142" s="23">
        <f>MAX(400; J142 * 0.85)</f>
        <v/>
      </c>
      <c r="L142" s="24">
        <f>SI(K142&gt;0; J142/K142; 1.0)</f>
        <v/>
      </c>
      <c r="M142" s="15">
        <f>SI(L142&gt;=1.5; "ZONE DANGER (&gt;1.5)"; SI(L142&gt;=1.3; "Zone Haute (1.3-1.5)"; SI(L142&gt;=0.8; "Sweet Spot (0.8-1.3)"; "Sous-charge (&lt;0.8)")))</f>
        <v/>
      </c>
      <c r="N142" s="14">
        <f>SI(L142&gt;=1.5; "Alléger séances / Régénération"; SI(L142&gt;=1.3; "Contrôler fatigue Hooper"; "Poursuivre programme"))</f>
        <v/>
      </c>
    </row>
    <row r="143">
      <c r="A143" s="15" t="inlineStr">
        <is>
          <t>S13</t>
        </is>
      </c>
      <c r="B143" s="21" t="n">
        <v>46083</v>
      </c>
      <c r="C143" s="15" t="inlineStr">
        <is>
          <t>S5</t>
        </is>
      </c>
      <c r="D143" s="15" t="inlineStr">
        <is>
          <t>ATH08</t>
        </is>
      </c>
      <c r="E143" s="14" t="inlineStr">
        <is>
          <t>Lundi</t>
        </is>
      </c>
      <c r="F143" s="14" t="inlineStr">
        <is>
          <t>Technique</t>
        </is>
      </c>
      <c r="G143" s="15" t="n">
        <v>78</v>
      </c>
      <c r="H143" s="15" t="n">
        <v>6</v>
      </c>
      <c r="I143" s="22">
        <f>G143*H143</f>
        <v/>
      </c>
      <c r="J143" s="15">
        <f>SOMME.SI.ENS(I$5:I$222; D$5:D$222; D143; C$5:C$222; C143)</f>
        <v/>
      </c>
      <c r="K143" s="23">
        <f>MAX(400; J143 * 0.85)</f>
        <v/>
      </c>
      <c r="L143" s="24">
        <f>SI(K143&gt;0; J143/K143; 1.0)</f>
        <v/>
      </c>
      <c r="M143" s="15">
        <f>SI(L143&gt;=1.5; "ZONE DANGER (&gt;1.5)"; SI(L143&gt;=1.3; "Zone Haute (1.3-1.5)"; SI(L143&gt;=0.8; "Sweet Spot (0.8-1.3)"; "Sous-charge (&lt;0.8)")))</f>
        <v/>
      </c>
      <c r="N143" s="14">
        <f>SI(L143&gt;=1.5; "Alléger séances / Régénération"; SI(L143&gt;=1.3; "Contrôler fatigue Hooper"; "Poursuivre programme"))</f>
        <v/>
      </c>
    </row>
    <row r="144">
      <c r="A144" s="15" t="inlineStr">
        <is>
          <t>S14</t>
        </is>
      </c>
      <c r="B144" s="21" t="n">
        <v>46085</v>
      </c>
      <c r="C144" s="15" t="inlineStr">
        <is>
          <t>S5</t>
        </is>
      </c>
      <c r="D144" s="15" t="inlineStr">
        <is>
          <t>ATH08</t>
        </is>
      </c>
      <c r="E144" s="14" t="inlineStr">
        <is>
          <t>Mercredi</t>
        </is>
      </c>
      <c r="F144" s="14" t="inlineStr">
        <is>
          <t>Intermittent</t>
        </is>
      </c>
      <c r="G144" s="15" t="n">
        <v>94</v>
      </c>
      <c r="H144" s="15" t="n">
        <v>9</v>
      </c>
      <c r="I144" s="22">
        <f>G144*H144</f>
        <v/>
      </c>
      <c r="J144" s="15">
        <f>SOMME.SI.ENS(I$5:I$222; D$5:D$222; D144; C$5:C$222; C144)</f>
        <v/>
      </c>
      <c r="K144" s="23">
        <f>MAX(400; J144 * 0.85)</f>
        <v/>
      </c>
      <c r="L144" s="24">
        <f>SI(K144&gt;0; J144/K144; 1.0)</f>
        <v/>
      </c>
      <c r="M144" s="15">
        <f>SI(L144&gt;=1.5; "ZONE DANGER (&gt;1.5)"; SI(L144&gt;=1.3; "Zone Haute (1.3-1.5)"; SI(L144&gt;=0.8; "Sweet Spot (0.8-1.3)"; "Sous-charge (&lt;0.8)")))</f>
        <v/>
      </c>
      <c r="N144" s="14">
        <f>SI(L144&gt;=1.5; "Alléger séances / Régénération"; SI(L144&gt;=1.3; "Contrôler fatigue Hooper"; "Poursuivre programme"))</f>
        <v/>
      </c>
    </row>
    <row r="145">
      <c r="A145" s="15" t="inlineStr">
        <is>
          <t>S15</t>
        </is>
      </c>
      <c r="B145" s="21" t="n">
        <v>46087</v>
      </c>
      <c r="C145" s="15" t="inlineStr">
        <is>
          <t>S5</t>
        </is>
      </c>
      <c r="D145" s="15" t="inlineStr">
        <is>
          <t>ATH08</t>
        </is>
      </c>
      <c r="E145" s="14" t="inlineStr">
        <is>
          <t>Vendredi</t>
        </is>
      </c>
      <c r="F145" s="14" t="inlineStr">
        <is>
          <t>Collectif</t>
        </is>
      </c>
      <c r="G145" s="15" t="n">
        <v>109</v>
      </c>
      <c r="H145" s="15" t="n">
        <v>6</v>
      </c>
      <c r="I145" s="22">
        <f>G145*H145</f>
        <v/>
      </c>
      <c r="J145" s="15">
        <f>SOMME.SI.ENS(I$5:I$222; D$5:D$222; D145; C$5:C$222; C145)</f>
        <v/>
      </c>
      <c r="K145" s="23">
        <f>MAX(400; J145 * 0.85)</f>
        <v/>
      </c>
      <c r="L145" s="24">
        <f>SI(K145&gt;0; J145/K145; 1.0)</f>
        <v/>
      </c>
      <c r="M145" s="15">
        <f>SI(L145&gt;=1.5; "ZONE DANGER (&gt;1.5)"; SI(L145&gt;=1.3; "Zone Haute (1.3-1.5)"; SI(L145&gt;=0.8; "Sweet Spot (0.8-1.3)"; "Sous-charge (&lt;0.8)")))</f>
        <v/>
      </c>
      <c r="N145" s="14">
        <f>SI(L145&gt;=1.5; "Alléger séances / Régénération"; SI(L145&gt;=1.3; "Contrôler fatigue Hooper"; "Poursuivre programme"))</f>
        <v/>
      </c>
    </row>
    <row r="146">
      <c r="A146" s="15" t="inlineStr">
        <is>
          <t>S16</t>
        </is>
      </c>
      <c r="B146" s="21" t="n">
        <v>46090</v>
      </c>
      <c r="C146" s="15" t="inlineStr">
        <is>
          <t>S6</t>
        </is>
      </c>
      <c r="D146" s="15" t="inlineStr">
        <is>
          <t>ATH08</t>
        </is>
      </c>
      <c r="E146" s="14" t="inlineStr">
        <is>
          <t>Lundi</t>
        </is>
      </c>
      <c r="F146" s="14" t="inlineStr">
        <is>
          <t>Force</t>
        </is>
      </c>
      <c r="G146" s="15" t="n">
        <v>72</v>
      </c>
      <c r="H146" s="15" t="n">
        <v>5</v>
      </c>
      <c r="I146" s="22">
        <f>G146*H146</f>
        <v/>
      </c>
      <c r="J146" s="15">
        <f>SOMME.SI.ENS(I$5:I$222; D$5:D$222; D146; C$5:C$222; C146)</f>
        <v/>
      </c>
      <c r="K146" s="23">
        <f>MAX(400; J146 * 0.85)</f>
        <v/>
      </c>
      <c r="L146" s="24">
        <f>SI(K146&gt;0; J146/K146; 1.0)</f>
        <v/>
      </c>
      <c r="M146" s="15">
        <f>SI(L146&gt;=1.5; "ZONE DANGER (&gt;1.5)"; SI(L146&gt;=1.3; "Zone Haute (1.3-1.5)"; SI(L146&gt;=0.8; "Sweet Spot (0.8-1.3)"; "Sous-charge (&lt;0.8)")))</f>
        <v/>
      </c>
      <c r="N146" s="14">
        <f>SI(L146&gt;=1.5; "Alléger séances / Régénération"; SI(L146&gt;=1.3; "Contrôler fatigue Hooper"; "Poursuivre programme"))</f>
        <v/>
      </c>
    </row>
    <row r="147">
      <c r="A147" s="15" t="inlineStr">
        <is>
          <t>S17</t>
        </is>
      </c>
      <c r="B147" s="21" t="n">
        <v>46092</v>
      </c>
      <c r="C147" s="15" t="inlineStr">
        <is>
          <t>S6</t>
        </is>
      </c>
      <c r="D147" s="15" t="inlineStr">
        <is>
          <t>ATH08</t>
        </is>
      </c>
      <c r="E147" s="14" t="inlineStr">
        <is>
          <t>Mercredi</t>
        </is>
      </c>
      <c r="F147" s="14" t="inlineStr">
        <is>
          <t>Intermittent</t>
        </is>
      </c>
      <c r="G147" s="15" t="n">
        <v>85</v>
      </c>
      <c r="H147" s="15" t="n">
        <v>4</v>
      </c>
      <c r="I147" s="22">
        <f>G147*H147</f>
        <v/>
      </c>
      <c r="J147" s="15">
        <f>SOMME.SI.ENS(I$5:I$222; D$5:D$222; D147; C$5:C$222; C147)</f>
        <v/>
      </c>
      <c r="K147" s="23">
        <f>MAX(400; J147 * 0.85)</f>
        <v/>
      </c>
      <c r="L147" s="24">
        <f>SI(K147&gt;0; J147/K147; 1.0)</f>
        <v/>
      </c>
      <c r="M147" s="15">
        <f>SI(L147&gt;=1.5; "ZONE DANGER (&gt;1.5)"; SI(L147&gt;=1.3; "Zone Haute (1.3-1.5)"; SI(L147&gt;=0.8; "Sweet Spot (0.8-1.3)"; "Sous-charge (&lt;0.8)")))</f>
        <v/>
      </c>
      <c r="N147" s="14">
        <f>SI(L147&gt;=1.5; "Alléger séances / Régénération"; SI(L147&gt;=1.3; "Contrôler fatigue Hooper"; "Poursuivre programme"))</f>
        <v/>
      </c>
    </row>
    <row r="148">
      <c r="A148" s="15" t="inlineStr">
        <is>
          <t>S18</t>
        </is>
      </c>
      <c r="B148" s="21" t="n">
        <v>46094</v>
      </c>
      <c r="C148" s="15" t="inlineStr">
        <is>
          <t>S6</t>
        </is>
      </c>
      <c r="D148" s="15" t="inlineStr">
        <is>
          <t>ATH08</t>
        </is>
      </c>
      <c r="E148" s="14" t="inlineStr">
        <is>
          <t>Vendredi</t>
        </is>
      </c>
      <c r="F148" s="14" t="inlineStr">
        <is>
          <t>Collectif</t>
        </is>
      </c>
      <c r="G148" s="15" t="n">
        <v>99</v>
      </c>
      <c r="H148" s="15" t="n">
        <v>4</v>
      </c>
      <c r="I148" s="22">
        <f>G148*H148</f>
        <v/>
      </c>
      <c r="J148" s="15">
        <f>SOMME.SI.ENS(I$5:I$222; D$5:D$222; D148; C$5:C$222; C148)</f>
        <v/>
      </c>
      <c r="K148" s="23">
        <f>MAX(400; J148 * 0.85)</f>
        <v/>
      </c>
      <c r="L148" s="24">
        <f>SI(K148&gt;0; J148/K148; 1.0)</f>
        <v/>
      </c>
      <c r="M148" s="15">
        <f>SI(L148&gt;=1.5; "ZONE DANGER (&gt;1.5)"; SI(L148&gt;=1.3; "Zone Haute (1.3-1.5)"; SI(L148&gt;=0.8; "Sweet Spot (0.8-1.3)"; "Sous-charge (&lt;0.8)")))</f>
        <v/>
      </c>
      <c r="N148" s="14">
        <f>SI(L148&gt;=1.5; "Alléger séances / Régénération"; SI(L148&gt;=1.3; "Contrôler fatigue Hooper"; "Poursuivre programme"))</f>
        <v/>
      </c>
    </row>
    <row r="149">
      <c r="A149" s="15" t="inlineStr">
        <is>
          <t>S01</t>
        </is>
      </c>
      <c r="B149" s="21" t="n">
        <v>46055</v>
      </c>
      <c r="C149" s="15" t="inlineStr">
        <is>
          <t>S1</t>
        </is>
      </c>
      <c r="D149" s="15" t="inlineStr">
        <is>
          <t>ATH09</t>
        </is>
      </c>
      <c r="E149" s="14" t="inlineStr">
        <is>
          <t>Lundi</t>
        </is>
      </c>
      <c r="F149" s="14" t="inlineStr">
        <is>
          <t>Technique</t>
        </is>
      </c>
      <c r="G149" s="15" t="n">
        <v>79</v>
      </c>
      <c r="H149" s="15" t="n">
        <v>4</v>
      </c>
      <c r="I149" s="22">
        <f>G149*H149</f>
        <v/>
      </c>
      <c r="J149" s="15">
        <f>SOMME.SI.ENS(I$5:I$222; D$5:D$222; D149; C$5:C$222; C149)</f>
        <v/>
      </c>
      <c r="K149" s="23">
        <f>MAX(400; J149 * 0.85)</f>
        <v/>
      </c>
      <c r="L149" s="24">
        <f>SI(K149&gt;0; J149/K149; 1.0)</f>
        <v/>
      </c>
      <c r="M149" s="15">
        <f>SI(L149&gt;=1.5; "ZONE DANGER (&gt;1.5)"; SI(L149&gt;=1.3; "Zone Haute (1.3-1.5)"; SI(L149&gt;=0.8; "Sweet Spot (0.8-1.3)"; "Sous-charge (&lt;0.8)")))</f>
        <v/>
      </c>
      <c r="N149" s="14">
        <f>SI(L149&gt;=1.5; "Alléger séances / Régénération"; SI(L149&gt;=1.3; "Contrôler fatigue Hooper"; "Poursuivre programme"))</f>
        <v/>
      </c>
    </row>
    <row r="150">
      <c r="A150" s="15" t="inlineStr">
        <is>
          <t>S02</t>
        </is>
      </c>
      <c r="B150" s="21" t="n">
        <v>46057</v>
      </c>
      <c r="C150" s="15" t="inlineStr">
        <is>
          <t>S1</t>
        </is>
      </c>
      <c r="D150" s="15" t="inlineStr">
        <is>
          <t>ATH09</t>
        </is>
      </c>
      <c r="E150" s="14" t="inlineStr">
        <is>
          <t>Mercredi</t>
        </is>
      </c>
      <c r="F150" s="14" t="inlineStr">
        <is>
          <t>Intermittent</t>
        </is>
      </c>
      <c r="G150" s="15" t="n">
        <v>88</v>
      </c>
      <c r="H150" s="15" t="n">
        <v>6</v>
      </c>
      <c r="I150" s="22">
        <f>G150*H150</f>
        <v/>
      </c>
      <c r="J150" s="15">
        <f>SOMME.SI.ENS(I$5:I$222; D$5:D$222; D150; C$5:C$222; C150)</f>
        <v/>
      </c>
      <c r="K150" s="23">
        <f>MAX(400; J150 * 0.85)</f>
        <v/>
      </c>
      <c r="L150" s="24">
        <f>SI(K150&gt;0; J150/K150; 1.0)</f>
        <v/>
      </c>
      <c r="M150" s="15">
        <f>SI(L150&gt;=1.5; "ZONE DANGER (&gt;1.5)"; SI(L150&gt;=1.3; "Zone Haute (1.3-1.5)"; SI(L150&gt;=0.8; "Sweet Spot (0.8-1.3)"; "Sous-charge (&lt;0.8)")))</f>
        <v/>
      </c>
      <c r="N150" s="14">
        <f>SI(L150&gt;=1.5; "Alléger séances / Régénération"; SI(L150&gt;=1.3; "Contrôler fatigue Hooper"; "Poursuivre programme"))</f>
        <v/>
      </c>
    </row>
    <row r="151">
      <c r="A151" s="15" t="inlineStr">
        <is>
          <t>S03</t>
        </is>
      </c>
      <c r="B151" s="21" t="n">
        <v>46059</v>
      </c>
      <c r="C151" s="15" t="inlineStr">
        <is>
          <t>S1</t>
        </is>
      </c>
      <c r="D151" s="15" t="inlineStr">
        <is>
          <t>ATH09</t>
        </is>
      </c>
      <c r="E151" s="14" t="inlineStr">
        <is>
          <t>Vendredi</t>
        </is>
      </c>
      <c r="F151" s="14" t="inlineStr">
        <is>
          <t>Collectif</t>
        </is>
      </c>
      <c r="G151" s="15" t="n">
        <v>106</v>
      </c>
      <c r="H151" s="15" t="n">
        <v>4</v>
      </c>
      <c r="I151" s="22">
        <f>G151*H151</f>
        <v/>
      </c>
      <c r="J151" s="15">
        <f>SOMME.SI.ENS(I$5:I$222; D$5:D$222; D151; C$5:C$222; C151)</f>
        <v/>
      </c>
      <c r="K151" s="23">
        <f>MAX(400; J151 * 0.85)</f>
        <v/>
      </c>
      <c r="L151" s="24">
        <f>SI(K151&gt;0; J151/K151; 1.0)</f>
        <v/>
      </c>
      <c r="M151" s="15">
        <f>SI(L151&gt;=1.5; "ZONE DANGER (&gt;1.5)"; SI(L151&gt;=1.3; "Zone Haute (1.3-1.5)"; SI(L151&gt;=0.8; "Sweet Spot (0.8-1.3)"; "Sous-charge (&lt;0.8)")))</f>
        <v/>
      </c>
      <c r="N151" s="14">
        <f>SI(L151&gt;=1.5; "Alléger séances / Régénération"; SI(L151&gt;=1.3; "Contrôler fatigue Hooper"; "Poursuivre programme"))</f>
        <v/>
      </c>
    </row>
    <row r="152">
      <c r="A152" s="15" t="inlineStr">
        <is>
          <t>S04</t>
        </is>
      </c>
      <c r="B152" s="21" t="n">
        <v>46062</v>
      </c>
      <c r="C152" s="15" t="inlineStr">
        <is>
          <t>S2</t>
        </is>
      </c>
      <c r="D152" s="15" t="inlineStr">
        <is>
          <t>ATH09</t>
        </is>
      </c>
      <c r="E152" s="14" t="inlineStr">
        <is>
          <t>Lundi</t>
        </is>
      </c>
      <c r="F152" s="14" t="inlineStr">
        <is>
          <t>Force</t>
        </is>
      </c>
      <c r="G152" s="15" t="n">
        <v>74</v>
      </c>
      <c r="H152" s="15" t="n">
        <v>6</v>
      </c>
      <c r="I152" s="22">
        <f>G152*H152</f>
        <v/>
      </c>
      <c r="J152" s="15">
        <f>SOMME.SI.ENS(I$5:I$222; D$5:D$222; D152; C$5:C$222; C152)</f>
        <v/>
      </c>
      <c r="K152" s="23">
        <f>MAX(400; J152 * 0.85)</f>
        <v/>
      </c>
      <c r="L152" s="24">
        <f>SI(K152&gt;0; J152/K152; 1.0)</f>
        <v/>
      </c>
      <c r="M152" s="15">
        <f>SI(L152&gt;=1.5; "ZONE DANGER (&gt;1.5)"; SI(L152&gt;=1.3; "Zone Haute (1.3-1.5)"; SI(L152&gt;=0.8; "Sweet Spot (0.8-1.3)"; "Sous-charge (&lt;0.8)")))</f>
        <v/>
      </c>
      <c r="N152" s="14">
        <f>SI(L152&gt;=1.5; "Alléger séances / Régénération"; SI(L152&gt;=1.3; "Contrôler fatigue Hooper"; "Poursuivre programme"))</f>
        <v/>
      </c>
    </row>
    <row r="153">
      <c r="A153" s="15" t="inlineStr">
        <is>
          <t>S05</t>
        </is>
      </c>
      <c r="B153" s="21" t="n">
        <v>46064</v>
      </c>
      <c r="C153" s="15" t="inlineStr">
        <is>
          <t>S2</t>
        </is>
      </c>
      <c r="D153" s="15" t="inlineStr">
        <is>
          <t>ATH09</t>
        </is>
      </c>
      <c r="E153" s="14" t="inlineStr">
        <is>
          <t>Mercredi</t>
        </is>
      </c>
      <c r="F153" s="14" t="inlineStr">
        <is>
          <t>Intermittent</t>
        </is>
      </c>
      <c r="G153" s="15" t="n">
        <v>89</v>
      </c>
      <c r="H153" s="15" t="n">
        <v>8</v>
      </c>
      <c r="I153" s="22">
        <f>G153*H153</f>
        <v/>
      </c>
      <c r="J153" s="15">
        <f>SOMME.SI.ENS(I$5:I$222; D$5:D$222; D153; C$5:C$222; C153)</f>
        <v/>
      </c>
      <c r="K153" s="23">
        <f>MAX(400; J153 * 0.85)</f>
        <v/>
      </c>
      <c r="L153" s="24">
        <f>SI(K153&gt;0; J153/K153; 1.0)</f>
        <v/>
      </c>
      <c r="M153" s="15">
        <f>SI(L153&gt;=1.5; "ZONE DANGER (&gt;1.5)"; SI(L153&gt;=1.3; "Zone Haute (1.3-1.5)"; SI(L153&gt;=0.8; "Sweet Spot (0.8-1.3)"; "Sous-charge (&lt;0.8)")))</f>
        <v/>
      </c>
      <c r="N153" s="14">
        <f>SI(L153&gt;=1.5; "Alléger séances / Régénération"; SI(L153&gt;=1.3; "Contrôler fatigue Hooper"; "Poursuivre programme"))</f>
        <v/>
      </c>
    </row>
    <row r="154">
      <c r="A154" s="15" t="inlineStr">
        <is>
          <t>S06</t>
        </is>
      </c>
      <c r="B154" s="21" t="n">
        <v>46066</v>
      </c>
      <c r="C154" s="15" t="inlineStr">
        <is>
          <t>S2</t>
        </is>
      </c>
      <c r="D154" s="15" t="inlineStr">
        <is>
          <t>ATH09</t>
        </is>
      </c>
      <c r="E154" s="14" t="inlineStr">
        <is>
          <t>Vendredi</t>
        </is>
      </c>
      <c r="F154" s="14" t="inlineStr">
        <is>
          <t>Collectif</t>
        </is>
      </c>
      <c r="G154" s="15" t="n">
        <v>106</v>
      </c>
      <c r="H154" s="15" t="n">
        <v>7</v>
      </c>
      <c r="I154" s="22">
        <f>G154*H154</f>
        <v/>
      </c>
      <c r="J154" s="15">
        <f>SOMME.SI.ENS(I$5:I$222; D$5:D$222; D154; C$5:C$222; C154)</f>
        <v/>
      </c>
      <c r="K154" s="23">
        <f>MAX(400; J154 * 0.85)</f>
        <v/>
      </c>
      <c r="L154" s="24">
        <f>SI(K154&gt;0; J154/K154; 1.0)</f>
        <v/>
      </c>
      <c r="M154" s="15">
        <f>SI(L154&gt;=1.5; "ZONE DANGER (&gt;1.5)"; SI(L154&gt;=1.3; "Zone Haute (1.3-1.5)"; SI(L154&gt;=0.8; "Sweet Spot (0.8-1.3)"; "Sous-charge (&lt;0.8)")))</f>
        <v/>
      </c>
      <c r="N154" s="14">
        <f>SI(L154&gt;=1.5; "Alléger séances / Régénération"; SI(L154&gt;=1.3; "Contrôler fatigue Hooper"; "Poursuivre programme"))</f>
        <v/>
      </c>
    </row>
    <row r="155">
      <c r="A155" s="15" t="inlineStr">
        <is>
          <t>S07</t>
        </is>
      </c>
      <c r="B155" s="21" t="n">
        <v>46069</v>
      </c>
      <c r="C155" s="15" t="inlineStr">
        <is>
          <t>S3</t>
        </is>
      </c>
      <c r="D155" s="15" t="inlineStr">
        <is>
          <t>ATH09</t>
        </is>
      </c>
      <c r="E155" s="14" t="inlineStr">
        <is>
          <t>Lundi</t>
        </is>
      </c>
      <c r="F155" s="14" t="inlineStr">
        <is>
          <t>Technique</t>
        </is>
      </c>
      <c r="G155" s="15" t="n">
        <v>74</v>
      </c>
      <c r="H155" s="15" t="n">
        <v>5</v>
      </c>
      <c r="I155" s="22">
        <f>G155*H155</f>
        <v/>
      </c>
      <c r="J155" s="15">
        <f>SOMME.SI.ENS(I$5:I$222; D$5:D$222; D155; C$5:C$222; C155)</f>
        <v/>
      </c>
      <c r="K155" s="23">
        <f>MAX(400; J155 * 0.85)</f>
        <v/>
      </c>
      <c r="L155" s="24">
        <f>SI(K155&gt;0; J155/K155; 1.0)</f>
        <v/>
      </c>
      <c r="M155" s="15">
        <f>SI(L155&gt;=1.5; "ZONE DANGER (&gt;1.5)"; SI(L155&gt;=1.3; "Zone Haute (1.3-1.5)"; SI(L155&gt;=0.8; "Sweet Spot (0.8-1.3)"; "Sous-charge (&lt;0.8)")))</f>
        <v/>
      </c>
      <c r="N155" s="14">
        <f>SI(L155&gt;=1.5; "Alléger séances / Régénération"; SI(L155&gt;=1.3; "Contrôler fatigue Hooper"; "Poursuivre programme"))</f>
        <v/>
      </c>
    </row>
    <row r="156">
      <c r="A156" s="15" t="inlineStr">
        <is>
          <t>S08</t>
        </is>
      </c>
      <c r="B156" s="21" t="n">
        <v>46071</v>
      </c>
      <c r="C156" s="15" t="inlineStr">
        <is>
          <t>S3</t>
        </is>
      </c>
      <c r="D156" s="15" t="inlineStr">
        <is>
          <t>ATH09</t>
        </is>
      </c>
      <c r="E156" s="14" t="inlineStr">
        <is>
          <t>Mercredi</t>
        </is>
      </c>
      <c r="F156" s="14" t="inlineStr">
        <is>
          <t>Intermittent</t>
        </is>
      </c>
      <c r="G156" s="15" t="n">
        <v>99</v>
      </c>
      <c r="H156" s="15" t="n">
        <v>8</v>
      </c>
      <c r="I156" s="22">
        <f>G156*H156</f>
        <v/>
      </c>
      <c r="J156" s="15">
        <f>SOMME.SI.ENS(I$5:I$222; D$5:D$222; D156; C$5:C$222; C156)</f>
        <v/>
      </c>
      <c r="K156" s="23">
        <f>MAX(400; J156 * 0.85)</f>
        <v/>
      </c>
      <c r="L156" s="24">
        <f>SI(K156&gt;0; J156/K156; 1.0)</f>
        <v/>
      </c>
      <c r="M156" s="15">
        <f>SI(L156&gt;=1.5; "ZONE DANGER (&gt;1.5)"; SI(L156&gt;=1.3; "Zone Haute (1.3-1.5)"; SI(L156&gt;=0.8; "Sweet Spot (0.8-1.3)"; "Sous-charge (&lt;0.8)")))</f>
        <v/>
      </c>
      <c r="N156" s="14">
        <f>SI(L156&gt;=1.5; "Alléger séances / Régénération"; SI(L156&gt;=1.3; "Contrôler fatigue Hooper"; "Poursuivre programme"))</f>
        <v/>
      </c>
    </row>
    <row r="157">
      <c r="A157" s="15" t="inlineStr">
        <is>
          <t>S09</t>
        </is>
      </c>
      <c r="B157" s="21" t="n">
        <v>46073</v>
      </c>
      <c r="C157" s="15" t="inlineStr">
        <is>
          <t>S3</t>
        </is>
      </c>
      <c r="D157" s="15" t="inlineStr">
        <is>
          <t>ATH09</t>
        </is>
      </c>
      <c r="E157" s="14" t="inlineStr">
        <is>
          <t>Vendredi</t>
        </is>
      </c>
      <c r="F157" s="14" t="inlineStr">
        <is>
          <t>Collectif</t>
        </is>
      </c>
      <c r="G157" s="15" t="n">
        <v>107</v>
      </c>
      <c r="H157" s="15" t="n">
        <v>7</v>
      </c>
      <c r="I157" s="22">
        <f>G157*H157</f>
        <v/>
      </c>
      <c r="J157" s="15">
        <f>SOMME.SI.ENS(I$5:I$222; D$5:D$222; D157; C$5:C$222; C157)</f>
        <v/>
      </c>
      <c r="K157" s="23">
        <f>MAX(400; J157 * 0.85)</f>
        <v/>
      </c>
      <c r="L157" s="24">
        <f>SI(K157&gt;0; J157/K157; 1.0)</f>
        <v/>
      </c>
      <c r="M157" s="15">
        <f>SI(L157&gt;=1.5; "ZONE DANGER (&gt;1.5)"; SI(L157&gt;=1.3; "Zone Haute (1.3-1.5)"; SI(L157&gt;=0.8; "Sweet Spot (0.8-1.3)"; "Sous-charge (&lt;0.8)")))</f>
        <v/>
      </c>
      <c r="N157" s="14">
        <f>SI(L157&gt;=1.5; "Alléger séances / Régénération"; SI(L157&gt;=1.3; "Contrôler fatigue Hooper"; "Poursuivre programme"))</f>
        <v/>
      </c>
    </row>
    <row r="158">
      <c r="A158" s="15" t="inlineStr">
        <is>
          <t>S10</t>
        </is>
      </c>
      <c r="B158" s="21" t="n">
        <v>46076</v>
      </c>
      <c r="C158" s="15" t="inlineStr">
        <is>
          <t>S4</t>
        </is>
      </c>
      <c r="D158" s="15" t="inlineStr">
        <is>
          <t>ATH09</t>
        </is>
      </c>
      <c r="E158" s="14" t="inlineStr">
        <is>
          <t>Lundi</t>
        </is>
      </c>
      <c r="F158" s="14" t="inlineStr">
        <is>
          <t>Force</t>
        </is>
      </c>
      <c r="G158" s="15" t="n">
        <v>68</v>
      </c>
      <c r="H158" s="15" t="n">
        <v>6</v>
      </c>
      <c r="I158" s="22">
        <f>G158*H158</f>
        <v/>
      </c>
      <c r="J158" s="15">
        <f>SOMME.SI.ENS(I$5:I$222; D$5:D$222; D158; C$5:C$222; C158)</f>
        <v/>
      </c>
      <c r="K158" s="23">
        <f>MAX(400; J158 * 0.85)</f>
        <v/>
      </c>
      <c r="L158" s="24">
        <f>SI(K158&gt;0; J158/K158; 1.0)</f>
        <v/>
      </c>
      <c r="M158" s="15">
        <f>SI(L158&gt;=1.5; "ZONE DANGER (&gt;1.5)"; SI(L158&gt;=1.3; "Zone Haute (1.3-1.5)"; SI(L158&gt;=0.8; "Sweet Spot (0.8-1.3)"; "Sous-charge (&lt;0.8)")))</f>
        <v/>
      </c>
      <c r="N158" s="14">
        <f>SI(L158&gt;=1.5; "Alléger séances / Régénération"; SI(L158&gt;=1.3; "Contrôler fatigue Hooper"; "Poursuivre programme"))</f>
        <v/>
      </c>
    </row>
    <row r="159">
      <c r="A159" s="15" t="inlineStr">
        <is>
          <t>S11</t>
        </is>
      </c>
      <c r="B159" s="21" t="n">
        <v>46078</v>
      </c>
      <c r="C159" s="15" t="inlineStr">
        <is>
          <t>S4</t>
        </is>
      </c>
      <c r="D159" s="15" t="inlineStr">
        <is>
          <t>ATH09</t>
        </is>
      </c>
      <c r="E159" s="14" t="inlineStr">
        <is>
          <t>Mercredi</t>
        </is>
      </c>
      <c r="F159" s="14" t="inlineStr">
        <is>
          <t>Intermittent</t>
        </is>
      </c>
      <c r="G159" s="15" t="n">
        <v>94</v>
      </c>
      <c r="H159" s="15" t="n">
        <v>6</v>
      </c>
      <c r="I159" s="22">
        <f>G159*H159</f>
        <v/>
      </c>
      <c r="J159" s="15">
        <f>SOMME.SI.ENS(I$5:I$222; D$5:D$222; D159; C$5:C$222; C159)</f>
        <v/>
      </c>
      <c r="K159" s="23">
        <f>MAX(400; J159 * 0.85)</f>
        <v/>
      </c>
      <c r="L159" s="24">
        <f>SI(K159&gt;0; J159/K159; 1.0)</f>
        <v/>
      </c>
      <c r="M159" s="15">
        <f>SI(L159&gt;=1.5; "ZONE DANGER (&gt;1.5)"; SI(L159&gt;=1.3; "Zone Haute (1.3-1.5)"; SI(L159&gt;=0.8; "Sweet Spot (0.8-1.3)"; "Sous-charge (&lt;0.8)")))</f>
        <v/>
      </c>
      <c r="N159" s="14">
        <f>SI(L159&gt;=1.5; "Alléger séances / Régénération"; SI(L159&gt;=1.3; "Contrôler fatigue Hooper"; "Poursuivre programme"))</f>
        <v/>
      </c>
    </row>
    <row r="160">
      <c r="A160" s="15" t="inlineStr">
        <is>
          <t>S12</t>
        </is>
      </c>
      <c r="B160" s="21" t="n">
        <v>46080</v>
      </c>
      <c r="C160" s="15" t="inlineStr">
        <is>
          <t>S4</t>
        </is>
      </c>
      <c r="D160" s="15" t="inlineStr">
        <is>
          <t>ATH09</t>
        </is>
      </c>
      <c r="E160" s="14" t="inlineStr">
        <is>
          <t>Vendredi</t>
        </is>
      </c>
      <c r="F160" s="14" t="inlineStr">
        <is>
          <t>Collectif</t>
        </is>
      </c>
      <c r="G160" s="15" t="n">
        <v>112</v>
      </c>
      <c r="H160" s="15" t="n">
        <v>5</v>
      </c>
      <c r="I160" s="22">
        <f>G160*H160</f>
        <v/>
      </c>
      <c r="J160" s="15">
        <f>SOMME.SI.ENS(I$5:I$222; D$5:D$222; D160; C$5:C$222; C160)</f>
        <v/>
      </c>
      <c r="K160" s="23">
        <f>MAX(400; J160 * 0.85)</f>
        <v/>
      </c>
      <c r="L160" s="24">
        <f>SI(K160&gt;0; J160/K160; 1.0)</f>
        <v/>
      </c>
      <c r="M160" s="15">
        <f>SI(L160&gt;=1.5; "ZONE DANGER (&gt;1.5)"; SI(L160&gt;=1.3; "Zone Haute (1.3-1.5)"; SI(L160&gt;=0.8; "Sweet Spot (0.8-1.3)"; "Sous-charge (&lt;0.8)")))</f>
        <v/>
      </c>
      <c r="N160" s="14">
        <f>SI(L160&gt;=1.5; "Alléger séances / Régénération"; SI(L160&gt;=1.3; "Contrôler fatigue Hooper"; "Poursuivre programme"))</f>
        <v/>
      </c>
    </row>
    <row r="161">
      <c r="A161" s="15" t="inlineStr">
        <is>
          <t>S13</t>
        </is>
      </c>
      <c r="B161" s="21" t="n">
        <v>46083</v>
      </c>
      <c r="C161" s="15" t="inlineStr">
        <is>
          <t>S5</t>
        </is>
      </c>
      <c r="D161" s="15" t="inlineStr">
        <is>
          <t>ATH09</t>
        </is>
      </c>
      <c r="E161" s="14" t="inlineStr">
        <is>
          <t>Lundi</t>
        </is>
      </c>
      <c r="F161" s="14" t="inlineStr">
        <is>
          <t>Technique</t>
        </is>
      </c>
      <c r="G161" s="15" t="n">
        <v>74</v>
      </c>
      <c r="H161" s="15" t="n">
        <v>4</v>
      </c>
      <c r="I161" s="22">
        <f>G161*H161</f>
        <v/>
      </c>
      <c r="J161" s="15">
        <f>SOMME.SI.ENS(I$5:I$222; D$5:D$222; D161; C$5:C$222; C161)</f>
        <v/>
      </c>
      <c r="K161" s="23">
        <f>MAX(400; J161 * 0.85)</f>
        <v/>
      </c>
      <c r="L161" s="24">
        <f>SI(K161&gt;0; J161/K161; 1.0)</f>
        <v/>
      </c>
      <c r="M161" s="15">
        <f>SI(L161&gt;=1.5; "ZONE DANGER (&gt;1.5)"; SI(L161&gt;=1.3; "Zone Haute (1.3-1.5)"; SI(L161&gt;=0.8; "Sweet Spot (0.8-1.3)"; "Sous-charge (&lt;0.8)")))</f>
        <v/>
      </c>
      <c r="N161" s="14">
        <f>SI(L161&gt;=1.5; "Alléger séances / Régénération"; SI(L161&gt;=1.3; "Contrôler fatigue Hooper"; "Poursuivre programme"))</f>
        <v/>
      </c>
    </row>
    <row r="162">
      <c r="A162" s="15" t="inlineStr">
        <is>
          <t>S14</t>
        </is>
      </c>
      <c r="B162" s="21" t="n">
        <v>46085</v>
      </c>
      <c r="C162" s="15" t="inlineStr">
        <is>
          <t>S5</t>
        </is>
      </c>
      <c r="D162" s="15" t="inlineStr">
        <is>
          <t>ATH09</t>
        </is>
      </c>
      <c r="E162" s="14" t="inlineStr">
        <is>
          <t>Mercredi</t>
        </is>
      </c>
      <c r="F162" s="14" t="inlineStr">
        <is>
          <t>Intermittent</t>
        </is>
      </c>
      <c r="G162" s="15" t="n">
        <v>98</v>
      </c>
      <c r="H162" s="15" t="n">
        <v>8</v>
      </c>
      <c r="I162" s="22">
        <f>G162*H162</f>
        <v/>
      </c>
      <c r="J162" s="15">
        <f>SOMME.SI.ENS(I$5:I$222; D$5:D$222; D162; C$5:C$222; C162)</f>
        <v/>
      </c>
      <c r="K162" s="23">
        <f>MAX(400; J162 * 0.85)</f>
        <v/>
      </c>
      <c r="L162" s="24">
        <f>SI(K162&gt;0; J162/K162; 1.0)</f>
        <v/>
      </c>
      <c r="M162" s="15">
        <f>SI(L162&gt;=1.5; "ZONE DANGER (&gt;1.5)"; SI(L162&gt;=1.3; "Zone Haute (1.3-1.5)"; SI(L162&gt;=0.8; "Sweet Spot (0.8-1.3)"; "Sous-charge (&lt;0.8)")))</f>
        <v/>
      </c>
      <c r="N162" s="14">
        <f>SI(L162&gt;=1.5; "Alléger séances / Régénération"; SI(L162&gt;=1.3; "Contrôler fatigue Hooper"; "Poursuivre programme"))</f>
        <v/>
      </c>
    </row>
    <row r="163">
      <c r="A163" s="15" t="inlineStr">
        <is>
          <t>S15</t>
        </is>
      </c>
      <c r="B163" s="21" t="n">
        <v>46087</v>
      </c>
      <c r="C163" s="15" t="inlineStr">
        <is>
          <t>S5</t>
        </is>
      </c>
      <c r="D163" s="15" t="inlineStr">
        <is>
          <t>ATH09</t>
        </is>
      </c>
      <c r="E163" s="14" t="inlineStr">
        <is>
          <t>Vendredi</t>
        </is>
      </c>
      <c r="F163" s="14" t="inlineStr">
        <is>
          <t>Collectif</t>
        </is>
      </c>
      <c r="G163" s="15" t="n">
        <v>105</v>
      </c>
      <c r="H163" s="15" t="n">
        <v>6</v>
      </c>
      <c r="I163" s="22">
        <f>G163*H163</f>
        <v/>
      </c>
      <c r="J163" s="15">
        <f>SOMME.SI.ENS(I$5:I$222; D$5:D$222; D163; C$5:C$222; C163)</f>
        <v/>
      </c>
      <c r="K163" s="23">
        <f>MAX(400; J163 * 0.85)</f>
        <v/>
      </c>
      <c r="L163" s="24">
        <f>SI(K163&gt;0; J163/K163; 1.0)</f>
        <v/>
      </c>
      <c r="M163" s="15">
        <f>SI(L163&gt;=1.5; "ZONE DANGER (&gt;1.5)"; SI(L163&gt;=1.3; "Zone Haute (1.3-1.5)"; SI(L163&gt;=0.8; "Sweet Spot (0.8-1.3)"; "Sous-charge (&lt;0.8)")))</f>
        <v/>
      </c>
      <c r="N163" s="14">
        <f>SI(L163&gt;=1.5; "Alléger séances / Régénération"; SI(L163&gt;=1.3; "Contrôler fatigue Hooper"; "Poursuivre programme"))</f>
        <v/>
      </c>
    </row>
    <row r="164">
      <c r="A164" s="15" t="inlineStr">
        <is>
          <t>S16</t>
        </is>
      </c>
      <c r="B164" s="21" t="n">
        <v>46090</v>
      </c>
      <c r="C164" s="15" t="inlineStr">
        <is>
          <t>S6</t>
        </is>
      </c>
      <c r="D164" s="15" t="inlineStr">
        <is>
          <t>ATH09</t>
        </is>
      </c>
      <c r="E164" s="14" t="inlineStr">
        <is>
          <t>Lundi</t>
        </is>
      </c>
      <c r="F164" s="14" t="inlineStr">
        <is>
          <t>Force</t>
        </is>
      </c>
      <c r="G164" s="15" t="n">
        <v>75</v>
      </c>
      <c r="H164" s="15" t="n">
        <v>3</v>
      </c>
      <c r="I164" s="22">
        <f>G164*H164</f>
        <v/>
      </c>
      <c r="J164" s="15">
        <f>SOMME.SI.ENS(I$5:I$222; D$5:D$222; D164; C$5:C$222; C164)</f>
        <v/>
      </c>
      <c r="K164" s="23">
        <f>MAX(400; J164 * 0.85)</f>
        <v/>
      </c>
      <c r="L164" s="24">
        <f>SI(K164&gt;0; J164/K164; 1.0)</f>
        <v/>
      </c>
      <c r="M164" s="15">
        <f>SI(L164&gt;=1.5; "ZONE DANGER (&gt;1.5)"; SI(L164&gt;=1.3; "Zone Haute (1.3-1.5)"; SI(L164&gt;=0.8; "Sweet Spot (0.8-1.3)"; "Sous-charge (&lt;0.8)")))</f>
        <v/>
      </c>
      <c r="N164" s="14">
        <f>SI(L164&gt;=1.5; "Alléger séances / Régénération"; SI(L164&gt;=1.3; "Contrôler fatigue Hooper"; "Poursuivre programme"))</f>
        <v/>
      </c>
    </row>
    <row r="165">
      <c r="A165" s="15" t="inlineStr">
        <is>
          <t>S17</t>
        </is>
      </c>
      <c r="B165" s="21" t="n">
        <v>46092</v>
      </c>
      <c r="C165" s="15" t="inlineStr">
        <is>
          <t>S6</t>
        </is>
      </c>
      <c r="D165" s="15" t="inlineStr">
        <is>
          <t>ATH09</t>
        </is>
      </c>
      <c r="E165" s="14" t="inlineStr">
        <is>
          <t>Mercredi</t>
        </is>
      </c>
      <c r="F165" s="14" t="inlineStr">
        <is>
          <t>Intermittent</t>
        </is>
      </c>
      <c r="G165" s="15" t="n">
        <v>93</v>
      </c>
      <c r="H165" s="15" t="n">
        <v>7</v>
      </c>
      <c r="I165" s="22">
        <f>G165*H165</f>
        <v/>
      </c>
      <c r="J165" s="15">
        <f>SOMME.SI.ENS(I$5:I$222; D$5:D$222; D165; C$5:C$222; C165)</f>
        <v/>
      </c>
      <c r="K165" s="23">
        <f>MAX(400; J165 * 0.85)</f>
        <v/>
      </c>
      <c r="L165" s="24">
        <f>SI(K165&gt;0; J165/K165; 1.0)</f>
        <v/>
      </c>
      <c r="M165" s="15">
        <f>SI(L165&gt;=1.5; "ZONE DANGER (&gt;1.5)"; SI(L165&gt;=1.3; "Zone Haute (1.3-1.5)"; SI(L165&gt;=0.8; "Sweet Spot (0.8-1.3)"; "Sous-charge (&lt;0.8)")))</f>
        <v/>
      </c>
      <c r="N165" s="14">
        <f>SI(L165&gt;=1.5; "Alléger séances / Régénération"; SI(L165&gt;=1.3; "Contrôler fatigue Hooper"; "Poursuivre programme"))</f>
        <v/>
      </c>
    </row>
    <row r="166">
      <c r="A166" s="15" t="inlineStr">
        <is>
          <t>S18</t>
        </is>
      </c>
      <c r="B166" s="21" t="n">
        <v>46094</v>
      </c>
      <c r="C166" s="15" t="inlineStr">
        <is>
          <t>S6</t>
        </is>
      </c>
      <c r="D166" s="15" t="inlineStr">
        <is>
          <t>ATH09</t>
        </is>
      </c>
      <c r="E166" s="14" t="inlineStr">
        <is>
          <t>Vendredi</t>
        </is>
      </c>
      <c r="F166" s="14" t="inlineStr">
        <is>
          <t>Collectif</t>
        </is>
      </c>
      <c r="G166" s="15" t="n">
        <v>95</v>
      </c>
      <c r="H166" s="15" t="n">
        <v>8</v>
      </c>
      <c r="I166" s="22">
        <f>G166*H166</f>
        <v/>
      </c>
      <c r="J166" s="15">
        <f>SOMME.SI.ENS(I$5:I$222; D$5:D$222; D166; C$5:C$222; C166)</f>
        <v/>
      </c>
      <c r="K166" s="23">
        <f>MAX(400; J166 * 0.85)</f>
        <v/>
      </c>
      <c r="L166" s="24">
        <f>SI(K166&gt;0; J166/K166; 1.0)</f>
        <v/>
      </c>
      <c r="M166" s="15">
        <f>SI(L166&gt;=1.5; "ZONE DANGER (&gt;1.5)"; SI(L166&gt;=1.3; "Zone Haute (1.3-1.5)"; SI(L166&gt;=0.8; "Sweet Spot (0.8-1.3)"; "Sous-charge (&lt;0.8)")))</f>
        <v/>
      </c>
      <c r="N166" s="14">
        <f>SI(L166&gt;=1.5; "Alléger séances / Régénération"; SI(L166&gt;=1.3; "Contrôler fatigue Hooper"; "Poursuivre programme"))</f>
        <v/>
      </c>
    </row>
    <row r="167">
      <c r="A167" s="15" t="inlineStr">
        <is>
          <t>S01</t>
        </is>
      </c>
      <c r="B167" s="21" t="n">
        <v>46055</v>
      </c>
      <c r="C167" s="15" t="inlineStr">
        <is>
          <t>S1</t>
        </is>
      </c>
      <c r="D167" s="15" t="inlineStr">
        <is>
          <t>ATH10</t>
        </is>
      </c>
      <c r="E167" s="14" t="inlineStr">
        <is>
          <t>Lundi</t>
        </is>
      </c>
      <c r="F167" s="14" t="inlineStr">
        <is>
          <t>Technique</t>
        </is>
      </c>
      <c r="G167" s="15" t="n">
        <v>77</v>
      </c>
      <c r="H167" s="15" t="n">
        <v>3</v>
      </c>
      <c r="I167" s="22">
        <f>G167*H167</f>
        <v/>
      </c>
      <c r="J167" s="15">
        <f>SOMME.SI.ENS(I$5:I$222; D$5:D$222; D167; C$5:C$222; C167)</f>
        <v/>
      </c>
      <c r="K167" s="23">
        <f>MAX(400; J167 * 0.85)</f>
        <v/>
      </c>
      <c r="L167" s="24">
        <f>SI(K167&gt;0; J167/K167; 1.0)</f>
        <v/>
      </c>
      <c r="M167" s="15">
        <f>SI(L167&gt;=1.5; "ZONE DANGER (&gt;1.5)"; SI(L167&gt;=1.3; "Zone Haute (1.3-1.5)"; SI(L167&gt;=0.8; "Sweet Spot (0.8-1.3)"; "Sous-charge (&lt;0.8)")))</f>
        <v/>
      </c>
      <c r="N167" s="14">
        <f>SI(L167&gt;=1.5; "Alléger séances / Régénération"; SI(L167&gt;=1.3; "Contrôler fatigue Hooper"; "Poursuivre programme"))</f>
        <v/>
      </c>
    </row>
    <row r="168">
      <c r="A168" s="15" t="inlineStr">
        <is>
          <t>S02</t>
        </is>
      </c>
      <c r="B168" s="21" t="n">
        <v>46057</v>
      </c>
      <c r="C168" s="15" t="inlineStr">
        <is>
          <t>S1</t>
        </is>
      </c>
      <c r="D168" s="15" t="inlineStr">
        <is>
          <t>ATH10</t>
        </is>
      </c>
      <c r="E168" s="14" t="inlineStr">
        <is>
          <t>Mercredi</t>
        </is>
      </c>
      <c r="F168" s="14" t="inlineStr">
        <is>
          <t>Intermittent</t>
        </is>
      </c>
      <c r="G168" s="15" t="n">
        <v>91</v>
      </c>
      <c r="H168" s="15" t="n">
        <v>7</v>
      </c>
      <c r="I168" s="22">
        <f>G168*H168</f>
        <v/>
      </c>
      <c r="J168" s="15">
        <f>SOMME.SI.ENS(I$5:I$222; D$5:D$222; D168; C$5:C$222; C168)</f>
        <v/>
      </c>
      <c r="K168" s="23">
        <f>MAX(400; J168 * 0.85)</f>
        <v/>
      </c>
      <c r="L168" s="24">
        <f>SI(K168&gt;0; J168/K168; 1.0)</f>
        <v/>
      </c>
      <c r="M168" s="15">
        <f>SI(L168&gt;=1.5; "ZONE DANGER (&gt;1.5)"; SI(L168&gt;=1.3; "Zone Haute (1.3-1.5)"; SI(L168&gt;=0.8; "Sweet Spot (0.8-1.3)"; "Sous-charge (&lt;0.8)")))</f>
        <v/>
      </c>
      <c r="N168" s="14">
        <f>SI(L168&gt;=1.5; "Alléger séances / Régénération"; SI(L168&gt;=1.3; "Contrôler fatigue Hooper"; "Poursuivre programme"))</f>
        <v/>
      </c>
    </row>
    <row r="169">
      <c r="A169" s="15" t="inlineStr">
        <is>
          <t>S03</t>
        </is>
      </c>
      <c r="B169" s="21" t="n">
        <v>46059</v>
      </c>
      <c r="C169" s="15" t="inlineStr">
        <is>
          <t>S1</t>
        </is>
      </c>
      <c r="D169" s="15" t="inlineStr">
        <is>
          <t>ATH10</t>
        </is>
      </c>
      <c r="E169" s="14" t="inlineStr">
        <is>
          <t>Vendredi</t>
        </is>
      </c>
      <c r="F169" s="14" t="inlineStr">
        <is>
          <t>Collectif</t>
        </is>
      </c>
      <c r="G169" s="15" t="n">
        <v>107</v>
      </c>
      <c r="H169" s="15" t="n">
        <v>5</v>
      </c>
      <c r="I169" s="22">
        <f>G169*H169</f>
        <v/>
      </c>
      <c r="J169" s="15">
        <f>SOMME.SI.ENS(I$5:I$222; D$5:D$222; D169; C$5:C$222; C169)</f>
        <v/>
      </c>
      <c r="K169" s="23">
        <f>MAX(400; J169 * 0.85)</f>
        <v/>
      </c>
      <c r="L169" s="24">
        <f>SI(K169&gt;0; J169/K169; 1.0)</f>
        <v/>
      </c>
      <c r="M169" s="15">
        <f>SI(L169&gt;=1.5; "ZONE DANGER (&gt;1.5)"; SI(L169&gt;=1.3; "Zone Haute (1.3-1.5)"; SI(L169&gt;=0.8; "Sweet Spot (0.8-1.3)"; "Sous-charge (&lt;0.8)")))</f>
        <v/>
      </c>
      <c r="N169" s="14">
        <f>SI(L169&gt;=1.5; "Alléger séances / Régénération"; SI(L169&gt;=1.3; "Contrôler fatigue Hooper"; "Poursuivre programme"))</f>
        <v/>
      </c>
    </row>
    <row r="170">
      <c r="A170" s="15" t="inlineStr">
        <is>
          <t>S04</t>
        </is>
      </c>
      <c r="B170" s="21" t="n">
        <v>46062</v>
      </c>
      <c r="C170" s="15" t="inlineStr">
        <is>
          <t>S2</t>
        </is>
      </c>
      <c r="D170" s="15" t="inlineStr">
        <is>
          <t>ATH10</t>
        </is>
      </c>
      <c r="E170" s="14" t="inlineStr">
        <is>
          <t>Lundi</t>
        </is>
      </c>
      <c r="F170" s="14" t="inlineStr">
        <is>
          <t>Force</t>
        </is>
      </c>
      <c r="G170" s="15" t="n">
        <v>65</v>
      </c>
      <c r="H170" s="15" t="n">
        <v>7</v>
      </c>
      <c r="I170" s="22">
        <f>G170*H170</f>
        <v/>
      </c>
      <c r="J170" s="15">
        <f>SOMME.SI.ENS(I$5:I$222; D$5:D$222; D170; C$5:C$222; C170)</f>
        <v/>
      </c>
      <c r="K170" s="23">
        <f>MAX(400; J170 * 0.85)</f>
        <v/>
      </c>
      <c r="L170" s="24">
        <f>SI(K170&gt;0; J170/K170; 1.0)</f>
        <v/>
      </c>
      <c r="M170" s="15">
        <f>SI(L170&gt;=1.5; "ZONE DANGER (&gt;1.5)"; SI(L170&gt;=1.3; "Zone Haute (1.3-1.5)"; SI(L170&gt;=0.8; "Sweet Spot (0.8-1.3)"; "Sous-charge (&lt;0.8)")))</f>
        <v/>
      </c>
      <c r="N170" s="14">
        <f>SI(L170&gt;=1.5; "Alléger séances / Régénération"; SI(L170&gt;=1.3; "Contrôler fatigue Hooper"; "Poursuivre programme"))</f>
        <v/>
      </c>
    </row>
    <row r="171">
      <c r="A171" s="15" t="inlineStr">
        <is>
          <t>S05</t>
        </is>
      </c>
      <c r="B171" s="21" t="n">
        <v>46064</v>
      </c>
      <c r="C171" s="15" t="inlineStr">
        <is>
          <t>S2</t>
        </is>
      </c>
      <c r="D171" s="15" t="inlineStr">
        <is>
          <t>ATH10</t>
        </is>
      </c>
      <c r="E171" s="14" t="inlineStr">
        <is>
          <t>Mercredi</t>
        </is>
      </c>
      <c r="F171" s="14" t="inlineStr">
        <is>
          <t>Intermittent</t>
        </is>
      </c>
      <c r="G171" s="15" t="n">
        <v>91</v>
      </c>
      <c r="H171" s="15" t="n">
        <v>7</v>
      </c>
      <c r="I171" s="22">
        <f>G171*H171</f>
        <v/>
      </c>
      <c r="J171" s="15">
        <f>SOMME.SI.ENS(I$5:I$222; D$5:D$222; D171; C$5:C$222; C171)</f>
        <v/>
      </c>
      <c r="K171" s="23">
        <f>MAX(400; J171 * 0.85)</f>
        <v/>
      </c>
      <c r="L171" s="24">
        <f>SI(K171&gt;0; J171/K171; 1.0)</f>
        <v/>
      </c>
      <c r="M171" s="15">
        <f>SI(L171&gt;=1.5; "ZONE DANGER (&gt;1.5)"; SI(L171&gt;=1.3; "Zone Haute (1.3-1.5)"; SI(L171&gt;=0.8; "Sweet Spot (0.8-1.3)"; "Sous-charge (&lt;0.8)")))</f>
        <v/>
      </c>
      <c r="N171" s="14">
        <f>SI(L171&gt;=1.5; "Alléger séances / Régénération"; SI(L171&gt;=1.3; "Contrôler fatigue Hooper"; "Poursuivre programme"))</f>
        <v/>
      </c>
    </row>
    <row r="172">
      <c r="A172" s="15" t="inlineStr">
        <is>
          <t>S06</t>
        </is>
      </c>
      <c r="B172" s="21" t="n">
        <v>46066</v>
      </c>
      <c r="C172" s="15" t="inlineStr">
        <is>
          <t>S2</t>
        </is>
      </c>
      <c r="D172" s="15" t="inlineStr">
        <is>
          <t>ATH10</t>
        </is>
      </c>
      <c r="E172" s="14" t="inlineStr">
        <is>
          <t>Vendredi</t>
        </is>
      </c>
      <c r="F172" s="14" t="inlineStr">
        <is>
          <t>Collectif</t>
        </is>
      </c>
      <c r="G172" s="15" t="n">
        <v>106</v>
      </c>
      <c r="H172" s="15" t="n">
        <v>7</v>
      </c>
      <c r="I172" s="22">
        <f>G172*H172</f>
        <v/>
      </c>
      <c r="J172" s="15">
        <f>SOMME.SI.ENS(I$5:I$222; D$5:D$222; D172; C$5:C$222; C172)</f>
        <v/>
      </c>
      <c r="K172" s="23">
        <f>MAX(400; J172 * 0.85)</f>
        <v/>
      </c>
      <c r="L172" s="24">
        <f>SI(K172&gt;0; J172/K172; 1.0)</f>
        <v/>
      </c>
      <c r="M172" s="15">
        <f>SI(L172&gt;=1.5; "ZONE DANGER (&gt;1.5)"; SI(L172&gt;=1.3; "Zone Haute (1.3-1.5)"; SI(L172&gt;=0.8; "Sweet Spot (0.8-1.3)"; "Sous-charge (&lt;0.8)")))</f>
        <v/>
      </c>
      <c r="N172" s="14">
        <f>SI(L172&gt;=1.5; "Alléger séances / Régénération"; SI(L172&gt;=1.3; "Contrôler fatigue Hooper"; "Poursuivre programme"))</f>
        <v/>
      </c>
    </row>
    <row r="173">
      <c r="A173" s="15" t="inlineStr">
        <is>
          <t>S07</t>
        </is>
      </c>
      <c r="B173" s="21" t="n">
        <v>46069</v>
      </c>
      <c r="C173" s="15" t="inlineStr">
        <is>
          <t>S3</t>
        </is>
      </c>
      <c r="D173" s="15" t="inlineStr">
        <is>
          <t>ATH10</t>
        </is>
      </c>
      <c r="E173" s="14" t="inlineStr">
        <is>
          <t>Lundi</t>
        </is>
      </c>
      <c r="F173" s="14" t="inlineStr">
        <is>
          <t>Technique</t>
        </is>
      </c>
      <c r="G173" s="15" t="n">
        <v>77</v>
      </c>
      <c r="H173" s="15" t="n">
        <v>3</v>
      </c>
      <c r="I173" s="22">
        <f>G173*H173</f>
        <v/>
      </c>
      <c r="J173" s="15">
        <f>SOMME.SI.ENS(I$5:I$222; D$5:D$222; D173; C$5:C$222; C173)</f>
        <v/>
      </c>
      <c r="K173" s="23">
        <f>MAX(400; J173 * 0.85)</f>
        <v/>
      </c>
      <c r="L173" s="24">
        <f>SI(K173&gt;0; J173/K173; 1.0)</f>
        <v/>
      </c>
      <c r="M173" s="15">
        <f>SI(L173&gt;=1.5; "ZONE DANGER (&gt;1.5)"; SI(L173&gt;=1.3; "Zone Haute (1.3-1.5)"; SI(L173&gt;=0.8; "Sweet Spot (0.8-1.3)"; "Sous-charge (&lt;0.8)")))</f>
        <v/>
      </c>
      <c r="N173" s="14">
        <f>SI(L173&gt;=1.5; "Alléger séances / Régénération"; SI(L173&gt;=1.3; "Contrôler fatigue Hooper"; "Poursuivre programme"))</f>
        <v/>
      </c>
    </row>
    <row r="174">
      <c r="A174" s="15" t="inlineStr">
        <is>
          <t>S08</t>
        </is>
      </c>
      <c r="B174" s="21" t="n">
        <v>46071</v>
      </c>
      <c r="C174" s="15" t="inlineStr">
        <is>
          <t>S3</t>
        </is>
      </c>
      <c r="D174" s="15" t="inlineStr">
        <is>
          <t>ATH10</t>
        </is>
      </c>
      <c r="E174" s="14" t="inlineStr">
        <is>
          <t>Mercredi</t>
        </is>
      </c>
      <c r="F174" s="14" t="inlineStr">
        <is>
          <t>Intermittent</t>
        </is>
      </c>
      <c r="G174" s="15" t="n">
        <v>90</v>
      </c>
      <c r="H174" s="15" t="n">
        <v>7</v>
      </c>
      <c r="I174" s="22">
        <f>G174*H174</f>
        <v/>
      </c>
      <c r="J174" s="15">
        <f>SOMME.SI.ENS(I$5:I$222; D$5:D$222; D174; C$5:C$222; C174)</f>
        <v/>
      </c>
      <c r="K174" s="23">
        <f>MAX(400; J174 * 0.85)</f>
        <v/>
      </c>
      <c r="L174" s="24">
        <f>SI(K174&gt;0; J174/K174; 1.0)</f>
        <v/>
      </c>
      <c r="M174" s="15">
        <f>SI(L174&gt;=1.5; "ZONE DANGER (&gt;1.5)"; SI(L174&gt;=1.3; "Zone Haute (1.3-1.5)"; SI(L174&gt;=0.8; "Sweet Spot (0.8-1.3)"; "Sous-charge (&lt;0.8)")))</f>
        <v/>
      </c>
      <c r="N174" s="14">
        <f>SI(L174&gt;=1.5; "Alléger séances / Régénération"; SI(L174&gt;=1.3; "Contrôler fatigue Hooper"; "Poursuivre programme"))</f>
        <v/>
      </c>
    </row>
    <row r="175">
      <c r="A175" s="15" t="inlineStr">
        <is>
          <t>S09</t>
        </is>
      </c>
      <c r="B175" s="21" t="n">
        <v>46073</v>
      </c>
      <c r="C175" s="15" t="inlineStr">
        <is>
          <t>S3</t>
        </is>
      </c>
      <c r="D175" s="15" t="inlineStr">
        <is>
          <t>ATH10</t>
        </is>
      </c>
      <c r="E175" s="14" t="inlineStr">
        <is>
          <t>Vendredi</t>
        </is>
      </c>
      <c r="F175" s="14" t="inlineStr">
        <is>
          <t>Collectif</t>
        </is>
      </c>
      <c r="G175" s="15" t="n">
        <v>107</v>
      </c>
      <c r="H175" s="15" t="n">
        <v>6</v>
      </c>
      <c r="I175" s="22">
        <f>G175*H175</f>
        <v/>
      </c>
      <c r="J175" s="15">
        <f>SOMME.SI.ENS(I$5:I$222; D$5:D$222; D175; C$5:C$222; C175)</f>
        <v/>
      </c>
      <c r="K175" s="23">
        <f>MAX(400; J175 * 0.85)</f>
        <v/>
      </c>
      <c r="L175" s="24">
        <f>SI(K175&gt;0; J175/K175; 1.0)</f>
        <v/>
      </c>
      <c r="M175" s="15">
        <f>SI(L175&gt;=1.5; "ZONE DANGER (&gt;1.5)"; SI(L175&gt;=1.3; "Zone Haute (1.3-1.5)"; SI(L175&gt;=0.8; "Sweet Spot (0.8-1.3)"; "Sous-charge (&lt;0.8)")))</f>
        <v/>
      </c>
      <c r="N175" s="14">
        <f>SI(L175&gt;=1.5; "Alléger séances / Régénération"; SI(L175&gt;=1.3; "Contrôler fatigue Hooper"; "Poursuivre programme"))</f>
        <v/>
      </c>
    </row>
    <row r="176">
      <c r="A176" s="15" t="inlineStr">
        <is>
          <t>S10</t>
        </is>
      </c>
      <c r="B176" s="21" t="n">
        <v>46076</v>
      </c>
      <c r="C176" s="15" t="inlineStr">
        <is>
          <t>S4</t>
        </is>
      </c>
      <c r="D176" s="15" t="inlineStr">
        <is>
          <t>ATH10</t>
        </is>
      </c>
      <c r="E176" s="14" t="inlineStr">
        <is>
          <t>Lundi</t>
        </is>
      </c>
      <c r="F176" s="14" t="inlineStr">
        <is>
          <t>Force</t>
        </is>
      </c>
      <c r="G176" s="15" t="n">
        <v>71</v>
      </c>
      <c r="H176" s="15" t="n">
        <v>5</v>
      </c>
      <c r="I176" s="22">
        <f>G176*H176</f>
        <v/>
      </c>
      <c r="J176" s="15">
        <f>SOMME.SI.ENS(I$5:I$222; D$5:D$222; D176; C$5:C$222; C176)</f>
        <v/>
      </c>
      <c r="K176" s="23">
        <f>MAX(400; J176 * 0.85)</f>
        <v/>
      </c>
      <c r="L176" s="24">
        <f>SI(K176&gt;0; J176/K176; 1.0)</f>
        <v/>
      </c>
      <c r="M176" s="15">
        <f>SI(L176&gt;=1.5; "ZONE DANGER (&gt;1.5)"; SI(L176&gt;=1.3; "Zone Haute (1.3-1.5)"; SI(L176&gt;=0.8; "Sweet Spot (0.8-1.3)"; "Sous-charge (&lt;0.8)")))</f>
        <v/>
      </c>
      <c r="N176" s="14">
        <f>SI(L176&gt;=1.5; "Alléger séances / Régénération"; SI(L176&gt;=1.3; "Contrôler fatigue Hooper"; "Poursuivre programme"))</f>
        <v/>
      </c>
    </row>
    <row r="177">
      <c r="A177" s="15" t="inlineStr">
        <is>
          <t>S11</t>
        </is>
      </c>
      <c r="B177" s="21" t="n">
        <v>46078</v>
      </c>
      <c r="C177" s="15" t="inlineStr">
        <is>
          <t>S4</t>
        </is>
      </c>
      <c r="D177" s="15" t="inlineStr">
        <is>
          <t>ATH10</t>
        </is>
      </c>
      <c r="E177" s="14" t="inlineStr">
        <is>
          <t>Mercredi</t>
        </is>
      </c>
      <c r="F177" s="14" t="inlineStr">
        <is>
          <t>Intermittent</t>
        </is>
      </c>
      <c r="G177" s="15" t="n">
        <v>89</v>
      </c>
      <c r="H177" s="15" t="n">
        <v>7</v>
      </c>
      <c r="I177" s="22">
        <f>G177*H177</f>
        <v/>
      </c>
      <c r="J177" s="15">
        <f>SOMME.SI.ENS(I$5:I$222; D$5:D$222; D177; C$5:C$222; C177)</f>
        <v/>
      </c>
      <c r="K177" s="23">
        <f>MAX(400; J177 * 0.85)</f>
        <v/>
      </c>
      <c r="L177" s="24">
        <f>SI(K177&gt;0; J177/K177; 1.0)</f>
        <v/>
      </c>
      <c r="M177" s="15">
        <f>SI(L177&gt;=1.5; "ZONE DANGER (&gt;1.5)"; SI(L177&gt;=1.3; "Zone Haute (1.3-1.5)"; SI(L177&gt;=0.8; "Sweet Spot (0.8-1.3)"; "Sous-charge (&lt;0.8)")))</f>
        <v/>
      </c>
      <c r="N177" s="14">
        <f>SI(L177&gt;=1.5; "Alléger séances / Régénération"; SI(L177&gt;=1.3; "Contrôler fatigue Hooper"; "Poursuivre programme"))</f>
        <v/>
      </c>
    </row>
    <row r="178">
      <c r="A178" s="15" t="inlineStr">
        <is>
          <t>S12</t>
        </is>
      </c>
      <c r="B178" s="21" t="n">
        <v>46080</v>
      </c>
      <c r="C178" s="15" t="inlineStr">
        <is>
          <t>S4</t>
        </is>
      </c>
      <c r="D178" s="15" t="inlineStr">
        <is>
          <t>ATH10</t>
        </is>
      </c>
      <c r="E178" s="14" t="inlineStr">
        <is>
          <t>Vendredi</t>
        </is>
      </c>
      <c r="F178" s="14" t="inlineStr">
        <is>
          <t>Collectif</t>
        </is>
      </c>
      <c r="G178" s="15" t="n">
        <v>107</v>
      </c>
      <c r="H178" s="15" t="n">
        <v>6</v>
      </c>
      <c r="I178" s="22">
        <f>G178*H178</f>
        <v/>
      </c>
      <c r="J178" s="15">
        <f>SOMME.SI.ENS(I$5:I$222; D$5:D$222; D178; C$5:C$222; C178)</f>
        <v/>
      </c>
      <c r="K178" s="23">
        <f>MAX(400; J178 * 0.85)</f>
        <v/>
      </c>
      <c r="L178" s="24">
        <f>SI(K178&gt;0; J178/K178; 1.0)</f>
        <v/>
      </c>
      <c r="M178" s="15">
        <f>SI(L178&gt;=1.5; "ZONE DANGER (&gt;1.5)"; SI(L178&gt;=1.3; "Zone Haute (1.3-1.5)"; SI(L178&gt;=0.8; "Sweet Spot (0.8-1.3)"; "Sous-charge (&lt;0.8)")))</f>
        <v/>
      </c>
      <c r="N178" s="14">
        <f>SI(L178&gt;=1.5; "Alléger séances / Régénération"; SI(L178&gt;=1.3; "Contrôler fatigue Hooper"; "Poursuivre programme"))</f>
        <v/>
      </c>
    </row>
    <row r="179">
      <c r="A179" s="15" t="inlineStr">
        <is>
          <t>S13</t>
        </is>
      </c>
      <c r="B179" s="21" t="n">
        <v>46083</v>
      </c>
      <c r="C179" s="15" t="inlineStr">
        <is>
          <t>S5</t>
        </is>
      </c>
      <c r="D179" s="15" t="inlineStr">
        <is>
          <t>ATH10</t>
        </is>
      </c>
      <c r="E179" s="14" t="inlineStr">
        <is>
          <t>Lundi</t>
        </is>
      </c>
      <c r="F179" s="14" t="inlineStr">
        <is>
          <t>Technique</t>
        </is>
      </c>
      <c r="G179" s="15" t="n">
        <v>74</v>
      </c>
      <c r="H179" s="15" t="n">
        <v>5</v>
      </c>
      <c r="I179" s="22">
        <f>G179*H179</f>
        <v/>
      </c>
      <c r="J179" s="15">
        <f>SOMME.SI.ENS(I$5:I$222; D$5:D$222; D179; C$5:C$222; C179)</f>
        <v/>
      </c>
      <c r="K179" s="23">
        <f>MAX(400; J179 * 0.85)</f>
        <v/>
      </c>
      <c r="L179" s="24">
        <f>SI(K179&gt;0; J179/K179; 1.0)</f>
        <v/>
      </c>
      <c r="M179" s="15">
        <f>SI(L179&gt;=1.5; "ZONE DANGER (&gt;1.5)"; SI(L179&gt;=1.3; "Zone Haute (1.3-1.5)"; SI(L179&gt;=0.8; "Sweet Spot (0.8-1.3)"; "Sous-charge (&lt;0.8)")))</f>
        <v/>
      </c>
      <c r="N179" s="14">
        <f>SI(L179&gt;=1.5; "Alléger séances / Régénération"; SI(L179&gt;=1.3; "Contrôler fatigue Hooper"; "Poursuivre programme"))</f>
        <v/>
      </c>
    </row>
    <row r="180">
      <c r="A180" s="15" t="inlineStr">
        <is>
          <t>S14</t>
        </is>
      </c>
      <c r="B180" s="21" t="n">
        <v>46085</v>
      </c>
      <c r="C180" s="15" t="inlineStr">
        <is>
          <t>S5</t>
        </is>
      </c>
      <c r="D180" s="15" t="inlineStr">
        <is>
          <t>ATH10</t>
        </is>
      </c>
      <c r="E180" s="14" t="inlineStr">
        <is>
          <t>Mercredi</t>
        </is>
      </c>
      <c r="F180" s="14" t="inlineStr">
        <is>
          <t>Intermittent</t>
        </is>
      </c>
      <c r="G180" s="15" t="n">
        <v>97</v>
      </c>
      <c r="H180" s="15" t="n">
        <v>8</v>
      </c>
      <c r="I180" s="22">
        <f>G180*H180</f>
        <v/>
      </c>
      <c r="J180" s="15">
        <f>SOMME.SI.ENS(I$5:I$222; D$5:D$222; D180; C$5:C$222; C180)</f>
        <v/>
      </c>
      <c r="K180" s="23">
        <f>MAX(400; J180 * 0.85)</f>
        <v/>
      </c>
      <c r="L180" s="24">
        <f>SI(K180&gt;0; J180/K180; 1.0)</f>
        <v/>
      </c>
      <c r="M180" s="15">
        <f>SI(L180&gt;=1.5; "ZONE DANGER (&gt;1.5)"; SI(L180&gt;=1.3; "Zone Haute (1.3-1.5)"; SI(L180&gt;=0.8; "Sweet Spot (0.8-1.3)"; "Sous-charge (&lt;0.8)")))</f>
        <v/>
      </c>
      <c r="N180" s="14">
        <f>SI(L180&gt;=1.5; "Alléger séances / Régénération"; SI(L180&gt;=1.3; "Contrôler fatigue Hooper"; "Poursuivre programme"))</f>
        <v/>
      </c>
    </row>
    <row r="181">
      <c r="A181" s="15" t="inlineStr">
        <is>
          <t>S15</t>
        </is>
      </c>
      <c r="B181" s="21" t="n">
        <v>46087</v>
      </c>
      <c r="C181" s="15" t="inlineStr">
        <is>
          <t>S5</t>
        </is>
      </c>
      <c r="D181" s="15" t="inlineStr">
        <is>
          <t>ATH10</t>
        </is>
      </c>
      <c r="E181" s="14" t="inlineStr">
        <is>
          <t>Vendredi</t>
        </is>
      </c>
      <c r="F181" s="14" t="inlineStr">
        <is>
          <t>Collectif</t>
        </is>
      </c>
      <c r="G181" s="15" t="n">
        <v>108</v>
      </c>
      <c r="H181" s="15" t="n">
        <v>6</v>
      </c>
      <c r="I181" s="22">
        <f>G181*H181</f>
        <v/>
      </c>
      <c r="J181" s="15">
        <f>SOMME.SI.ENS(I$5:I$222; D$5:D$222; D181; C$5:C$222; C181)</f>
        <v/>
      </c>
      <c r="K181" s="23">
        <f>MAX(400; J181 * 0.85)</f>
        <v/>
      </c>
      <c r="L181" s="24">
        <f>SI(K181&gt;0; J181/K181; 1.0)</f>
        <v/>
      </c>
      <c r="M181" s="15">
        <f>SI(L181&gt;=1.5; "ZONE DANGER (&gt;1.5)"; SI(L181&gt;=1.3; "Zone Haute (1.3-1.5)"; SI(L181&gt;=0.8; "Sweet Spot (0.8-1.3)"; "Sous-charge (&lt;0.8)")))</f>
        <v/>
      </c>
      <c r="N181" s="14">
        <f>SI(L181&gt;=1.5; "Alléger séances / Régénération"; SI(L181&gt;=1.3; "Contrôler fatigue Hooper"; "Poursuivre programme"))</f>
        <v/>
      </c>
    </row>
    <row r="182">
      <c r="A182" s="15" t="inlineStr">
        <is>
          <t>S16</t>
        </is>
      </c>
      <c r="B182" s="21" t="n">
        <v>46090</v>
      </c>
      <c r="C182" s="15" t="inlineStr">
        <is>
          <t>S6</t>
        </is>
      </c>
      <c r="D182" s="15" t="inlineStr">
        <is>
          <t>ATH10</t>
        </is>
      </c>
      <c r="E182" s="14" t="inlineStr">
        <is>
          <t>Lundi</t>
        </is>
      </c>
      <c r="F182" s="14" t="inlineStr">
        <is>
          <t>Force</t>
        </is>
      </c>
      <c r="G182" s="15" t="n">
        <v>70</v>
      </c>
      <c r="H182" s="15" t="n">
        <v>4</v>
      </c>
      <c r="I182" s="22">
        <f>G182*H182</f>
        <v/>
      </c>
      <c r="J182" s="15">
        <f>SOMME.SI.ENS(I$5:I$222; D$5:D$222; D182; C$5:C$222; C182)</f>
        <v/>
      </c>
      <c r="K182" s="23">
        <f>MAX(400; J182 * 0.85)</f>
        <v/>
      </c>
      <c r="L182" s="24">
        <f>SI(K182&gt;0; J182/K182; 1.0)</f>
        <v/>
      </c>
      <c r="M182" s="15">
        <f>SI(L182&gt;=1.5; "ZONE DANGER (&gt;1.5)"; SI(L182&gt;=1.3; "Zone Haute (1.3-1.5)"; SI(L182&gt;=0.8; "Sweet Spot (0.8-1.3)"; "Sous-charge (&lt;0.8)")))</f>
        <v/>
      </c>
      <c r="N182" s="14">
        <f>SI(L182&gt;=1.5; "Alléger séances / Régénération"; SI(L182&gt;=1.3; "Contrôler fatigue Hooper"; "Poursuivre programme"))</f>
        <v/>
      </c>
    </row>
    <row r="183">
      <c r="A183" s="15" t="inlineStr">
        <is>
          <t>S17</t>
        </is>
      </c>
      <c r="B183" s="21" t="n">
        <v>46092</v>
      </c>
      <c r="C183" s="15" t="inlineStr">
        <is>
          <t>S6</t>
        </is>
      </c>
      <c r="D183" s="15" t="inlineStr">
        <is>
          <t>ATH10</t>
        </is>
      </c>
      <c r="E183" s="14" t="inlineStr">
        <is>
          <t>Mercredi</t>
        </is>
      </c>
      <c r="F183" s="14" t="inlineStr">
        <is>
          <t>Intermittent</t>
        </is>
      </c>
      <c r="G183" s="15" t="n">
        <v>89</v>
      </c>
      <c r="H183" s="15" t="n">
        <v>7</v>
      </c>
      <c r="I183" s="22">
        <f>G183*H183</f>
        <v/>
      </c>
      <c r="J183" s="15">
        <f>SOMME.SI.ENS(I$5:I$222; D$5:D$222; D183; C$5:C$222; C183)</f>
        <v/>
      </c>
      <c r="K183" s="23">
        <f>MAX(400; J183 * 0.85)</f>
        <v/>
      </c>
      <c r="L183" s="24">
        <f>SI(K183&gt;0; J183/K183; 1.0)</f>
        <v/>
      </c>
      <c r="M183" s="15">
        <f>SI(L183&gt;=1.5; "ZONE DANGER (&gt;1.5)"; SI(L183&gt;=1.3; "Zone Haute (1.3-1.5)"; SI(L183&gt;=0.8; "Sweet Spot (0.8-1.3)"; "Sous-charge (&lt;0.8)")))</f>
        <v/>
      </c>
      <c r="N183" s="14">
        <f>SI(L183&gt;=1.5; "Alléger séances / Régénération"; SI(L183&gt;=1.3; "Contrôler fatigue Hooper"; "Poursuivre programme"))</f>
        <v/>
      </c>
    </row>
    <row r="184">
      <c r="A184" s="15" t="inlineStr">
        <is>
          <t>S18</t>
        </is>
      </c>
      <c r="B184" s="21" t="n">
        <v>46094</v>
      </c>
      <c r="C184" s="15" t="inlineStr">
        <is>
          <t>S6</t>
        </is>
      </c>
      <c r="D184" s="15" t="inlineStr">
        <is>
          <t>ATH10</t>
        </is>
      </c>
      <c r="E184" s="14" t="inlineStr">
        <is>
          <t>Vendredi</t>
        </is>
      </c>
      <c r="F184" s="14" t="inlineStr">
        <is>
          <t>Collectif</t>
        </is>
      </c>
      <c r="G184" s="15" t="n">
        <v>104</v>
      </c>
      <c r="H184" s="15" t="n">
        <v>5</v>
      </c>
      <c r="I184" s="22">
        <f>G184*H184</f>
        <v/>
      </c>
      <c r="J184" s="15">
        <f>SOMME.SI.ENS(I$5:I$222; D$5:D$222; D184; C$5:C$222; C184)</f>
        <v/>
      </c>
      <c r="K184" s="23">
        <f>MAX(400; J184 * 0.85)</f>
        <v/>
      </c>
      <c r="L184" s="24">
        <f>SI(K184&gt;0; J184/K184; 1.0)</f>
        <v/>
      </c>
      <c r="M184" s="15">
        <f>SI(L184&gt;=1.5; "ZONE DANGER (&gt;1.5)"; SI(L184&gt;=1.3; "Zone Haute (1.3-1.5)"; SI(L184&gt;=0.8; "Sweet Spot (0.8-1.3)"; "Sous-charge (&lt;0.8)")))</f>
        <v/>
      </c>
      <c r="N184" s="14">
        <f>SI(L184&gt;=1.5; "Alléger séances / Régénération"; SI(L184&gt;=1.3; "Contrôler fatigue Hooper"; "Poursuivre programme"))</f>
        <v/>
      </c>
    </row>
    <row r="185">
      <c r="A185" s="15" t="inlineStr">
        <is>
          <t>S01</t>
        </is>
      </c>
      <c r="B185" s="21" t="n">
        <v>46055</v>
      </c>
      <c r="C185" s="15" t="inlineStr">
        <is>
          <t>S1</t>
        </is>
      </c>
      <c r="D185" s="15" t="inlineStr">
        <is>
          <t>ATH11</t>
        </is>
      </c>
      <c r="E185" s="14" t="inlineStr">
        <is>
          <t>Lundi</t>
        </is>
      </c>
      <c r="F185" s="14" t="inlineStr">
        <is>
          <t>Technique</t>
        </is>
      </c>
      <c r="G185" s="15" t="n">
        <v>76</v>
      </c>
      <c r="H185" s="15" t="n">
        <v>4</v>
      </c>
      <c r="I185" s="22">
        <f>G185*H185</f>
        <v/>
      </c>
      <c r="J185" s="15">
        <f>SOMME.SI.ENS(I$5:I$222; D$5:D$222; D185; C$5:C$222; C185)</f>
        <v/>
      </c>
      <c r="K185" s="23">
        <f>MAX(400; J185 * 0.85)</f>
        <v/>
      </c>
      <c r="L185" s="24">
        <f>SI(K185&gt;0; J185/K185; 1.0)</f>
        <v/>
      </c>
      <c r="M185" s="15">
        <f>SI(L185&gt;=1.5; "ZONE DANGER (&gt;1.5)"; SI(L185&gt;=1.3; "Zone Haute (1.3-1.5)"; SI(L185&gt;=0.8; "Sweet Spot (0.8-1.3)"; "Sous-charge (&lt;0.8)")))</f>
        <v/>
      </c>
      <c r="N185" s="14">
        <f>SI(L185&gt;=1.5; "Alléger séances / Régénération"; SI(L185&gt;=1.3; "Contrôler fatigue Hooper"; "Poursuivre programme"))</f>
        <v/>
      </c>
    </row>
    <row r="186">
      <c r="A186" s="15" t="inlineStr">
        <is>
          <t>S02</t>
        </is>
      </c>
      <c r="B186" s="21" t="n">
        <v>46057</v>
      </c>
      <c r="C186" s="15" t="inlineStr">
        <is>
          <t>S1</t>
        </is>
      </c>
      <c r="D186" s="15" t="inlineStr">
        <is>
          <t>ATH11</t>
        </is>
      </c>
      <c r="E186" s="14" t="inlineStr">
        <is>
          <t>Mercredi</t>
        </is>
      </c>
      <c r="F186" s="14" t="inlineStr">
        <is>
          <t>Intermittent</t>
        </is>
      </c>
      <c r="G186" s="15" t="n">
        <v>93</v>
      </c>
      <c r="H186" s="15" t="n">
        <v>0</v>
      </c>
      <c r="I186" s="22">
        <f>G186*H186</f>
        <v/>
      </c>
      <c r="J186" s="15">
        <f>SOMME.SI.ENS(I$5:I$222; D$5:D$222; D186; C$5:C$222; C186)</f>
        <v/>
      </c>
      <c r="K186" s="23">
        <f>MAX(400; J186 * 0.85)</f>
        <v/>
      </c>
      <c r="L186" s="24">
        <f>SI(K186&gt;0; J186/K186; 1.0)</f>
        <v/>
      </c>
      <c r="M186" s="15">
        <f>SI(L186&gt;=1.5; "ZONE DANGER (&gt;1.5)"; SI(L186&gt;=1.3; "Zone Haute (1.3-1.5)"; SI(L186&gt;=0.8; "Sweet Spot (0.8-1.3)"; "Sous-charge (&lt;0.8)")))</f>
        <v/>
      </c>
      <c r="N186" s="14">
        <f>SI(L186&gt;=1.5; "Alléger séances / Régénération"; SI(L186&gt;=1.3; "Contrôler fatigue Hooper"; "Poursuivre programme"))</f>
        <v/>
      </c>
    </row>
    <row r="187">
      <c r="A187" s="15" t="inlineStr">
        <is>
          <t>S03</t>
        </is>
      </c>
      <c r="B187" s="21" t="n">
        <v>46059</v>
      </c>
      <c r="C187" s="15" t="inlineStr">
        <is>
          <t>S1</t>
        </is>
      </c>
      <c r="D187" s="15" t="inlineStr">
        <is>
          <t>ATH11</t>
        </is>
      </c>
      <c r="E187" s="14" t="inlineStr">
        <is>
          <t>Vendredi</t>
        </is>
      </c>
      <c r="F187" s="14" t="inlineStr">
        <is>
          <t>Collectif</t>
        </is>
      </c>
      <c r="G187" s="15" t="n">
        <v>105</v>
      </c>
      <c r="H187" s="15" t="n">
        <v>6</v>
      </c>
      <c r="I187" s="22">
        <f>G187*H187</f>
        <v/>
      </c>
      <c r="J187" s="15">
        <f>SOMME.SI.ENS(I$5:I$222; D$5:D$222; D187; C$5:C$222; C187)</f>
        <v/>
      </c>
      <c r="K187" s="23">
        <f>MAX(400; J187 * 0.85)</f>
        <v/>
      </c>
      <c r="L187" s="24">
        <f>SI(K187&gt;0; J187/K187; 1.0)</f>
        <v/>
      </c>
      <c r="M187" s="15">
        <f>SI(L187&gt;=1.5; "ZONE DANGER (&gt;1.5)"; SI(L187&gt;=1.3; "Zone Haute (1.3-1.5)"; SI(L187&gt;=0.8; "Sweet Spot (0.8-1.3)"; "Sous-charge (&lt;0.8)")))</f>
        <v/>
      </c>
      <c r="N187" s="14">
        <f>SI(L187&gt;=1.5; "Alléger séances / Régénération"; SI(L187&gt;=1.3; "Contrôler fatigue Hooper"; "Poursuivre programme"))</f>
        <v/>
      </c>
    </row>
    <row r="188">
      <c r="A188" s="15" t="inlineStr">
        <is>
          <t>S04</t>
        </is>
      </c>
      <c r="B188" s="21" t="n">
        <v>46062</v>
      </c>
      <c r="C188" s="15" t="inlineStr">
        <is>
          <t>S2</t>
        </is>
      </c>
      <c r="D188" s="15" t="inlineStr">
        <is>
          <t>ATH11</t>
        </is>
      </c>
      <c r="E188" s="14" t="inlineStr">
        <is>
          <t>Lundi</t>
        </is>
      </c>
      <c r="F188" s="14" t="inlineStr">
        <is>
          <t>Force</t>
        </is>
      </c>
      <c r="G188" s="15" t="n">
        <v>68</v>
      </c>
      <c r="H188" s="15" t="n">
        <v>5</v>
      </c>
      <c r="I188" s="22">
        <f>G188*H188</f>
        <v/>
      </c>
      <c r="J188" s="15">
        <f>SOMME.SI.ENS(I$5:I$222; D$5:D$222; D188; C$5:C$222; C188)</f>
        <v/>
      </c>
      <c r="K188" s="23">
        <f>MAX(400; J188 * 0.85)</f>
        <v/>
      </c>
      <c r="L188" s="24">
        <f>SI(K188&gt;0; J188/K188; 1.0)</f>
        <v/>
      </c>
      <c r="M188" s="15">
        <f>SI(L188&gt;=1.5; "ZONE DANGER (&gt;1.5)"; SI(L188&gt;=1.3; "Zone Haute (1.3-1.5)"; SI(L188&gt;=0.8; "Sweet Spot (0.8-1.3)"; "Sous-charge (&lt;0.8)")))</f>
        <v/>
      </c>
      <c r="N188" s="14">
        <f>SI(L188&gt;=1.5; "Alléger séances / Régénération"; SI(L188&gt;=1.3; "Contrôler fatigue Hooper"; "Poursuivre programme"))</f>
        <v/>
      </c>
    </row>
    <row r="189">
      <c r="A189" s="15" t="inlineStr">
        <is>
          <t>S05</t>
        </is>
      </c>
      <c r="B189" s="21" t="n">
        <v>46064</v>
      </c>
      <c r="C189" s="15" t="inlineStr">
        <is>
          <t>S2</t>
        </is>
      </c>
      <c r="D189" s="15" t="inlineStr">
        <is>
          <t>ATH11</t>
        </is>
      </c>
      <c r="E189" s="14" t="inlineStr">
        <is>
          <t>Mercredi</t>
        </is>
      </c>
      <c r="F189" s="14" t="inlineStr">
        <is>
          <t>Intermittent</t>
        </is>
      </c>
      <c r="G189" s="15" t="n">
        <v>92</v>
      </c>
      <c r="H189" s="15" t="n">
        <v>9</v>
      </c>
      <c r="I189" s="22">
        <f>G189*H189</f>
        <v/>
      </c>
      <c r="J189" s="15">
        <f>SOMME.SI.ENS(I$5:I$222; D$5:D$222; D189; C$5:C$222; C189)</f>
        <v/>
      </c>
      <c r="K189" s="23">
        <f>MAX(400; J189 * 0.85)</f>
        <v/>
      </c>
      <c r="L189" s="24">
        <f>SI(K189&gt;0; J189/K189; 1.0)</f>
        <v/>
      </c>
      <c r="M189" s="15">
        <f>SI(L189&gt;=1.5; "ZONE DANGER (&gt;1.5)"; SI(L189&gt;=1.3; "Zone Haute (1.3-1.5)"; SI(L189&gt;=0.8; "Sweet Spot (0.8-1.3)"; "Sous-charge (&lt;0.8)")))</f>
        <v/>
      </c>
      <c r="N189" s="14">
        <f>SI(L189&gt;=1.5; "Alléger séances / Régénération"; SI(L189&gt;=1.3; "Contrôler fatigue Hooper"; "Poursuivre programme"))</f>
        <v/>
      </c>
    </row>
    <row r="190">
      <c r="A190" s="15" t="inlineStr">
        <is>
          <t>S06</t>
        </is>
      </c>
      <c r="B190" s="21" t="n">
        <v>46066</v>
      </c>
      <c r="C190" s="15" t="inlineStr">
        <is>
          <t>S2</t>
        </is>
      </c>
      <c r="D190" s="15" t="inlineStr">
        <is>
          <t>ATH11</t>
        </is>
      </c>
      <c r="E190" s="14" t="inlineStr">
        <is>
          <t>Vendredi</t>
        </is>
      </c>
      <c r="F190" s="14" t="inlineStr">
        <is>
          <t>Collectif</t>
        </is>
      </c>
      <c r="G190" s="15" t="n">
        <v>108</v>
      </c>
      <c r="H190" s="15" t="n">
        <v>6</v>
      </c>
      <c r="I190" s="22">
        <f>G190*H190</f>
        <v/>
      </c>
      <c r="J190" s="15">
        <f>SOMME.SI.ENS(I$5:I$222; D$5:D$222; D190; C$5:C$222; C190)</f>
        <v/>
      </c>
      <c r="K190" s="23">
        <f>MAX(400; J190 * 0.85)</f>
        <v/>
      </c>
      <c r="L190" s="24">
        <f>SI(K190&gt;0; J190/K190; 1.0)</f>
        <v/>
      </c>
      <c r="M190" s="15">
        <f>SI(L190&gt;=1.5; "ZONE DANGER (&gt;1.5)"; SI(L190&gt;=1.3; "Zone Haute (1.3-1.5)"; SI(L190&gt;=0.8; "Sweet Spot (0.8-1.3)"; "Sous-charge (&lt;0.8)")))</f>
        <v/>
      </c>
      <c r="N190" s="14">
        <f>SI(L190&gt;=1.5; "Alléger séances / Régénération"; SI(L190&gt;=1.3; "Contrôler fatigue Hooper"; "Poursuivre programme"))</f>
        <v/>
      </c>
    </row>
    <row r="191">
      <c r="A191" s="15" t="inlineStr">
        <is>
          <t>S07</t>
        </is>
      </c>
      <c r="B191" s="21" t="n">
        <v>46069</v>
      </c>
      <c r="C191" s="15" t="inlineStr">
        <is>
          <t>S3</t>
        </is>
      </c>
      <c r="D191" s="15" t="inlineStr">
        <is>
          <t>ATH11</t>
        </is>
      </c>
      <c r="E191" s="14" t="inlineStr">
        <is>
          <t>Lundi</t>
        </is>
      </c>
      <c r="F191" s="14" t="inlineStr">
        <is>
          <t>Technique</t>
        </is>
      </c>
      <c r="G191" s="15" t="n">
        <v>71</v>
      </c>
      <c r="H191" s="15" t="n">
        <v>3</v>
      </c>
      <c r="I191" s="22">
        <f>G191*H191</f>
        <v/>
      </c>
      <c r="J191" s="15">
        <f>SOMME.SI.ENS(I$5:I$222; D$5:D$222; D191; C$5:C$222; C191)</f>
        <v/>
      </c>
      <c r="K191" s="23">
        <f>MAX(400; J191 * 0.85)</f>
        <v/>
      </c>
      <c r="L191" s="24">
        <f>SI(K191&gt;0; J191/K191; 1.0)</f>
        <v/>
      </c>
      <c r="M191" s="15">
        <f>SI(L191&gt;=1.5; "ZONE DANGER (&gt;1.5)"; SI(L191&gt;=1.3; "Zone Haute (1.3-1.5)"; SI(L191&gt;=0.8; "Sweet Spot (0.8-1.3)"; "Sous-charge (&lt;0.8)")))</f>
        <v/>
      </c>
      <c r="N191" s="14">
        <f>SI(L191&gt;=1.5; "Alléger séances / Régénération"; SI(L191&gt;=1.3; "Contrôler fatigue Hooper"; "Poursuivre programme"))</f>
        <v/>
      </c>
    </row>
    <row r="192">
      <c r="A192" s="15" t="inlineStr">
        <is>
          <t>S08</t>
        </is>
      </c>
      <c r="B192" s="21" t="n">
        <v>46071</v>
      </c>
      <c r="C192" s="15" t="inlineStr">
        <is>
          <t>S3</t>
        </is>
      </c>
      <c r="D192" s="15" t="inlineStr">
        <is>
          <t>ATH11</t>
        </is>
      </c>
      <c r="E192" s="14" t="inlineStr">
        <is>
          <t>Mercredi</t>
        </is>
      </c>
      <c r="F192" s="14" t="inlineStr">
        <is>
          <t>Intermittent</t>
        </is>
      </c>
      <c r="G192" s="15" t="n">
        <v>98</v>
      </c>
      <c r="H192" s="15" t="n">
        <v>8</v>
      </c>
      <c r="I192" s="22">
        <f>G192*H192</f>
        <v/>
      </c>
      <c r="J192" s="15">
        <f>SOMME.SI.ENS(I$5:I$222; D$5:D$222; D192; C$5:C$222; C192)</f>
        <v/>
      </c>
      <c r="K192" s="23">
        <f>MAX(400; J192 * 0.85)</f>
        <v/>
      </c>
      <c r="L192" s="24">
        <f>SI(K192&gt;0; J192/K192; 1.0)</f>
        <v/>
      </c>
      <c r="M192" s="15">
        <f>SI(L192&gt;=1.5; "ZONE DANGER (&gt;1.5)"; SI(L192&gt;=1.3; "Zone Haute (1.3-1.5)"; SI(L192&gt;=0.8; "Sweet Spot (0.8-1.3)"; "Sous-charge (&lt;0.8)")))</f>
        <v/>
      </c>
      <c r="N192" s="14">
        <f>SI(L192&gt;=1.5; "Alléger séances / Régénération"; SI(L192&gt;=1.3; "Contrôler fatigue Hooper"; "Poursuivre programme"))</f>
        <v/>
      </c>
    </row>
    <row r="193">
      <c r="A193" s="15" t="inlineStr">
        <is>
          <t>S09</t>
        </is>
      </c>
      <c r="B193" s="21" t="n">
        <v>46073</v>
      </c>
      <c r="C193" s="15" t="inlineStr">
        <is>
          <t>S3</t>
        </is>
      </c>
      <c r="D193" s="15" t="inlineStr">
        <is>
          <t>ATH11</t>
        </is>
      </c>
      <c r="E193" s="14" t="inlineStr">
        <is>
          <t>Vendredi</t>
        </is>
      </c>
      <c r="F193" s="14" t="inlineStr">
        <is>
          <t>Collectif</t>
        </is>
      </c>
      <c r="G193" s="15" t="n">
        <v>102</v>
      </c>
      <c r="H193" s="15" t="n">
        <v>8</v>
      </c>
      <c r="I193" s="22">
        <f>G193*H193</f>
        <v/>
      </c>
      <c r="J193" s="15">
        <f>SOMME.SI.ENS(I$5:I$222; D$5:D$222; D193; C$5:C$222; C193)</f>
        <v/>
      </c>
      <c r="K193" s="23">
        <f>MAX(400; J193 * 0.85)</f>
        <v/>
      </c>
      <c r="L193" s="24">
        <f>SI(K193&gt;0; J193/K193; 1.0)</f>
        <v/>
      </c>
      <c r="M193" s="15">
        <f>SI(L193&gt;=1.5; "ZONE DANGER (&gt;1.5)"; SI(L193&gt;=1.3; "Zone Haute (1.3-1.5)"; SI(L193&gt;=0.8; "Sweet Spot (0.8-1.3)"; "Sous-charge (&lt;0.8)")))</f>
        <v/>
      </c>
      <c r="N193" s="14">
        <f>SI(L193&gt;=1.5; "Alléger séances / Régénération"; SI(L193&gt;=1.3; "Contrôler fatigue Hooper"; "Poursuivre programme"))</f>
        <v/>
      </c>
    </row>
    <row r="194">
      <c r="A194" s="15" t="inlineStr">
        <is>
          <t>S10</t>
        </is>
      </c>
      <c r="B194" s="21" t="n">
        <v>46076</v>
      </c>
      <c r="C194" s="15" t="inlineStr">
        <is>
          <t>S4</t>
        </is>
      </c>
      <c r="D194" s="15" t="inlineStr">
        <is>
          <t>ATH11</t>
        </is>
      </c>
      <c r="E194" s="14" t="inlineStr">
        <is>
          <t>Lundi</t>
        </is>
      </c>
      <c r="F194" s="14" t="inlineStr">
        <is>
          <t>Force</t>
        </is>
      </c>
      <c r="G194" s="15" t="n">
        <v>75</v>
      </c>
      <c r="H194" s="15" t="n">
        <v>5</v>
      </c>
      <c r="I194" s="22">
        <f>G194*H194</f>
        <v/>
      </c>
      <c r="J194" s="15">
        <f>SOMME.SI.ENS(I$5:I$222; D$5:D$222; D194; C$5:C$222; C194)</f>
        <v/>
      </c>
      <c r="K194" s="23">
        <f>MAX(400; J194 * 0.85)</f>
        <v/>
      </c>
      <c r="L194" s="24">
        <f>SI(K194&gt;0; J194/K194; 1.0)</f>
        <v/>
      </c>
      <c r="M194" s="15">
        <f>SI(L194&gt;=1.5; "ZONE DANGER (&gt;1.5)"; SI(L194&gt;=1.3; "Zone Haute (1.3-1.5)"; SI(L194&gt;=0.8; "Sweet Spot (0.8-1.3)"; "Sous-charge (&lt;0.8)")))</f>
        <v/>
      </c>
      <c r="N194" s="14">
        <f>SI(L194&gt;=1.5; "Alléger séances / Régénération"; SI(L194&gt;=1.3; "Contrôler fatigue Hooper"; "Poursuivre programme"))</f>
        <v/>
      </c>
    </row>
    <row r="195">
      <c r="A195" s="15" t="inlineStr">
        <is>
          <t>S11</t>
        </is>
      </c>
      <c r="B195" s="21" t="n">
        <v>46078</v>
      </c>
      <c r="C195" s="15" t="inlineStr">
        <is>
          <t>S4</t>
        </is>
      </c>
      <c r="D195" s="15" t="inlineStr">
        <is>
          <t>ATH11</t>
        </is>
      </c>
      <c r="E195" s="14" t="inlineStr">
        <is>
          <t>Mercredi</t>
        </is>
      </c>
      <c r="F195" s="14" t="inlineStr">
        <is>
          <t>Intermittent</t>
        </is>
      </c>
      <c r="G195" s="15" t="n">
        <v>85</v>
      </c>
      <c r="H195" s="15" t="n">
        <v>9</v>
      </c>
      <c r="I195" s="22">
        <f>G195*H195</f>
        <v/>
      </c>
      <c r="J195" s="15">
        <f>SOMME.SI.ENS(I$5:I$222; D$5:D$222; D195; C$5:C$222; C195)</f>
        <v/>
      </c>
      <c r="K195" s="23">
        <f>MAX(400; J195 * 0.85)</f>
        <v/>
      </c>
      <c r="L195" s="24">
        <f>SI(K195&gt;0; J195/K195; 1.0)</f>
        <v/>
      </c>
      <c r="M195" s="15">
        <f>SI(L195&gt;=1.5; "ZONE DANGER (&gt;1.5)"; SI(L195&gt;=1.3; "Zone Haute (1.3-1.5)"; SI(L195&gt;=0.8; "Sweet Spot (0.8-1.3)"; "Sous-charge (&lt;0.8)")))</f>
        <v/>
      </c>
      <c r="N195" s="14">
        <f>SI(L195&gt;=1.5; "Alléger séances / Régénération"; SI(L195&gt;=1.3; "Contrôler fatigue Hooper"; "Poursuivre programme"))</f>
        <v/>
      </c>
    </row>
    <row r="196">
      <c r="A196" s="15" t="inlineStr">
        <is>
          <t>S12</t>
        </is>
      </c>
      <c r="B196" s="21" t="n">
        <v>46080</v>
      </c>
      <c r="C196" s="15" t="inlineStr">
        <is>
          <t>S4</t>
        </is>
      </c>
      <c r="D196" s="15" t="inlineStr">
        <is>
          <t>ATH11</t>
        </is>
      </c>
      <c r="E196" s="14" t="inlineStr">
        <is>
          <t>Vendredi</t>
        </is>
      </c>
      <c r="F196" s="14" t="inlineStr">
        <is>
          <t>Collectif</t>
        </is>
      </c>
      <c r="G196" s="15" t="n">
        <v>113</v>
      </c>
      <c r="H196" s="15" t="n">
        <v>5</v>
      </c>
      <c r="I196" s="22">
        <f>G196*H196</f>
        <v/>
      </c>
      <c r="J196" s="15">
        <f>SOMME.SI.ENS(I$5:I$222; D$5:D$222; D196; C$5:C$222; C196)</f>
        <v/>
      </c>
      <c r="K196" s="23">
        <f>MAX(400; J196 * 0.85)</f>
        <v/>
      </c>
      <c r="L196" s="24">
        <f>SI(K196&gt;0; J196/K196; 1.0)</f>
        <v/>
      </c>
      <c r="M196" s="15">
        <f>SI(L196&gt;=1.5; "ZONE DANGER (&gt;1.5)"; SI(L196&gt;=1.3; "Zone Haute (1.3-1.5)"; SI(L196&gt;=0.8; "Sweet Spot (0.8-1.3)"; "Sous-charge (&lt;0.8)")))</f>
        <v/>
      </c>
      <c r="N196" s="14">
        <f>SI(L196&gt;=1.5; "Alléger séances / Régénération"; SI(L196&gt;=1.3; "Contrôler fatigue Hooper"; "Poursuivre programme"))</f>
        <v/>
      </c>
    </row>
    <row r="197">
      <c r="A197" s="15" t="inlineStr">
        <is>
          <t>S13</t>
        </is>
      </c>
      <c r="B197" s="21" t="n">
        <v>46083</v>
      </c>
      <c r="C197" s="15" t="inlineStr">
        <is>
          <t>S5</t>
        </is>
      </c>
      <c r="D197" s="15" t="inlineStr">
        <is>
          <t>ATH11</t>
        </is>
      </c>
      <c r="E197" s="14" t="inlineStr">
        <is>
          <t>Lundi</t>
        </is>
      </c>
      <c r="F197" s="14" t="inlineStr">
        <is>
          <t>Technique</t>
        </is>
      </c>
      <c r="G197" s="15" t="n">
        <v>74</v>
      </c>
      <c r="H197" s="15" t="n">
        <v>4</v>
      </c>
      <c r="I197" s="22">
        <f>G197*H197</f>
        <v/>
      </c>
      <c r="J197" s="15">
        <f>SOMME.SI.ENS(I$5:I$222; D$5:D$222; D197; C$5:C$222; C197)</f>
        <v/>
      </c>
      <c r="K197" s="23">
        <f>MAX(400; J197 * 0.85)</f>
        <v/>
      </c>
      <c r="L197" s="24">
        <f>SI(K197&gt;0; J197/K197; 1.0)</f>
        <v/>
      </c>
      <c r="M197" s="15">
        <f>SI(L197&gt;=1.5; "ZONE DANGER (&gt;1.5)"; SI(L197&gt;=1.3; "Zone Haute (1.3-1.5)"; SI(L197&gt;=0.8; "Sweet Spot (0.8-1.3)"; "Sous-charge (&lt;0.8)")))</f>
        <v/>
      </c>
      <c r="N197" s="14">
        <f>SI(L197&gt;=1.5; "Alléger séances / Régénération"; SI(L197&gt;=1.3; "Contrôler fatigue Hooper"; "Poursuivre programme"))</f>
        <v/>
      </c>
    </row>
    <row r="198">
      <c r="A198" s="15" t="inlineStr">
        <is>
          <t>S14</t>
        </is>
      </c>
      <c r="B198" s="21" t="n">
        <v>46085</v>
      </c>
      <c r="C198" s="15" t="inlineStr">
        <is>
          <t>S5</t>
        </is>
      </c>
      <c r="D198" s="15" t="inlineStr">
        <is>
          <t>ATH11</t>
        </is>
      </c>
      <c r="E198" s="14" t="inlineStr">
        <is>
          <t>Mercredi</t>
        </is>
      </c>
      <c r="F198" s="14" t="inlineStr">
        <is>
          <t>Intermittent</t>
        </is>
      </c>
      <c r="G198" s="15" t="n">
        <v>0</v>
      </c>
      <c r="H198" s="15" t="n">
        <v>0</v>
      </c>
      <c r="I198" s="22">
        <f>G198*H198</f>
        <v/>
      </c>
      <c r="J198" s="15">
        <f>SOMME.SI.ENS(I$5:I$222; D$5:D$222; D198; C$5:C$222; C198)</f>
        <v/>
      </c>
      <c r="K198" s="23">
        <f>MAX(400; J198 * 0.85)</f>
        <v/>
      </c>
      <c r="L198" s="24">
        <f>SI(K198&gt;0; J198/K198; 1.0)</f>
        <v/>
      </c>
      <c r="M198" s="15">
        <f>SI(L198&gt;=1.5; "ZONE DANGER (&gt;1.5)"; SI(L198&gt;=1.3; "Zone Haute (1.3-1.5)"; SI(L198&gt;=0.8; "Sweet Spot (0.8-1.3)"; "Sous-charge (&lt;0.8)")))</f>
        <v/>
      </c>
      <c r="N198" s="14">
        <f>SI(L198&gt;=1.5; "Alléger séances / Régénération"; SI(L198&gt;=1.3; "Contrôler fatigue Hooper"; "Poursuivre programme"))</f>
        <v/>
      </c>
    </row>
    <row r="199">
      <c r="A199" s="15" t="inlineStr">
        <is>
          <t>S15</t>
        </is>
      </c>
      <c r="B199" s="21" t="n">
        <v>46087</v>
      </c>
      <c r="C199" s="15" t="inlineStr">
        <is>
          <t>S5</t>
        </is>
      </c>
      <c r="D199" s="15" t="inlineStr">
        <is>
          <t>ATH11</t>
        </is>
      </c>
      <c r="E199" s="14" t="inlineStr">
        <is>
          <t>Vendredi</t>
        </is>
      </c>
      <c r="F199" s="14" t="inlineStr">
        <is>
          <t>Collectif</t>
        </is>
      </c>
      <c r="G199" s="15" t="n">
        <v>110</v>
      </c>
      <c r="H199" s="15" t="n">
        <v>8</v>
      </c>
      <c r="I199" s="22">
        <f>G199*H199</f>
        <v/>
      </c>
      <c r="J199" s="15">
        <f>SOMME.SI.ENS(I$5:I$222; D$5:D$222; D199; C$5:C$222; C199)</f>
        <v/>
      </c>
      <c r="K199" s="23">
        <f>MAX(400; J199 * 0.85)</f>
        <v/>
      </c>
      <c r="L199" s="24">
        <f>SI(K199&gt;0; J199/K199; 1.0)</f>
        <v/>
      </c>
      <c r="M199" s="15">
        <f>SI(L199&gt;=1.5; "ZONE DANGER (&gt;1.5)"; SI(L199&gt;=1.3; "Zone Haute (1.3-1.5)"; SI(L199&gt;=0.8; "Sweet Spot (0.8-1.3)"; "Sous-charge (&lt;0.8)")))</f>
        <v/>
      </c>
      <c r="N199" s="14">
        <f>SI(L199&gt;=1.5; "Alléger séances / Régénération"; SI(L199&gt;=1.3; "Contrôler fatigue Hooper"; "Poursuivre programme"))</f>
        <v/>
      </c>
    </row>
    <row r="200">
      <c r="A200" s="15" t="inlineStr">
        <is>
          <t>S16</t>
        </is>
      </c>
      <c r="B200" s="21" t="n">
        <v>46090</v>
      </c>
      <c r="C200" s="15" t="inlineStr">
        <is>
          <t>S6</t>
        </is>
      </c>
      <c r="D200" s="15" t="inlineStr">
        <is>
          <t>ATH11</t>
        </is>
      </c>
      <c r="E200" s="14" t="inlineStr">
        <is>
          <t>Lundi</t>
        </is>
      </c>
      <c r="F200" s="14" t="inlineStr">
        <is>
          <t>Force</t>
        </is>
      </c>
      <c r="G200" s="15" t="n">
        <v>74</v>
      </c>
      <c r="H200" s="15" t="n">
        <v>4</v>
      </c>
      <c r="I200" s="22">
        <f>G200*H200</f>
        <v/>
      </c>
      <c r="J200" s="15">
        <f>SOMME.SI.ENS(I$5:I$222; D$5:D$222; D200; C$5:C$222; C200)</f>
        <v/>
      </c>
      <c r="K200" s="23">
        <f>MAX(400; J200 * 0.85)</f>
        <v/>
      </c>
      <c r="L200" s="24">
        <f>SI(K200&gt;0; J200/K200; 1.0)</f>
        <v/>
      </c>
      <c r="M200" s="15">
        <f>SI(L200&gt;=1.5; "ZONE DANGER (&gt;1.5)"; SI(L200&gt;=1.3; "Zone Haute (1.3-1.5)"; SI(L200&gt;=0.8; "Sweet Spot (0.8-1.3)"; "Sous-charge (&lt;0.8)")))</f>
        <v/>
      </c>
      <c r="N200" s="14">
        <f>SI(L200&gt;=1.5; "Alléger séances / Régénération"; SI(L200&gt;=1.3; "Contrôler fatigue Hooper"; "Poursuivre programme"))</f>
        <v/>
      </c>
    </row>
    <row r="201">
      <c r="A201" s="15" t="inlineStr">
        <is>
          <t>S17</t>
        </is>
      </c>
      <c r="B201" s="21" t="n">
        <v>46092</v>
      </c>
      <c r="C201" s="15" t="inlineStr">
        <is>
          <t>S6</t>
        </is>
      </c>
      <c r="D201" s="15" t="inlineStr">
        <is>
          <t>ATH11</t>
        </is>
      </c>
      <c r="E201" s="14" t="inlineStr">
        <is>
          <t>Mercredi</t>
        </is>
      </c>
      <c r="F201" s="14" t="inlineStr">
        <is>
          <t>Intermittent</t>
        </is>
      </c>
      <c r="G201" s="15" t="n">
        <v>86</v>
      </c>
      <c r="H201" s="15" t="n">
        <v>6</v>
      </c>
      <c r="I201" s="22">
        <f>G201*H201</f>
        <v/>
      </c>
      <c r="J201" s="15">
        <f>SOMME.SI.ENS(I$5:I$222; D$5:D$222; D201; C$5:C$222; C201)</f>
        <v/>
      </c>
      <c r="K201" s="23">
        <f>MAX(400; J201 * 0.85)</f>
        <v/>
      </c>
      <c r="L201" s="24">
        <f>SI(K201&gt;0; J201/K201; 1.0)</f>
        <v/>
      </c>
      <c r="M201" s="15">
        <f>SI(L201&gt;=1.5; "ZONE DANGER (&gt;1.5)"; SI(L201&gt;=1.3; "Zone Haute (1.3-1.5)"; SI(L201&gt;=0.8; "Sweet Spot (0.8-1.3)"; "Sous-charge (&lt;0.8)")))</f>
        <v/>
      </c>
      <c r="N201" s="14">
        <f>SI(L201&gt;=1.5; "Alléger séances / Régénération"; SI(L201&gt;=1.3; "Contrôler fatigue Hooper"; "Poursuivre programme"))</f>
        <v/>
      </c>
    </row>
    <row r="202">
      <c r="A202" s="15" t="inlineStr">
        <is>
          <t>S18</t>
        </is>
      </c>
      <c r="B202" s="21" t="n">
        <v>46094</v>
      </c>
      <c r="C202" s="15" t="inlineStr">
        <is>
          <t>S6</t>
        </is>
      </c>
      <c r="D202" s="15" t="inlineStr">
        <is>
          <t>ATH11</t>
        </is>
      </c>
      <c r="E202" s="14" t="inlineStr">
        <is>
          <t>Vendredi</t>
        </is>
      </c>
      <c r="F202" s="14" t="inlineStr">
        <is>
          <t>Collectif</t>
        </is>
      </c>
      <c r="G202" s="15" t="n">
        <v>102</v>
      </c>
      <c r="H202" s="15" t="n">
        <v>5</v>
      </c>
      <c r="I202" s="22">
        <f>G202*H202</f>
        <v/>
      </c>
      <c r="J202" s="15">
        <f>SOMME.SI.ENS(I$5:I$222; D$5:D$222; D202; C$5:C$222; C202)</f>
        <v/>
      </c>
      <c r="K202" s="23">
        <f>MAX(400; J202 * 0.85)</f>
        <v/>
      </c>
      <c r="L202" s="24">
        <f>SI(K202&gt;0; J202/K202; 1.0)</f>
        <v/>
      </c>
      <c r="M202" s="15">
        <f>SI(L202&gt;=1.5; "ZONE DANGER (&gt;1.5)"; SI(L202&gt;=1.3; "Zone Haute (1.3-1.5)"; SI(L202&gt;=0.8; "Sweet Spot (0.8-1.3)"; "Sous-charge (&lt;0.8)")))</f>
        <v/>
      </c>
      <c r="N202" s="14">
        <f>SI(L202&gt;=1.5; "Alléger séances / Régénération"; SI(L202&gt;=1.3; "Contrôler fatigue Hooper"; "Poursuivre programme"))</f>
        <v/>
      </c>
    </row>
    <row r="203">
      <c r="A203" s="15" t="inlineStr">
        <is>
          <t>S01</t>
        </is>
      </c>
      <c r="B203" s="21" t="n">
        <v>46055</v>
      </c>
      <c r="C203" s="15" t="inlineStr">
        <is>
          <t>S1</t>
        </is>
      </c>
      <c r="D203" s="15" t="inlineStr">
        <is>
          <t>ATH12</t>
        </is>
      </c>
      <c r="E203" s="14" t="inlineStr">
        <is>
          <t>Lundi</t>
        </is>
      </c>
      <c r="F203" s="14" t="inlineStr">
        <is>
          <t>Technique</t>
        </is>
      </c>
      <c r="G203" s="15" t="n">
        <v>71</v>
      </c>
      <c r="H203" s="15" t="n">
        <v>4</v>
      </c>
      <c r="I203" s="22">
        <f>G203*H203</f>
        <v/>
      </c>
      <c r="J203" s="15">
        <f>SOMME.SI.ENS(I$5:I$222; D$5:D$222; D203; C$5:C$222; C203)</f>
        <v/>
      </c>
      <c r="K203" s="23">
        <f>MAX(400; J203 * 0.85)</f>
        <v/>
      </c>
      <c r="L203" s="24">
        <f>SI(K203&gt;0; J203/K203; 1.0)</f>
        <v/>
      </c>
      <c r="M203" s="15">
        <f>SI(L203&gt;=1.5; "ZONE DANGER (&gt;1.5)"; SI(L203&gt;=1.3; "Zone Haute (1.3-1.5)"; SI(L203&gt;=0.8; "Sweet Spot (0.8-1.3)"; "Sous-charge (&lt;0.8)")))</f>
        <v/>
      </c>
      <c r="N203" s="14">
        <f>SI(L203&gt;=1.5; "Alléger séances / Régénération"; SI(L203&gt;=1.3; "Contrôler fatigue Hooper"; "Poursuivre programme"))</f>
        <v/>
      </c>
    </row>
    <row r="204">
      <c r="A204" s="15" t="inlineStr">
        <is>
          <t>S02</t>
        </is>
      </c>
      <c r="B204" s="21" t="n">
        <v>46057</v>
      </c>
      <c r="C204" s="15" t="inlineStr">
        <is>
          <t>S1</t>
        </is>
      </c>
      <c r="D204" s="15" t="inlineStr">
        <is>
          <t>ATH12</t>
        </is>
      </c>
      <c r="E204" s="14" t="inlineStr">
        <is>
          <t>Mercredi</t>
        </is>
      </c>
      <c r="F204" s="14" t="inlineStr">
        <is>
          <t>Intermittent</t>
        </is>
      </c>
      <c r="G204" s="15" t="n">
        <v>87</v>
      </c>
      <c r="H204" s="15" t="n">
        <v>7</v>
      </c>
      <c r="I204" s="22">
        <f>G204*H204</f>
        <v/>
      </c>
      <c r="J204" s="15">
        <f>SOMME.SI.ENS(I$5:I$222; D$5:D$222; D204; C$5:C$222; C204)</f>
        <v/>
      </c>
      <c r="K204" s="23">
        <f>MAX(400; J204 * 0.85)</f>
        <v/>
      </c>
      <c r="L204" s="24">
        <f>SI(K204&gt;0; J204/K204; 1.0)</f>
        <v/>
      </c>
      <c r="M204" s="15">
        <f>SI(L204&gt;=1.5; "ZONE DANGER (&gt;1.5)"; SI(L204&gt;=1.3; "Zone Haute (1.3-1.5)"; SI(L204&gt;=0.8; "Sweet Spot (0.8-1.3)"; "Sous-charge (&lt;0.8)")))</f>
        <v/>
      </c>
      <c r="N204" s="14">
        <f>SI(L204&gt;=1.5; "Alléger séances / Régénération"; SI(L204&gt;=1.3; "Contrôler fatigue Hooper"; "Poursuivre programme"))</f>
        <v/>
      </c>
    </row>
    <row r="205">
      <c r="A205" s="15" t="inlineStr">
        <is>
          <t>S03</t>
        </is>
      </c>
      <c r="B205" s="21" t="n">
        <v>46059</v>
      </c>
      <c r="C205" s="15" t="inlineStr">
        <is>
          <t>S1</t>
        </is>
      </c>
      <c r="D205" s="15" t="inlineStr">
        <is>
          <t>ATH12</t>
        </is>
      </c>
      <c r="E205" s="14" t="inlineStr">
        <is>
          <t>Vendredi</t>
        </is>
      </c>
      <c r="F205" s="14" t="inlineStr">
        <is>
          <t>Collectif</t>
        </is>
      </c>
      <c r="G205" s="15" t="n">
        <v>104</v>
      </c>
      <c r="H205" s="15" t="n">
        <v>6</v>
      </c>
      <c r="I205" s="22">
        <f>G205*H205</f>
        <v/>
      </c>
      <c r="J205" s="15">
        <f>SOMME.SI.ENS(I$5:I$222; D$5:D$222; D205; C$5:C$222; C205)</f>
        <v/>
      </c>
      <c r="K205" s="23">
        <f>MAX(400; J205 * 0.85)</f>
        <v/>
      </c>
      <c r="L205" s="24">
        <f>SI(K205&gt;0; J205/K205; 1.0)</f>
        <v/>
      </c>
      <c r="M205" s="15">
        <f>SI(L205&gt;=1.5; "ZONE DANGER (&gt;1.5)"; SI(L205&gt;=1.3; "Zone Haute (1.3-1.5)"; SI(L205&gt;=0.8; "Sweet Spot (0.8-1.3)"; "Sous-charge (&lt;0.8)")))</f>
        <v/>
      </c>
      <c r="N205" s="14">
        <f>SI(L205&gt;=1.5; "Alléger séances / Régénération"; SI(L205&gt;=1.3; "Contrôler fatigue Hooper"; "Poursuivre programme"))</f>
        <v/>
      </c>
    </row>
    <row r="206">
      <c r="A206" s="15" t="inlineStr">
        <is>
          <t>S04</t>
        </is>
      </c>
      <c r="B206" s="21" t="n">
        <v>46062</v>
      </c>
      <c r="C206" s="15" t="inlineStr">
        <is>
          <t>S2</t>
        </is>
      </c>
      <c r="D206" s="15" t="inlineStr">
        <is>
          <t>ATH12</t>
        </is>
      </c>
      <c r="E206" s="14" t="inlineStr">
        <is>
          <t>Lundi</t>
        </is>
      </c>
      <c r="F206" s="14" t="inlineStr">
        <is>
          <t>Force</t>
        </is>
      </c>
      <c r="G206" s="15" t="n">
        <v>69</v>
      </c>
      <c r="H206" s="15" t="n">
        <v>3</v>
      </c>
      <c r="I206" s="22">
        <f>G206*H206</f>
        <v/>
      </c>
      <c r="J206" s="15">
        <f>SOMME.SI.ENS(I$5:I$222; D$5:D$222; D206; C$5:C$222; C206)</f>
        <v/>
      </c>
      <c r="K206" s="23">
        <f>MAX(400; J206 * 0.85)</f>
        <v/>
      </c>
      <c r="L206" s="24">
        <f>SI(K206&gt;0; J206/K206; 1.0)</f>
        <v/>
      </c>
      <c r="M206" s="15">
        <f>SI(L206&gt;=1.5; "ZONE DANGER (&gt;1.5)"; SI(L206&gt;=1.3; "Zone Haute (1.3-1.5)"; SI(L206&gt;=0.8; "Sweet Spot (0.8-1.3)"; "Sous-charge (&lt;0.8)")))</f>
        <v/>
      </c>
      <c r="N206" s="14">
        <f>SI(L206&gt;=1.5; "Alléger séances / Régénération"; SI(L206&gt;=1.3; "Contrôler fatigue Hooper"; "Poursuivre programme"))</f>
        <v/>
      </c>
    </row>
    <row r="207">
      <c r="A207" s="15" t="inlineStr">
        <is>
          <t>S05</t>
        </is>
      </c>
      <c r="B207" s="21" t="n">
        <v>46064</v>
      </c>
      <c r="C207" s="15" t="inlineStr">
        <is>
          <t>S2</t>
        </is>
      </c>
      <c r="D207" s="15" t="inlineStr">
        <is>
          <t>ATH12</t>
        </is>
      </c>
      <c r="E207" s="14" t="inlineStr">
        <is>
          <t>Mercredi</t>
        </is>
      </c>
      <c r="F207" s="14" t="inlineStr">
        <is>
          <t>Intermittent</t>
        </is>
      </c>
      <c r="G207" s="15" t="n">
        <v>92</v>
      </c>
      <c r="H207" s="15" t="n">
        <v>7</v>
      </c>
      <c r="I207" s="22">
        <f>G207*H207</f>
        <v/>
      </c>
      <c r="J207" s="15">
        <f>SOMME.SI.ENS(I$5:I$222; D$5:D$222; D207; C$5:C$222; C207)</f>
        <v/>
      </c>
      <c r="K207" s="23">
        <f>MAX(400; J207 * 0.85)</f>
        <v/>
      </c>
      <c r="L207" s="24">
        <f>SI(K207&gt;0; J207/K207; 1.0)</f>
        <v/>
      </c>
      <c r="M207" s="15">
        <f>SI(L207&gt;=1.5; "ZONE DANGER (&gt;1.5)"; SI(L207&gt;=1.3; "Zone Haute (1.3-1.5)"; SI(L207&gt;=0.8; "Sweet Spot (0.8-1.3)"; "Sous-charge (&lt;0.8)")))</f>
        <v/>
      </c>
      <c r="N207" s="14">
        <f>SI(L207&gt;=1.5; "Alléger séances / Régénération"; SI(L207&gt;=1.3; "Contrôler fatigue Hooper"; "Poursuivre programme"))</f>
        <v/>
      </c>
    </row>
    <row r="208">
      <c r="A208" s="15" t="inlineStr">
        <is>
          <t>S06</t>
        </is>
      </c>
      <c r="B208" s="21" t="n">
        <v>46066</v>
      </c>
      <c r="C208" s="15" t="inlineStr">
        <is>
          <t>S2</t>
        </is>
      </c>
      <c r="D208" s="15" t="inlineStr">
        <is>
          <t>ATH12</t>
        </is>
      </c>
      <c r="E208" s="14" t="inlineStr">
        <is>
          <t>Vendredi</t>
        </is>
      </c>
      <c r="F208" s="14" t="inlineStr">
        <is>
          <t>Collectif</t>
        </is>
      </c>
      <c r="G208" s="15" t="n">
        <v>105</v>
      </c>
      <c r="H208" s="15" t="n">
        <v>6</v>
      </c>
      <c r="I208" s="22">
        <f>G208*H208</f>
        <v/>
      </c>
      <c r="J208" s="15">
        <f>SOMME.SI.ENS(I$5:I$222; D$5:D$222; D208; C$5:C$222; C208)</f>
        <v/>
      </c>
      <c r="K208" s="23">
        <f>MAX(400; J208 * 0.85)</f>
        <v/>
      </c>
      <c r="L208" s="24">
        <f>SI(K208&gt;0; J208/K208; 1.0)</f>
        <v/>
      </c>
      <c r="M208" s="15">
        <f>SI(L208&gt;=1.5; "ZONE DANGER (&gt;1.5)"; SI(L208&gt;=1.3; "Zone Haute (1.3-1.5)"; SI(L208&gt;=0.8; "Sweet Spot (0.8-1.3)"; "Sous-charge (&lt;0.8)")))</f>
        <v/>
      </c>
      <c r="N208" s="14">
        <f>SI(L208&gt;=1.5; "Alléger séances / Régénération"; SI(L208&gt;=1.3; "Contrôler fatigue Hooper"; "Poursuivre programme"))</f>
        <v/>
      </c>
    </row>
    <row r="209">
      <c r="A209" s="15" t="inlineStr">
        <is>
          <t>S07</t>
        </is>
      </c>
      <c r="B209" s="21" t="n">
        <v>46069</v>
      </c>
      <c r="C209" s="15" t="inlineStr">
        <is>
          <t>S3</t>
        </is>
      </c>
      <c r="D209" s="15" t="inlineStr">
        <is>
          <t>ATH12</t>
        </is>
      </c>
      <c r="E209" s="14" t="inlineStr">
        <is>
          <t>Lundi</t>
        </is>
      </c>
      <c r="F209" s="14" t="inlineStr">
        <is>
          <t>Technique</t>
        </is>
      </c>
      <c r="G209" s="15" t="n">
        <v>79</v>
      </c>
      <c r="H209" s="15" t="n">
        <v>6</v>
      </c>
      <c r="I209" s="22">
        <f>G209*H209</f>
        <v/>
      </c>
      <c r="J209" s="15">
        <f>SOMME.SI.ENS(I$5:I$222; D$5:D$222; D209; C$5:C$222; C209)</f>
        <v/>
      </c>
      <c r="K209" s="23">
        <f>MAX(400; J209 * 0.85)</f>
        <v/>
      </c>
      <c r="L209" s="24">
        <f>SI(K209&gt;0; J209/K209; 1.0)</f>
        <v/>
      </c>
      <c r="M209" s="15">
        <f>SI(L209&gt;=1.5; "ZONE DANGER (&gt;1.5)"; SI(L209&gt;=1.3; "Zone Haute (1.3-1.5)"; SI(L209&gt;=0.8; "Sweet Spot (0.8-1.3)"; "Sous-charge (&lt;0.8)")))</f>
        <v/>
      </c>
      <c r="N209" s="14">
        <f>SI(L209&gt;=1.5; "Alléger séances / Régénération"; SI(L209&gt;=1.3; "Contrôler fatigue Hooper"; "Poursuivre programme"))</f>
        <v/>
      </c>
    </row>
    <row r="210">
      <c r="A210" s="15" t="inlineStr">
        <is>
          <t>S08</t>
        </is>
      </c>
      <c r="B210" s="21" t="n">
        <v>46071</v>
      </c>
      <c r="C210" s="15" t="inlineStr">
        <is>
          <t>S3</t>
        </is>
      </c>
      <c r="D210" s="15" t="inlineStr">
        <is>
          <t>ATH12</t>
        </is>
      </c>
      <c r="E210" s="14" t="inlineStr">
        <is>
          <t>Mercredi</t>
        </is>
      </c>
      <c r="F210" s="14" t="inlineStr">
        <is>
          <t>Intermittent</t>
        </is>
      </c>
      <c r="G210" s="15" t="n">
        <v>91</v>
      </c>
      <c r="H210" s="15" t="n">
        <v>7</v>
      </c>
      <c r="I210" s="22">
        <f>G210*H210</f>
        <v/>
      </c>
      <c r="J210" s="15">
        <f>SOMME.SI.ENS(I$5:I$222; D$5:D$222; D210; C$5:C$222; C210)</f>
        <v/>
      </c>
      <c r="K210" s="23">
        <f>MAX(400; J210 * 0.85)</f>
        <v/>
      </c>
      <c r="L210" s="24">
        <f>SI(K210&gt;0; J210/K210; 1.0)</f>
        <v/>
      </c>
      <c r="M210" s="15">
        <f>SI(L210&gt;=1.5; "ZONE DANGER (&gt;1.5)"; SI(L210&gt;=1.3; "Zone Haute (1.3-1.5)"; SI(L210&gt;=0.8; "Sweet Spot (0.8-1.3)"; "Sous-charge (&lt;0.8)")))</f>
        <v/>
      </c>
      <c r="N210" s="14">
        <f>SI(L210&gt;=1.5; "Alléger séances / Régénération"; SI(L210&gt;=1.3; "Contrôler fatigue Hooper"; "Poursuivre programme"))</f>
        <v/>
      </c>
    </row>
    <row r="211">
      <c r="A211" s="15" t="inlineStr">
        <is>
          <t>S09</t>
        </is>
      </c>
      <c r="B211" s="21" t="n">
        <v>46073</v>
      </c>
      <c r="C211" s="15" t="inlineStr">
        <is>
          <t>S3</t>
        </is>
      </c>
      <c r="D211" s="15" t="inlineStr">
        <is>
          <t>ATH12</t>
        </is>
      </c>
      <c r="E211" s="14" t="inlineStr">
        <is>
          <t>Vendredi</t>
        </is>
      </c>
      <c r="F211" s="14" t="inlineStr">
        <is>
          <t>Collectif</t>
        </is>
      </c>
      <c r="G211" s="15" t="n">
        <v>107</v>
      </c>
      <c r="H211" s="15" t="n">
        <v>6</v>
      </c>
      <c r="I211" s="22">
        <f>G211*H211</f>
        <v/>
      </c>
      <c r="J211" s="15">
        <f>SOMME.SI.ENS(I$5:I$222; D$5:D$222; D211; C$5:C$222; C211)</f>
        <v/>
      </c>
      <c r="K211" s="23">
        <f>MAX(400; J211 * 0.85)</f>
        <v/>
      </c>
      <c r="L211" s="24">
        <f>SI(K211&gt;0; J211/K211; 1.0)</f>
        <v/>
      </c>
      <c r="M211" s="15">
        <f>SI(L211&gt;=1.5; "ZONE DANGER (&gt;1.5)"; SI(L211&gt;=1.3; "Zone Haute (1.3-1.5)"; SI(L211&gt;=0.8; "Sweet Spot (0.8-1.3)"; "Sous-charge (&lt;0.8)")))</f>
        <v/>
      </c>
      <c r="N211" s="14">
        <f>SI(L211&gt;=1.5; "Alléger séances / Régénération"; SI(L211&gt;=1.3; "Contrôler fatigue Hooper"; "Poursuivre programme"))</f>
        <v/>
      </c>
    </row>
    <row r="212">
      <c r="A212" s="15" t="inlineStr">
        <is>
          <t>S10</t>
        </is>
      </c>
      <c r="B212" s="21" t="n">
        <v>46076</v>
      </c>
      <c r="C212" s="15" t="inlineStr">
        <is>
          <t>S4</t>
        </is>
      </c>
      <c r="D212" s="15" t="inlineStr">
        <is>
          <t>ATH12</t>
        </is>
      </c>
      <c r="E212" s="14" t="inlineStr">
        <is>
          <t>Lundi</t>
        </is>
      </c>
      <c r="F212" s="14" t="inlineStr">
        <is>
          <t>Force</t>
        </is>
      </c>
      <c r="G212" s="15" t="n">
        <v>73</v>
      </c>
      <c r="H212" s="15" t="n">
        <v>3</v>
      </c>
      <c r="I212" s="22">
        <f>G212*H212</f>
        <v/>
      </c>
      <c r="J212" s="15">
        <f>SOMME.SI.ENS(I$5:I$222; D$5:D$222; D212; C$5:C$222; C212)</f>
        <v/>
      </c>
      <c r="K212" s="23">
        <f>MAX(400; J212 * 0.85)</f>
        <v/>
      </c>
      <c r="L212" s="24">
        <f>SI(K212&gt;0; J212/K212; 1.0)</f>
        <v/>
      </c>
      <c r="M212" s="15">
        <f>SI(L212&gt;=1.5; "ZONE DANGER (&gt;1.5)"; SI(L212&gt;=1.3; "Zone Haute (1.3-1.5)"; SI(L212&gt;=0.8; "Sweet Spot (0.8-1.3)"; "Sous-charge (&lt;0.8)")))</f>
        <v/>
      </c>
      <c r="N212" s="14">
        <f>SI(L212&gt;=1.5; "Alléger séances / Régénération"; SI(L212&gt;=1.3; "Contrôler fatigue Hooper"; "Poursuivre programme"))</f>
        <v/>
      </c>
    </row>
    <row r="213">
      <c r="A213" s="15" t="inlineStr">
        <is>
          <t>S11</t>
        </is>
      </c>
      <c r="B213" s="21" t="n">
        <v>46078</v>
      </c>
      <c r="C213" s="15" t="inlineStr">
        <is>
          <t>S4</t>
        </is>
      </c>
      <c r="D213" s="15" t="inlineStr">
        <is>
          <t>ATH12</t>
        </is>
      </c>
      <c r="E213" s="14" t="inlineStr">
        <is>
          <t>Mercredi</t>
        </is>
      </c>
      <c r="F213" s="14" t="inlineStr">
        <is>
          <t>Intermittent</t>
        </is>
      </c>
      <c r="G213" s="15" t="n">
        <v>91</v>
      </c>
      <c r="H213" s="15" t="n">
        <v>8</v>
      </c>
      <c r="I213" s="22">
        <f>G213*H213</f>
        <v/>
      </c>
      <c r="J213" s="15">
        <f>SOMME.SI.ENS(I$5:I$222; D$5:D$222; D213; C$5:C$222; C213)</f>
        <v/>
      </c>
      <c r="K213" s="23">
        <f>MAX(400; J213 * 0.85)</f>
        <v/>
      </c>
      <c r="L213" s="24">
        <f>SI(K213&gt;0; J213/K213; 1.0)</f>
        <v/>
      </c>
      <c r="M213" s="15">
        <f>SI(L213&gt;=1.5; "ZONE DANGER (&gt;1.5)"; SI(L213&gt;=1.3; "Zone Haute (1.3-1.5)"; SI(L213&gt;=0.8; "Sweet Spot (0.8-1.3)"; "Sous-charge (&lt;0.8)")))</f>
        <v/>
      </c>
      <c r="N213" s="14">
        <f>SI(L213&gt;=1.5; "Alléger séances / Régénération"; SI(L213&gt;=1.3; "Contrôler fatigue Hooper"; "Poursuivre programme"))</f>
        <v/>
      </c>
    </row>
    <row r="214">
      <c r="A214" s="15" t="inlineStr">
        <is>
          <t>S12</t>
        </is>
      </c>
      <c r="B214" s="21" t="n">
        <v>46080</v>
      </c>
      <c r="C214" s="15" t="inlineStr">
        <is>
          <t>S4</t>
        </is>
      </c>
      <c r="D214" s="15" t="inlineStr">
        <is>
          <t>ATH12</t>
        </is>
      </c>
      <c r="E214" s="14" t="inlineStr">
        <is>
          <t>Vendredi</t>
        </is>
      </c>
      <c r="F214" s="14" t="inlineStr">
        <is>
          <t>Collectif</t>
        </is>
      </c>
      <c r="G214" s="15" t="n">
        <v>107</v>
      </c>
      <c r="H214" s="15" t="n">
        <v>7</v>
      </c>
      <c r="I214" s="22">
        <f>G214*H214</f>
        <v/>
      </c>
      <c r="J214" s="15">
        <f>SOMME.SI.ENS(I$5:I$222; D$5:D$222; D214; C$5:C$222; C214)</f>
        <v/>
      </c>
      <c r="K214" s="23">
        <f>MAX(400; J214 * 0.85)</f>
        <v/>
      </c>
      <c r="L214" s="24">
        <f>SI(K214&gt;0; J214/K214; 1.0)</f>
        <v/>
      </c>
      <c r="M214" s="15">
        <f>SI(L214&gt;=1.5; "ZONE DANGER (&gt;1.5)"; SI(L214&gt;=1.3; "Zone Haute (1.3-1.5)"; SI(L214&gt;=0.8; "Sweet Spot (0.8-1.3)"; "Sous-charge (&lt;0.8)")))</f>
        <v/>
      </c>
      <c r="N214" s="14">
        <f>SI(L214&gt;=1.5; "Alléger séances / Régénération"; SI(L214&gt;=1.3; "Contrôler fatigue Hooper"; "Poursuivre programme"))</f>
        <v/>
      </c>
    </row>
    <row r="215">
      <c r="A215" s="15" t="inlineStr">
        <is>
          <t>S13</t>
        </is>
      </c>
      <c r="B215" s="21" t="n">
        <v>46083</v>
      </c>
      <c r="C215" s="15" t="inlineStr">
        <is>
          <t>S5</t>
        </is>
      </c>
      <c r="D215" s="15" t="inlineStr">
        <is>
          <t>ATH12</t>
        </is>
      </c>
      <c r="E215" s="14" t="inlineStr">
        <is>
          <t>Lundi</t>
        </is>
      </c>
      <c r="F215" s="14" t="inlineStr">
        <is>
          <t>Technique</t>
        </is>
      </c>
      <c r="G215" s="15" t="n">
        <v>72</v>
      </c>
      <c r="H215" s="15" t="n">
        <v>4</v>
      </c>
      <c r="I215" s="22">
        <f>G215*H215</f>
        <v/>
      </c>
      <c r="J215" s="15">
        <f>SOMME.SI.ENS(I$5:I$222; D$5:D$222; D215; C$5:C$222; C215)</f>
        <v/>
      </c>
      <c r="K215" s="23">
        <f>MAX(400; J215 * 0.85)</f>
        <v/>
      </c>
      <c r="L215" s="24">
        <f>SI(K215&gt;0; J215/K215; 1.0)</f>
        <v/>
      </c>
      <c r="M215" s="15">
        <f>SI(L215&gt;=1.5; "ZONE DANGER (&gt;1.5)"; SI(L215&gt;=1.3; "Zone Haute (1.3-1.5)"; SI(L215&gt;=0.8; "Sweet Spot (0.8-1.3)"; "Sous-charge (&lt;0.8)")))</f>
        <v/>
      </c>
      <c r="N215" s="14">
        <f>SI(L215&gt;=1.5; "Alléger séances / Régénération"; SI(L215&gt;=1.3; "Contrôler fatigue Hooper"; "Poursuivre programme"))</f>
        <v/>
      </c>
    </row>
    <row r="216">
      <c r="A216" s="15" t="inlineStr">
        <is>
          <t>S14</t>
        </is>
      </c>
      <c r="B216" s="21" t="n">
        <v>46085</v>
      </c>
      <c r="C216" s="15" t="inlineStr">
        <is>
          <t>S5</t>
        </is>
      </c>
      <c r="D216" s="15" t="inlineStr">
        <is>
          <t>ATH12</t>
        </is>
      </c>
      <c r="E216" s="14" t="inlineStr">
        <is>
          <t>Mercredi</t>
        </is>
      </c>
      <c r="F216" s="14" t="inlineStr">
        <is>
          <t>Intermittent</t>
        </is>
      </c>
      <c r="G216" s="15" t="n">
        <v>94</v>
      </c>
      <c r="H216" s="15" t="n">
        <v>8</v>
      </c>
      <c r="I216" s="22">
        <f>G216*H216</f>
        <v/>
      </c>
      <c r="J216" s="15">
        <f>SOMME.SI.ENS(I$5:I$222; D$5:D$222; D216; C$5:C$222; C216)</f>
        <v/>
      </c>
      <c r="K216" s="23">
        <f>MAX(400; J216 * 0.85)</f>
        <v/>
      </c>
      <c r="L216" s="24">
        <f>SI(K216&gt;0; J216/K216; 1.0)</f>
        <v/>
      </c>
      <c r="M216" s="15">
        <f>SI(L216&gt;=1.5; "ZONE DANGER (&gt;1.5)"; SI(L216&gt;=1.3; "Zone Haute (1.3-1.5)"; SI(L216&gt;=0.8; "Sweet Spot (0.8-1.3)"; "Sous-charge (&lt;0.8)")))</f>
        <v/>
      </c>
      <c r="N216" s="14">
        <f>SI(L216&gt;=1.5; "Alléger séances / Régénération"; SI(L216&gt;=1.3; "Contrôler fatigue Hooper"; "Poursuivre programme"))</f>
        <v/>
      </c>
    </row>
    <row r="217">
      <c r="A217" s="15" t="inlineStr">
        <is>
          <t>S15</t>
        </is>
      </c>
      <c r="B217" s="21" t="n">
        <v>46087</v>
      </c>
      <c r="C217" s="15" t="inlineStr">
        <is>
          <t>S5</t>
        </is>
      </c>
      <c r="D217" s="15" t="inlineStr">
        <is>
          <t>ATH12</t>
        </is>
      </c>
      <c r="E217" s="14" t="inlineStr">
        <is>
          <t>Vendredi</t>
        </is>
      </c>
      <c r="F217" s="14" t="inlineStr">
        <is>
          <t>Collectif</t>
        </is>
      </c>
      <c r="G217" s="15" t="n">
        <v>110</v>
      </c>
      <c r="H217" s="15" t="n">
        <v>6</v>
      </c>
      <c r="I217" s="22">
        <f>G217*H217</f>
        <v/>
      </c>
      <c r="J217" s="15">
        <f>SOMME.SI.ENS(I$5:I$222; D$5:D$222; D217; C$5:C$222; C217)</f>
        <v/>
      </c>
      <c r="K217" s="23">
        <f>MAX(400; J217 * 0.85)</f>
        <v/>
      </c>
      <c r="L217" s="24">
        <f>SI(K217&gt;0; J217/K217; 1.0)</f>
        <v/>
      </c>
      <c r="M217" s="15">
        <f>SI(L217&gt;=1.5; "ZONE DANGER (&gt;1.5)"; SI(L217&gt;=1.3; "Zone Haute (1.3-1.5)"; SI(L217&gt;=0.8; "Sweet Spot (0.8-1.3)"; "Sous-charge (&lt;0.8)")))</f>
        <v/>
      </c>
      <c r="N217" s="14">
        <f>SI(L217&gt;=1.5; "Alléger séances / Régénération"; SI(L217&gt;=1.3; "Contrôler fatigue Hooper"; "Poursuivre programme"))</f>
        <v/>
      </c>
    </row>
    <row r="218">
      <c r="A218" s="15" t="inlineStr">
        <is>
          <t>S16</t>
        </is>
      </c>
      <c r="B218" s="21" t="n">
        <v>46090</v>
      </c>
      <c r="C218" s="15" t="inlineStr">
        <is>
          <t>S6</t>
        </is>
      </c>
      <c r="D218" s="15" t="inlineStr">
        <is>
          <t>ATH12</t>
        </is>
      </c>
      <c r="E218" s="14" t="inlineStr">
        <is>
          <t>Lundi</t>
        </is>
      </c>
      <c r="F218" s="14" t="inlineStr">
        <is>
          <t>Force</t>
        </is>
      </c>
      <c r="G218" s="15" t="n">
        <v>75</v>
      </c>
      <c r="H218" s="15" t="n">
        <v>4</v>
      </c>
      <c r="I218" s="22">
        <f>G218*H218</f>
        <v/>
      </c>
      <c r="J218" s="15">
        <f>SOMME.SI.ENS(I$5:I$222; D$5:D$222; D218; C$5:C$222; C218)</f>
        <v/>
      </c>
      <c r="K218" s="23">
        <f>MAX(400; J218 * 0.85)</f>
        <v/>
      </c>
      <c r="L218" s="24">
        <f>SI(K218&gt;0; J218/K218; 1.0)</f>
        <v/>
      </c>
      <c r="M218" s="15">
        <f>SI(L218&gt;=1.5; "ZONE DANGER (&gt;1.5)"; SI(L218&gt;=1.3; "Zone Haute (1.3-1.5)"; SI(L218&gt;=0.8; "Sweet Spot (0.8-1.3)"; "Sous-charge (&lt;0.8)")))</f>
        <v/>
      </c>
      <c r="N218" s="14">
        <f>SI(L218&gt;=1.5; "Alléger séances / Régénération"; SI(L218&gt;=1.3; "Contrôler fatigue Hooper"; "Poursuivre programme"))</f>
        <v/>
      </c>
    </row>
    <row r="219">
      <c r="A219" s="15" t="inlineStr">
        <is>
          <t>S17</t>
        </is>
      </c>
      <c r="B219" s="21" t="n">
        <v>46092</v>
      </c>
      <c r="C219" s="15" t="inlineStr">
        <is>
          <t>S6</t>
        </is>
      </c>
      <c r="D219" s="15" t="inlineStr">
        <is>
          <t>ATH12</t>
        </is>
      </c>
      <c r="E219" s="14" t="inlineStr">
        <is>
          <t>Mercredi</t>
        </is>
      </c>
      <c r="F219" s="14" t="inlineStr">
        <is>
          <t>Intermittent</t>
        </is>
      </c>
      <c r="G219" s="15" t="n">
        <v>90</v>
      </c>
      <c r="H219" s="15" t="n">
        <v>6</v>
      </c>
      <c r="I219" s="22">
        <f>G219*H219</f>
        <v/>
      </c>
      <c r="J219" s="15">
        <f>SOMME.SI.ENS(I$5:I$222; D$5:D$222; D219; C$5:C$222; C219)</f>
        <v/>
      </c>
      <c r="K219" s="23">
        <f>MAX(400; J219 * 0.85)</f>
        <v/>
      </c>
      <c r="L219" s="24">
        <f>SI(K219&gt;0; J219/K219; 1.0)</f>
        <v/>
      </c>
      <c r="M219" s="15">
        <f>SI(L219&gt;=1.5; "ZONE DANGER (&gt;1.5)"; SI(L219&gt;=1.3; "Zone Haute (1.3-1.5)"; SI(L219&gt;=0.8; "Sweet Spot (0.8-1.3)"; "Sous-charge (&lt;0.8)")))</f>
        <v/>
      </c>
      <c r="N219" s="14">
        <f>SI(L219&gt;=1.5; "Alléger séances / Régénération"; SI(L219&gt;=1.3; "Contrôler fatigue Hooper"; "Poursuivre programme"))</f>
        <v/>
      </c>
    </row>
    <row r="220">
      <c r="A220" s="15" t="inlineStr">
        <is>
          <t>S18</t>
        </is>
      </c>
      <c r="B220" s="21" t="n">
        <v>46094</v>
      </c>
      <c r="C220" s="15" t="inlineStr">
        <is>
          <t>S6</t>
        </is>
      </c>
      <c r="D220" s="15" t="inlineStr">
        <is>
          <t>ATH12</t>
        </is>
      </c>
      <c r="E220" s="14" t="inlineStr">
        <is>
          <t>Vendredi</t>
        </is>
      </c>
      <c r="F220" s="14" t="inlineStr">
        <is>
          <t>Collectif</t>
        </is>
      </c>
      <c r="G220" s="15" t="n">
        <v>95</v>
      </c>
      <c r="H220" s="15" t="n">
        <v>6</v>
      </c>
      <c r="I220" s="22">
        <f>G220*H220</f>
        <v/>
      </c>
      <c r="J220" s="15">
        <f>SOMME.SI.ENS(I$5:I$222; D$5:D$222; D220; C$5:C$222; C220)</f>
        <v/>
      </c>
      <c r="K220" s="23">
        <f>MAX(400; J220 * 0.85)</f>
        <v/>
      </c>
      <c r="L220" s="24">
        <f>SI(K220&gt;0; J220/K220; 1.0)</f>
        <v/>
      </c>
      <c r="M220" s="15">
        <f>SI(L220&gt;=1.5; "ZONE DANGER (&gt;1.5)"; SI(L220&gt;=1.3; "Zone Haute (1.3-1.5)"; SI(L220&gt;=0.8; "Sweet Spot (0.8-1.3)"; "Sous-charge (&lt;0.8)")))</f>
        <v/>
      </c>
      <c r="N220" s="14">
        <f>SI(L220&gt;=1.5; "Alléger séances / Régénération"; SI(L220&gt;=1.3; "Contrôler fatigue Hooper"; "Poursuivre programme"))</f>
        <v/>
      </c>
    </row>
    <row r="221">
      <c r="A221" s="15" t="inlineStr">
        <is>
          <t>S03</t>
        </is>
      </c>
      <c r="B221" s="21" t="n">
        <v>46059</v>
      </c>
      <c r="C221" s="15" t="inlineStr">
        <is>
          <t>S1</t>
        </is>
      </c>
      <c r="D221" s="15" t="inlineStr">
        <is>
          <t>ATH03</t>
        </is>
      </c>
      <c r="E221" s="14" t="inlineStr">
        <is>
          <t>Vendredi</t>
        </is>
      </c>
      <c r="F221" s="14" t="inlineStr">
        <is>
          <t>Collectif</t>
        </is>
      </c>
      <c r="G221" s="15" t="n">
        <v>102</v>
      </c>
      <c r="H221" s="15" t="n">
        <v>6</v>
      </c>
      <c r="I221" s="22">
        <f>G221*H221</f>
        <v/>
      </c>
      <c r="J221" s="15">
        <f>SOMME.SI.ENS(I$5:I$222; D$5:D$222; D221; C$5:C$222; C221)</f>
        <v/>
      </c>
      <c r="K221" s="23">
        <f>MAX(400; J221 * 0.85)</f>
        <v/>
      </c>
      <c r="L221" s="24">
        <f>SI(K221&gt;0; J221/K221; 1.0)</f>
        <v/>
      </c>
      <c r="M221" s="15">
        <f>SI(L221&gt;=1.5; "ZONE DANGER (&gt;1.5)"; SI(L221&gt;=1.3; "Zone Haute (1.3-1.5)"; SI(L221&gt;=0.8; "Sweet Spot (0.8-1.3)"; "Sous-charge (&lt;0.8)")))</f>
        <v/>
      </c>
      <c r="N221" s="14">
        <f>SI(L221&gt;=1.5; "Alléger séances / Régénération"; SI(L221&gt;=1.3; "Contrôler fatigue Hooper"; "Poursuivre programme"))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7"/>
  <sheetViews>
    <sheetView showGridLines="1" workbookViewId="0">
      <selection activeCell="A1" sqref="A1"/>
    </sheetView>
  </sheetViews>
  <sheetFormatPr baseColWidth="8" defaultRowHeight="15"/>
  <cols>
    <col width="102" customWidth="1" min="1" max="1"/>
    <col width="19" customWidth="1" min="2" max="2"/>
    <col width="13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19" customWidth="1" min="17" max="17"/>
    <col width="20" customWidth="1" min="18" max="18"/>
  </cols>
  <sheetData>
    <row r="1">
      <c r="A1" s="5" t="inlineStr">
        <is>
          <t>ÉVALUATION DES TESTS PHYSIQUES : ÉVOLUTION SEMAINE 1 (PRÉ) VS SEMAINE 6 (POST)</t>
        </is>
      </c>
    </row>
    <row r="2">
      <c r="A2" s="6" t="inlineStr">
        <is>
          <t>Suivi longitudinal des 12 athlètes — Sprint 10m, Détente CMJ, Test Navette Yo-Yo IR1 et Agilité 505</t>
        </is>
      </c>
    </row>
    <row r="3"/>
    <row r="4">
      <c r="A4" s="20" t="inlineStr">
        <is>
          <t>Athlete_ID</t>
        </is>
      </c>
      <c r="B4" s="20" t="inlineStr">
        <is>
          <t>Nom &amp; Prénom</t>
        </is>
      </c>
      <c r="C4" s="20" t="inlineStr">
        <is>
          <t>Poste</t>
        </is>
      </c>
      <c r="D4" s="20" t="inlineStr">
        <is>
          <t>Sprint S1 (s)</t>
        </is>
      </c>
      <c r="E4" s="20" t="inlineStr">
        <is>
          <t>Sprint S6 (s)</t>
        </is>
      </c>
      <c r="F4" s="20" t="inlineStr">
        <is>
          <t>Delta Sprint (s)</t>
        </is>
      </c>
      <c r="G4" s="20" t="inlineStr">
        <is>
          <t>Prog. Sprint (%)</t>
        </is>
      </c>
      <c r="H4" s="20" t="inlineStr">
        <is>
          <t>CMJ S1 (cm)</t>
        </is>
      </c>
      <c r="I4" s="20" t="inlineStr">
        <is>
          <t>CMJ S6 (cm)</t>
        </is>
      </c>
      <c r="J4" s="20" t="inlineStr">
        <is>
          <t>Delta CMJ (cm)</t>
        </is>
      </c>
      <c r="K4" s="20" t="inlineStr">
        <is>
          <t>Prog. CMJ (%)</t>
        </is>
      </c>
      <c r="L4" s="20" t="inlineStr">
        <is>
          <t>YoYo S1 (m)</t>
        </is>
      </c>
      <c r="M4" s="20" t="inlineStr">
        <is>
          <t>YoYo S6 (m)</t>
        </is>
      </c>
      <c r="N4" s="20" t="inlineStr">
        <is>
          <t>Delta YoYo (m)</t>
        </is>
      </c>
      <c r="O4" s="20" t="inlineStr">
        <is>
          <t>Prog. YoYo (%)</t>
        </is>
      </c>
      <c r="P4" s="20" t="inlineStr">
        <is>
          <t>Agilité S1 (s)</t>
        </is>
      </c>
      <c r="Q4" s="20" t="inlineStr">
        <is>
          <t>Agilité S6 (s)</t>
        </is>
      </c>
      <c r="R4" s="20" t="inlineStr">
        <is>
          <t>Prog. Agilité (%)</t>
        </is>
      </c>
    </row>
    <row r="5">
      <c r="A5" s="15" t="inlineStr">
        <is>
          <t>ATH01</t>
        </is>
      </c>
      <c r="B5" s="14" t="inlineStr">
        <is>
          <t>Lucas Martin</t>
        </is>
      </c>
      <c r="C5" s="14" t="inlineStr">
        <is>
          <t>Gardien</t>
        </is>
      </c>
      <c r="D5" s="15" t="n">
        <v>1.85</v>
      </c>
      <c r="E5" s="15" t="n">
        <v>1.82</v>
      </c>
      <c r="F5" s="15">
        <f>D5-E5</f>
        <v/>
      </c>
      <c r="G5" s="25">
        <f>(D5-E5)/D5</f>
        <v/>
      </c>
      <c r="H5" s="15" t="n">
        <v>40.3</v>
      </c>
      <c r="I5" s="15" t="n">
        <v>43.3</v>
      </c>
      <c r="J5" s="15">
        <f>I5-H5</f>
        <v/>
      </c>
      <c r="K5" s="25">
        <f>(I5-H5)/H5</f>
        <v/>
      </c>
      <c r="L5" s="15" t="n">
        <v>1530</v>
      </c>
      <c r="M5" s="15" t="n">
        <v>1750</v>
      </c>
      <c r="N5" s="15">
        <f>M5-L5</f>
        <v/>
      </c>
      <c r="O5" s="25">
        <f>(M5-L5)/L5</f>
        <v/>
      </c>
      <c r="P5" s="15" t="n">
        <v>12.52</v>
      </c>
      <c r="Q5" s="15" t="n">
        <v>12.27</v>
      </c>
      <c r="R5" s="26">
        <f>(P5-Q5)/P5</f>
        <v/>
      </c>
    </row>
    <row r="6">
      <c r="A6" s="15" t="inlineStr">
        <is>
          <t>ATH02</t>
        </is>
      </c>
      <c r="B6" s="14" t="inlineStr">
        <is>
          <t>Nathan Dupont</t>
        </is>
      </c>
      <c r="C6" s="14" t="inlineStr">
        <is>
          <t>Défenseur</t>
        </is>
      </c>
      <c r="D6" s="15" t="n">
        <v>1.85</v>
      </c>
      <c r="E6" s="15" t="n">
        <v>1.82</v>
      </c>
      <c r="F6" s="15">
        <f>D6-E6</f>
        <v/>
      </c>
      <c r="G6" s="25">
        <f>(D6-E6)/D6</f>
        <v/>
      </c>
      <c r="H6" s="15" t="n">
        <v>42.3</v>
      </c>
      <c r="I6" s="15" t="n">
        <v>45.3</v>
      </c>
      <c r="J6" s="15">
        <f>I6-H6</f>
        <v/>
      </c>
      <c r="K6" s="25">
        <f>(I6-H6)/H6</f>
        <v/>
      </c>
      <c r="L6" s="15" t="n">
        <v>1933</v>
      </c>
      <c r="M6" s="15" t="n">
        <v>2153</v>
      </c>
      <c r="N6" s="15">
        <f>M6-L6</f>
        <v/>
      </c>
      <c r="O6" s="25">
        <f>(M6-L6)/L6</f>
        <v/>
      </c>
      <c r="P6" s="15" t="n">
        <v>12.6</v>
      </c>
      <c r="Q6" s="15" t="n">
        <v>12.35</v>
      </c>
      <c r="R6" s="26">
        <f>(P6-Q6)/P6</f>
        <v/>
      </c>
    </row>
    <row r="7">
      <c r="A7" s="15" t="inlineStr">
        <is>
          <t>ATH03</t>
        </is>
      </c>
      <c r="B7" s="14" t="inlineStr">
        <is>
          <t>Hugo Leroy</t>
        </is>
      </c>
      <c r="C7" s="14" t="inlineStr">
        <is>
          <t>Défenseur</t>
        </is>
      </c>
      <c r="D7" s="15" t="n">
        <v>1.98</v>
      </c>
      <c r="E7" s="15" t="n">
        <v>1.95</v>
      </c>
      <c r="F7" s="15">
        <f>D7-E7</f>
        <v/>
      </c>
      <c r="G7" s="25">
        <f>(D7-E7)/D7</f>
        <v/>
      </c>
      <c r="H7" s="15" t="n">
        <v>41.7</v>
      </c>
      <c r="I7" s="15" t="n">
        <v>44.7</v>
      </c>
      <c r="J7" s="15">
        <f>I7-H7</f>
        <v/>
      </c>
      <c r="K7" s="25">
        <f>(I7-H7)/H7</f>
        <v/>
      </c>
      <c r="L7" s="15" t="n">
        <v>1953</v>
      </c>
      <c r="M7" s="15" t="n">
        <v>2173</v>
      </c>
      <c r="N7" s="15">
        <f>M7-L7</f>
        <v/>
      </c>
      <c r="O7" s="25">
        <f>(M7-L7)/L7</f>
        <v/>
      </c>
      <c r="P7" s="15" t="n">
        <v>11.82</v>
      </c>
      <c r="Q7" s="15" t="n">
        <v>11.57</v>
      </c>
      <c r="R7" s="26">
        <f>(P7-Q7)/P7</f>
        <v/>
      </c>
    </row>
    <row r="8">
      <c r="A8" s="15" t="inlineStr">
        <is>
          <t>ATH04</t>
        </is>
      </c>
      <c r="B8" s="14" t="inlineStr">
        <is>
          <t>Ethan Simon</t>
        </is>
      </c>
      <c r="C8" s="14" t="inlineStr">
        <is>
          <t>Défenseur</t>
        </is>
      </c>
      <c r="D8" s="15" t="n">
        <v>1.83</v>
      </c>
      <c r="E8" s="15" t="n">
        <v>9.869999999999999</v>
      </c>
      <c r="F8" s="15">
        <f>D8-E8</f>
        <v/>
      </c>
      <c r="G8" s="25">
        <f>(D8-E8)/D8</f>
        <v/>
      </c>
      <c r="H8" s="15" t="n">
        <v>37.2</v>
      </c>
      <c r="I8" s="15" t="n">
        <v>40.2</v>
      </c>
      <c r="J8" s="15">
        <f>I8-H8</f>
        <v/>
      </c>
      <c r="K8" s="25">
        <f>(I8-H8)/H8</f>
        <v/>
      </c>
      <c r="L8" s="15" t="n">
        <v>1875</v>
      </c>
      <c r="M8" s="15" t="n">
        <v>2095</v>
      </c>
      <c r="N8" s="15">
        <f>M8-L8</f>
        <v/>
      </c>
      <c r="O8" s="25">
        <f>(M8-L8)/L8</f>
        <v/>
      </c>
      <c r="P8" s="15" t="n">
        <v>12.68</v>
      </c>
      <c r="Q8" s="15" t="n">
        <v>12.43</v>
      </c>
      <c r="R8" s="26">
        <f>(P8-Q8)/P8</f>
        <v/>
      </c>
    </row>
    <row r="9">
      <c r="A9" s="15" t="inlineStr">
        <is>
          <t>ATH05</t>
        </is>
      </c>
      <c r="B9" s="14" t="inlineStr">
        <is>
          <t>Louis Laurent</t>
        </is>
      </c>
      <c r="C9" s="14" t="inlineStr">
        <is>
          <t>Milieu</t>
        </is>
      </c>
      <c r="D9" s="15" t="n">
        <v>1.81</v>
      </c>
      <c r="E9" s="15" t="n">
        <v>1.78</v>
      </c>
      <c r="F9" s="15">
        <f>D9-E9</f>
        <v/>
      </c>
      <c r="G9" s="25">
        <f>(D9-E9)/D9</f>
        <v/>
      </c>
      <c r="H9" s="15" t="n">
        <v>36.6</v>
      </c>
      <c r="I9" s="15" t="n">
        <v>39.6</v>
      </c>
      <c r="J9" s="15">
        <f>I9-H9</f>
        <v/>
      </c>
      <c r="K9" s="25">
        <f>(I9-H9)/H9</f>
        <v/>
      </c>
      <c r="L9" s="15" t="n">
        <v>2030</v>
      </c>
      <c r="M9" s="15" t="n">
        <v>2250</v>
      </c>
      <c r="N9" s="15">
        <f>M9-L9</f>
        <v/>
      </c>
      <c r="O9" s="25">
        <f>(M9-L9)/L9</f>
        <v/>
      </c>
      <c r="P9" s="15" t="n">
        <v>12.08</v>
      </c>
      <c r="Q9" s="15" t="n">
        <v>11.83</v>
      </c>
      <c r="R9" s="26">
        <f>(P9-Q9)/P9</f>
        <v/>
      </c>
    </row>
    <row r="10">
      <c r="A10" s="15" t="inlineStr">
        <is>
          <t>ATH06</t>
        </is>
      </c>
      <c r="B10" s="14" t="inlineStr">
        <is>
          <t>Gabriel Lefebvre</t>
        </is>
      </c>
      <c r="C10" s="14" t="inlineStr">
        <is>
          <t>Milieu</t>
        </is>
      </c>
      <c r="D10" s="15" t="n">
        <v>1.81</v>
      </c>
      <c r="E10" s="15" t="n">
        <v>1.78</v>
      </c>
      <c r="F10" s="15">
        <f>D10-E10</f>
        <v/>
      </c>
      <c r="G10" s="25">
        <f>(D10-E10)/D10</f>
        <v/>
      </c>
      <c r="H10" s="15" t="n">
        <v>37.3</v>
      </c>
      <c r="I10" s="15" t="n">
        <v>40.3</v>
      </c>
      <c r="J10" s="15">
        <f>I10-H10</f>
        <v/>
      </c>
      <c r="K10" s="25">
        <f>(I10-H10)/H10</f>
        <v/>
      </c>
      <c r="L10" s="15" t="n">
        <v>1572</v>
      </c>
      <c r="M10" s="15" t="n">
        <v>1792</v>
      </c>
      <c r="N10" s="15">
        <f>M10-L10</f>
        <v/>
      </c>
      <c r="O10" s="25">
        <f>(M10-L10)/L10</f>
        <v/>
      </c>
      <c r="P10" s="15" t="n">
        <v>12.82</v>
      </c>
      <c r="Q10" s="15" t="n">
        <v>12.57</v>
      </c>
      <c r="R10" s="26">
        <f>(P10-Q10)/P10</f>
        <v/>
      </c>
    </row>
    <row r="11">
      <c r="A11" s="15" t="inlineStr">
        <is>
          <t>ATH07</t>
        </is>
      </c>
      <c r="B11" s="14" t="inlineStr">
        <is>
          <t>Arthur Michel</t>
        </is>
      </c>
      <c r="C11" s="14" t="inlineStr">
        <is>
          <t>Milieu</t>
        </is>
      </c>
      <c r="D11" s="15" t="n">
        <v>1.82</v>
      </c>
      <c r="E11" s="15" t="n">
        <v>1.79</v>
      </c>
      <c r="F11" s="15">
        <f>D11-E11</f>
        <v/>
      </c>
      <c r="G11" s="25">
        <f>(D11-E11)/D11</f>
        <v/>
      </c>
      <c r="H11" s="15" t="n">
        <v>35.5</v>
      </c>
      <c r="I11" s="15" t="n">
        <v>38.5</v>
      </c>
      <c r="J11" s="15">
        <f>I11-H11</f>
        <v/>
      </c>
      <c r="K11" s="25">
        <f>(I11-H11)/H11</f>
        <v/>
      </c>
      <c r="L11" s="15" t="n">
        <v>2405</v>
      </c>
      <c r="M11" s="15" t="n">
        <v>2625</v>
      </c>
      <c r="N11" s="15">
        <f>M11-L11</f>
        <v/>
      </c>
      <c r="O11" s="25">
        <f>(M11-L11)/L11</f>
        <v/>
      </c>
      <c r="P11" s="15" t="n">
        <v>12.77</v>
      </c>
      <c r="Q11" s="15" t="n">
        <v>12.52</v>
      </c>
      <c r="R11" s="26">
        <f>(P11-Q11)/P11</f>
        <v/>
      </c>
    </row>
    <row r="12">
      <c r="A12" s="15" t="inlineStr">
        <is>
          <t>ATH08</t>
        </is>
      </c>
      <c r="B12" s="14" t="inlineStr">
        <is>
          <t>Jules Garcia</t>
        </is>
      </c>
      <c r="C12" s="14" t="inlineStr">
        <is>
          <t>Milieu</t>
        </is>
      </c>
      <c r="D12" s="15" t="n">
        <v>1.8</v>
      </c>
      <c r="E12" s="15" t="n">
        <v>1.77</v>
      </c>
      <c r="F12" s="15">
        <f>D12-E12</f>
        <v/>
      </c>
      <c r="G12" s="25">
        <f>(D12-E12)/D12</f>
        <v/>
      </c>
      <c r="H12" s="15" t="n">
        <v>37</v>
      </c>
      <c r="I12" s="15" t="n">
        <v>40</v>
      </c>
      <c r="J12" s="15">
        <f>I12-H12</f>
        <v/>
      </c>
      <c r="K12" s="25">
        <f>(I12-H12)/H12</f>
        <v/>
      </c>
      <c r="L12" s="15" t="n">
        <v>2025</v>
      </c>
      <c r="M12" s="15" t="n">
        <v>2245</v>
      </c>
      <c r="N12" s="15">
        <f>M12-L12</f>
        <v/>
      </c>
      <c r="O12" s="25">
        <f>(M12-L12)/L12</f>
        <v/>
      </c>
      <c r="P12" s="15" t="n">
        <v>11.99</v>
      </c>
      <c r="Q12" s="15" t="n">
        <v>11.74</v>
      </c>
      <c r="R12" s="26">
        <f>(P12-Q12)/P12</f>
        <v/>
      </c>
    </row>
    <row r="13">
      <c r="A13" s="15" t="inlineStr">
        <is>
          <t>ATH09</t>
        </is>
      </c>
      <c r="B13" s="14" t="inlineStr">
        <is>
          <t>Raphaël David</t>
        </is>
      </c>
      <c r="C13" s="14" t="inlineStr">
        <is>
          <t>Attaquant</t>
        </is>
      </c>
      <c r="D13" s="15" t="n">
        <v>1.78</v>
      </c>
      <c r="E13" s="15" t="n">
        <v>1.75</v>
      </c>
      <c r="F13" s="15">
        <f>D13-E13</f>
        <v/>
      </c>
      <c r="G13" s="25">
        <f>(D13-E13)/D13</f>
        <v/>
      </c>
      <c r="H13" s="15" t="n">
        <v>40.8</v>
      </c>
      <c r="I13" s="15" t="n">
        <v>43.8</v>
      </c>
      <c r="J13" s="15">
        <f>I13-H13</f>
        <v/>
      </c>
      <c r="K13" s="25">
        <f>(I13-H13)/H13</f>
        <v/>
      </c>
      <c r="L13" s="15" t="n">
        <v>2109</v>
      </c>
      <c r="M13" s="15" t="n">
        <v>2329</v>
      </c>
      <c r="N13" s="15">
        <f>M13-L13</f>
        <v/>
      </c>
      <c r="O13" s="25">
        <f>(M13-L13)/L13</f>
        <v/>
      </c>
      <c r="P13" s="15" t="n">
        <v>11.63</v>
      </c>
      <c r="Q13" s="15" t="n">
        <v>11.38</v>
      </c>
      <c r="R13" s="26">
        <f>(P13-Q13)/P13</f>
        <v/>
      </c>
    </row>
    <row r="14">
      <c r="A14" s="15" t="inlineStr">
        <is>
          <t>ATH10</t>
        </is>
      </c>
      <c r="B14" s="14" t="inlineStr">
        <is>
          <t>Maxime Bertrand</t>
        </is>
      </c>
      <c r="C14" s="14" t="inlineStr">
        <is>
          <t>Attaquant</t>
        </is>
      </c>
      <c r="D14" s="15" t="n">
        <v>1.86</v>
      </c>
      <c r="E14" s="15" t="n">
        <v>1.83</v>
      </c>
      <c r="F14" s="15">
        <f>D14-E14</f>
        <v/>
      </c>
      <c r="G14" s="25">
        <f>(D14-E14)/D14</f>
        <v/>
      </c>
      <c r="H14" s="15" t="n">
        <v>34.7</v>
      </c>
      <c r="I14" s="15" t="n">
        <v>37.7</v>
      </c>
      <c r="J14" s="15">
        <f>I14-H14</f>
        <v/>
      </c>
      <c r="K14" s="25">
        <f>(I14-H14)/H14</f>
        <v/>
      </c>
      <c r="L14" s="15" t="n">
        <v>2057</v>
      </c>
      <c r="M14" s="15" t="n">
        <v>2277</v>
      </c>
      <c r="N14" s="15">
        <f>M14-L14</f>
        <v/>
      </c>
      <c r="O14" s="25">
        <f>(M14-L14)/L14</f>
        <v/>
      </c>
      <c r="P14" s="15" t="n">
        <v>12.37</v>
      </c>
      <c r="Q14" s="15" t="n">
        <v>12.12</v>
      </c>
      <c r="R14" s="26">
        <f>(P14-Q14)/P14</f>
        <v/>
      </c>
    </row>
    <row r="15">
      <c r="A15" s="15" t="inlineStr">
        <is>
          <t>ATH11</t>
        </is>
      </c>
      <c r="B15" s="14" t="inlineStr">
        <is>
          <t>Tom Roux</t>
        </is>
      </c>
      <c r="C15" s="14" t="inlineStr">
        <is>
          <t>Attaquant</t>
        </is>
      </c>
      <c r="D15" s="15" t="n">
        <v>1.76</v>
      </c>
      <c r="E15" s="15" t="n">
        <v>1.73</v>
      </c>
      <c r="F15" s="15">
        <f>D15-E15</f>
        <v/>
      </c>
      <c r="G15" s="25">
        <f>(D15-E15)/D15</f>
        <v/>
      </c>
      <c r="H15" s="15" t="n">
        <v>40.8</v>
      </c>
      <c r="I15" s="15" t="n">
        <v>43.8</v>
      </c>
      <c r="J15" s="15">
        <f>I15-H15</f>
        <v/>
      </c>
      <c r="K15" s="25">
        <f>(I15-H15)/H15</f>
        <v/>
      </c>
      <c r="L15" s="15" t="n">
        <v>1668</v>
      </c>
      <c r="M15" s="15" t="n">
        <v>1888</v>
      </c>
      <c r="N15" s="15">
        <f>M15-L15</f>
        <v/>
      </c>
      <c r="O15" s="25">
        <f>(M15-L15)/L15</f>
        <v/>
      </c>
      <c r="P15" s="15" t="n">
        <v>11.8</v>
      </c>
      <c r="Q15" s="15" t="n">
        <v>11.55</v>
      </c>
      <c r="R15" s="26">
        <f>(P15-Q15)/P15</f>
        <v/>
      </c>
    </row>
    <row r="16">
      <c r="A16" s="15" t="inlineStr">
        <is>
          <t>ATH12</t>
        </is>
      </c>
      <c r="B16" s="14" t="inlineStr">
        <is>
          <t>Théo Vincent</t>
        </is>
      </c>
      <c r="C16" s="14" t="inlineStr">
        <is>
          <t>Attaquant</t>
        </is>
      </c>
      <c r="D16" s="15" t="n">
        <v>1.73</v>
      </c>
      <c r="E16" s="15" t="n">
        <v>1.7</v>
      </c>
      <c r="F16" s="15">
        <f>D16-E16</f>
        <v/>
      </c>
      <c r="G16" s="25">
        <f>(D16-E16)/D16</f>
        <v/>
      </c>
      <c r="H16" s="15" t="n">
        <v>36.2</v>
      </c>
      <c r="I16" s="15" t="n">
        <v>39.2</v>
      </c>
      <c r="J16" s="15">
        <f>I16-H16</f>
        <v/>
      </c>
      <c r="K16" s="25">
        <f>(I16-H16)/H16</f>
        <v/>
      </c>
      <c r="L16" s="15" t="n">
        <v>1791</v>
      </c>
      <c r="M16" s="15" t="n">
        <v>2011</v>
      </c>
      <c r="N16" s="15">
        <f>M16-L16</f>
        <v/>
      </c>
      <c r="O16" s="25">
        <f>(M16-L16)/L16</f>
        <v/>
      </c>
      <c r="P16" s="15" t="n">
        <v>11.89</v>
      </c>
      <c r="Q16" s="15" t="n">
        <v>11.64</v>
      </c>
      <c r="R16" s="26">
        <f>(P16-Q16)/P16</f>
        <v/>
      </c>
    </row>
    <row r="17">
      <c r="A17" s="27" t="inlineStr">
        <is>
          <t>MOYENNE ÉQUIPE</t>
        </is>
      </c>
      <c r="D17" s="28">
        <f>MOYENNE(D5:D16)</f>
        <v/>
      </c>
      <c r="E17" s="28">
        <f>MOYENNE(E5:E16)</f>
        <v/>
      </c>
      <c r="F17" s="28">
        <f>MOYENNE(F5:F16)</f>
        <v/>
      </c>
      <c r="G17" s="29">
        <f>MOYENNE(G5:G16)</f>
        <v/>
      </c>
      <c r="H17" s="28">
        <f>MOYENNE(H5:H16)</f>
        <v/>
      </c>
      <c r="I17" s="28">
        <f>MOYENNE(I5:I16)</f>
        <v/>
      </c>
      <c r="J17" s="28">
        <f>MOYENNE(J5:J16)</f>
        <v/>
      </c>
      <c r="K17" s="29">
        <f>MOYENNE(K5:K16)</f>
        <v/>
      </c>
      <c r="L17" s="28">
        <f>MOYENNE(L5:L16)</f>
        <v/>
      </c>
      <c r="M17" s="28">
        <f>MOYENNE(M5:M16)</f>
        <v/>
      </c>
      <c r="N17" s="28">
        <f>MOYENNE(N5:N16)</f>
        <v/>
      </c>
      <c r="O17" s="29">
        <f>MOYENNE(O5:O16)</f>
        <v/>
      </c>
      <c r="P17" s="28">
        <f>MOYENNE(P5:P16)</f>
        <v/>
      </c>
      <c r="Q17" s="28">
        <f>MOYENNE(Q5:Q16)</f>
        <v/>
      </c>
      <c r="R17" s="29">
        <f>MOYENNE(R5:R16)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23" customWidth="1" min="2" max="2"/>
    <col width="76" customWidth="1" min="3" max="3"/>
    <col width="35" customWidth="1" min="4" max="4"/>
    <col width="63" customWidth="1" min="5" max="5"/>
  </cols>
  <sheetData>
    <row r="1">
      <c r="A1" s="5" t="inlineStr">
        <is>
          <t>CAHIER DES CHARGES &amp; PROTOTYPE DE L'APPLICATION MOBILE DU STAFF</t>
        </is>
      </c>
    </row>
    <row r="2">
      <c r="A2" s="6" t="inlineStr">
        <is>
          <t>Interface Smartphone pour la collecte matinale et la restitution des alertes en temps réel</t>
        </is>
      </c>
    </row>
    <row r="3"/>
    <row r="4">
      <c r="A4" s="13" t="inlineStr">
        <is>
          <t>Écran Mobile</t>
        </is>
      </c>
      <c r="B4" s="13" t="inlineStr">
        <is>
          <t>Utilisateur Cible</t>
        </is>
      </c>
      <c r="C4" s="13" t="inlineStr">
        <is>
          <t>Fonctionnalités Principales</t>
        </is>
      </c>
      <c r="D4" s="13" t="inlineStr">
        <is>
          <t>Données Connectées</t>
        </is>
      </c>
      <c r="E4" s="13" t="inlineStr">
        <is>
          <t>Bénéfice Terrain</t>
        </is>
      </c>
    </row>
    <row r="5">
      <c r="A5" s="15" t="inlineStr">
        <is>
          <t>Écran 1 : Check-in Matin</t>
        </is>
      </c>
      <c r="B5" s="15" t="inlineStr">
        <is>
          <t>Joueur (Athlète)</t>
        </is>
      </c>
      <c r="C5" s="14" t="inlineStr">
        <is>
          <t>Saisie en 30 secondes du Hooper (Sommeil, Fatigue, Courbatures, Douleurs)</t>
        </is>
      </c>
      <c r="D5" s="14" t="inlineStr">
        <is>
          <t>Feuille RAW_Bien-etre</t>
        </is>
      </c>
      <c r="E5" s="14" t="inlineStr">
        <is>
          <t>Collecte immédiate dès le réveil sans friction</t>
        </is>
      </c>
    </row>
    <row r="6">
      <c r="A6" s="15" t="inlineStr">
        <is>
          <t>Écran 2 : RPE Post-Séance</t>
        </is>
      </c>
      <c r="B6" s="15" t="inlineStr">
        <is>
          <t>Joueur (Athlète)</t>
        </is>
      </c>
      <c r="C6" s="14" t="inlineStr">
        <is>
          <t>Curseur Borg CR-10 + Durée perçue 30 min après la fin de séance</t>
        </is>
      </c>
      <c r="D6" s="14" t="inlineStr">
        <is>
          <t>Feuille RAW_Seances &amp; 02_Calculs</t>
        </is>
      </c>
      <c r="E6" s="14" t="inlineStr">
        <is>
          <t>Calcul instantané de la charge interne individuelle</t>
        </is>
      </c>
    </row>
    <row r="7">
      <c r="A7" s="15" t="inlineStr">
        <is>
          <t>Écran 3 : Flash Alertes Staff</t>
        </is>
      </c>
      <c r="B7" s="15" t="inlineStr">
        <is>
          <t>Préparateur Physique</t>
        </is>
      </c>
      <c r="C7" s="14" t="inlineStr">
        <is>
          <t>Notification push en cas de score Hooper &gt;= 20 ou ACWR &gt;= 1.5</t>
        </is>
      </c>
      <c r="D7" s="14" t="inlineStr">
        <is>
          <t>Feuille 00_Dashboard</t>
        </is>
      </c>
      <c r="E7" s="14" t="inlineStr">
        <is>
          <t>Ajustement avant même l'entrée sur le terrain d'entraînement</t>
        </is>
      </c>
    </row>
    <row r="8">
      <c r="A8" s="15" t="inlineStr">
        <is>
          <t>Écran 4 : Fiche Joueur 360°</t>
        </is>
      </c>
      <c r="B8" s="15" t="inlineStr">
        <is>
          <t>Entraîneur Principal</t>
        </is>
      </c>
      <c r="C8" s="14" t="inlineStr">
        <is>
          <t>Radar des qualités physiques, historique de présence et statut de forme</t>
        </is>
      </c>
      <c r="D8" s="14" t="inlineStr">
        <is>
          <t>Feuilles 05_Tests &amp; RAW_Athletes</t>
        </is>
      </c>
      <c r="E8" s="14" t="inlineStr">
        <is>
          <t>Aide à la composition de l'équipe et gestion des rotations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2026-09-22T08:53:19Z</dcterms:created>
  <dcterms:modified xmlns:dcterms="http://purl.org/dc/terms/" xmlns:xsi="http://www.w3.org/2001/XMLSchema-instance" xsi:type="dcterms:W3CDTF">2026-09-27T07:38:35Z</dcterms:modified>
</cp:coreProperties>
</file>