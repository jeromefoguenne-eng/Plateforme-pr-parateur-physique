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9"/>
  </bookViews>
  <sheets>
    <sheet name="Données brutes" sheetId="1" state="visible" r:id="rId3"/>
    <sheet name="Contrôle qualité" sheetId="2" state="visible" r:id="rId4"/>
    <sheet name="Dictionnaire" sheetId="3" state="visible" r:id="rId5"/>
    <sheet name="Base de données" sheetId="4" state="visible" r:id="rId6"/>
    <sheet name="Synthèse" sheetId="5" state="visible" r:id="rId7"/>
    <sheet name="Tableaux croisés" sheetId="6" state="visible" r:id="rId8"/>
    <sheet name="Graphiques" sheetId="7" state="visible" r:id="rId9"/>
    <sheet name="Tableau de bord" sheetId="8" state="visible" r:id="rId10"/>
    <sheet name="Analyse" sheetId="9" state="visible" r:id="rId11"/>
    <sheet name="Guid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<sst xmlns="http://schemas.openxmlformats.org/spreadsheetml/2006/main" count="328" uniqueCount="153">
  <si>
    <t xml:space="preserve">Données brutes</t>
  </si>
  <si>
    <t xml:space="preserve">Données volontairement imparfaites : elles doivent être contrôlées avant analyse.</t>
  </si>
  <si>
    <t xml:space="preserve">Date</t>
  </si>
  <si>
    <t xml:space="preserve">Joueur</t>
  </si>
  <si>
    <t xml:space="preserve">Type séance</t>
  </si>
  <si>
    <t xml:space="preserve">Durée (min)</t>
  </si>
  <si>
    <t xml:space="preserve">RPE /10</t>
  </si>
  <si>
    <t xml:space="preserve">Distance (km)</t>
  </si>
  <si>
    <t xml:space="preserve">FC moy. (bpm)</t>
  </si>
  <si>
    <t xml:space="preserve">Sprints</t>
  </si>
  <si>
    <t xml:space="preserve">Martin</t>
  </si>
  <si>
    <t xml:space="preserve">Endurance</t>
  </si>
  <si>
    <t xml:space="preserve">Dupont</t>
  </si>
  <si>
    <t xml:space="preserve">Leroy</t>
  </si>
  <si>
    <t xml:space="preserve">endurance</t>
  </si>
  <si>
    <t xml:space="preserve">Intervalles</t>
  </si>
  <si>
    <t xml:space="preserve">Match</t>
  </si>
  <si>
    <t xml:space="preserve">Récupération</t>
  </si>
  <si>
    <t xml:space="preserve">Contrôle qualité</t>
  </si>
  <si>
    <t xml:space="preserve">Exemple de traçabilité des anomalies détectées et corrigées.</t>
  </si>
  <si>
    <t xml:space="preserve">Anomalie</t>
  </si>
  <si>
    <t xml:space="preserve">Localisation</t>
  </si>
  <si>
    <t xml:space="preserve">Correction</t>
  </si>
  <si>
    <t xml:space="preserve">Outil / méthode</t>
  </si>
  <si>
    <t xml:space="preserve">Catégorie incohérente</t>
  </si>
  <si>
    <t xml:space="preserve">L7 / Type séance</t>
  </si>
  <si>
    <t xml:space="preserve">endurance → Endurance</t>
  </si>
  <si>
    <t xml:space="preserve">Filtre + recherche/remplacement</t>
  </si>
  <si>
    <t xml:space="preserve">RPE impossible</t>
  </si>
  <si>
    <t xml:space="preserve">L12 / RPE</t>
  </si>
  <si>
    <t xml:space="preserve">18 → 7</t>
  </si>
  <si>
    <t xml:space="preserve">Tri + contrôle du domaine RPE</t>
  </si>
  <si>
    <t xml:space="preserve">Distance aberrante</t>
  </si>
  <si>
    <t xml:space="preserve">L15 / Distance</t>
  </si>
  <si>
    <t xml:space="preserve">52 → 5,0 km</t>
  </si>
  <si>
    <t xml:space="preserve">Tri + mise en forme conditionnelle</t>
  </si>
  <si>
    <t xml:space="preserve">Durée aberrante</t>
  </si>
  <si>
    <t xml:space="preserve">L21 / Durée</t>
  </si>
  <si>
    <t xml:space="preserve">650 → 65 min</t>
  </si>
  <si>
    <t xml:space="preserve">Tri + filtre</t>
  </si>
  <si>
    <t xml:space="preserve">RPE manquant</t>
  </si>
  <si>
    <t xml:space="preserve">L25 / RPE</t>
  </si>
  <si>
    <t xml:space="preserve">4</t>
  </si>
  <si>
    <t xml:space="preserve">Filtre des cellules vides + vérification</t>
  </si>
  <si>
    <t xml:space="preserve">Doublon</t>
  </si>
  <si>
    <t xml:space="preserve">L29</t>
  </si>
  <si>
    <t xml:space="preserve">Suppression de la ligne</t>
  </si>
  <si>
    <t xml:space="preserve">Données &gt; Supprimer les doublons</t>
  </si>
  <si>
    <t xml:space="preserve">Dictionnaire des données</t>
  </si>
  <si>
    <t xml:space="preserve">Description et type des variables utilisées.</t>
  </si>
  <si>
    <t xml:space="preserve">Variable</t>
  </si>
  <si>
    <t xml:space="preserve">Signification</t>
  </si>
  <si>
    <t xml:space="preserve">Type</t>
  </si>
  <si>
    <t xml:space="preserve">Unité</t>
  </si>
  <si>
    <t xml:space="preserve">Date de la séance</t>
  </si>
  <si>
    <t xml:space="preserve">—</t>
  </si>
  <si>
    <t xml:space="preserve">Identifiant du joueur</t>
  </si>
  <si>
    <t xml:space="preserve">Texte</t>
  </si>
  <si>
    <t xml:space="preserve">Nature de la séance</t>
  </si>
  <si>
    <t xml:space="preserve">Catégorie</t>
  </si>
  <si>
    <t xml:space="preserve">Durée de la séance</t>
  </si>
  <si>
    <t xml:space="preserve">Nombre</t>
  </si>
  <si>
    <t xml:space="preserve">min</t>
  </si>
  <si>
    <t xml:space="preserve">Perception de l'effort</t>
  </si>
  <si>
    <t xml:space="preserve">/10</t>
  </si>
  <si>
    <t xml:space="preserve">Distance parcourue</t>
  </si>
  <si>
    <t xml:space="preserve">km</t>
  </si>
  <si>
    <t xml:space="preserve">Fréquence cardiaque moyenne</t>
  </si>
  <si>
    <t xml:space="preserve">bpm</t>
  </si>
  <si>
    <t xml:space="preserve">Nombre de sprints</t>
  </si>
  <si>
    <t xml:space="preserve">nombre</t>
  </si>
  <si>
    <t xml:space="preserve">Semaine</t>
  </si>
  <si>
    <t xml:space="preserve">Semaine du cycle</t>
  </si>
  <si>
    <t xml:space="preserve">1–3</t>
  </si>
  <si>
    <t xml:space="preserve">Charge</t>
  </si>
  <si>
    <t xml:space="preserve">Durée × RPE</t>
  </si>
  <si>
    <t xml:space="preserve">unités</t>
  </si>
  <si>
    <t xml:space="preserve">Vitesse (km/h)</t>
  </si>
  <si>
    <t xml:space="preserve">Distance / durée en heures</t>
  </si>
  <si>
    <t xml:space="preserve">km/h</t>
  </si>
  <si>
    <t xml:space="preserve">Sprints/heure</t>
  </si>
  <si>
    <t xml:space="preserve">Sprints / durée en heures</t>
  </si>
  <si>
    <t xml:space="preserve">sprints/h</t>
  </si>
  <si>
    <t xml:space="preserve">Niveau charge</t>
  </si>
  <si>
    <t xml:space="preserve">Catégorie issue de la charge</t>
  </si>
  <si>
    <t xml:space="preserve">Faible/Modérée/Élevée</t>
  </si>
  <si>
    <t xml:space="preserve">Base de données</t>
  </si>
  <si>
    <t xml:space="preserve">Base nettoyée et enrichie par des indicateurs calculés.</t>
  </si>
  <si>
    <t xml:space="preserve">Synthèse</t>
  </si>
  <si>
    <t xml:space="preserve">Indicateurs calculés automatiquement à partir de la base nettoyée.</t>
  </si>
  <si>
    <t xml:space="preserve">Charge totale par joueur et par semaine</t>
  </si>
  <si>
    <t xml:space="preserve">Semaine 1</t>
  </si>
  <si>
    <t xml:space="preserve">Semaine 2</t>
  </si>
  <si>
    <t xml:space="preserve">Semaine 3</t>
  </si>
  <si>
    <t xml:space="preserve">Total</t>
  </si>
  <si>
    <t xml:space="preserve">Nb séances</t>
  </si>
  <si>
    <t xml:space="preserve">Distance totale</t>
  </si>
  <si>
    <t xml:space="preserve">Sprints totaux</t>
  </si>
  <si>
    <t xml:space="preserve">Charge moyenne</t>
  </si>
  <si>
    <t xml:space="preserve">Indicateurs équipe</t>
  </si>
  <si>
    <t xml:space="preserve">Nombre de séances</t>
  </si>
  <si>
    <t xml:space="preserve">Charge totale</t>
  </si>
  <si>
    <t xml:space="preserve">Charge moyenne / séance</t>
  </si>
  <si>
    <t xml:space="preserve">Tableaux croisés</t>
  </si>
  <si>
    <t xml:space="preserve">Synthèses de type TCD réalisées à partir des données nettoyées.</t>
  </si>
  <si>
    <t xml:space="preserve">TCD 1 — Charge totale par joueur</t>
  </si>
  <si>
    <t xml:space="preserve">TCD 2 — Charge par joueur et par semaine</t>
  </si>
  <si>
    <t xml:space="preserve">TCD 3 — Analyse par type de séance</t>
  </si>
  <si>
    <t xml:space="preserve">Type de séance</t>
  </si>
  <si>
    <t xml:space="preserve">Distance moyenne</t>
  </si>
  <si>
    <t xml:space="preserve">Graphiques</t>
  </si>
  <si>
    <t xml:space="preserve">Visualisations construites à partir des synthèses.</t>
  </si>
  <si>
    <t xml:space="preserve">Évolution de la charge</t>
  </si>
  <si>
    <t xml:space="preserve">Charge totale par joueur</t>
  </si>
  <si>
    <t xml:space="preserve">Charge par type de séance</t>
  </si>
  <si>
    <t xml:space="preserve">TABLEAU DE BORD — SUIVI DE LA CHARGE U18</t>
  </si>
  <si>
    <t xml:space="preserve">Indicateurs clés</t>
  </si>
  <si>
    <t xml:space="preserve">Lecture rapide</t>
  </si>
  <si>
    <t xml:space="preserve">Utilisez les graphiques et indicateurs pour formuler des constats, sans confondre observation et causalité.</t>
  </si>
  <si>
    <t xml:space="preserve">Analyse et communication</t>
  </si>
  <si>
    <t xml:space="preserve">Exemple de trame à compléter à partir du tableau de bord.</t>
  </si>
  <si>
    <t xml:space="preserve">Note au staff — 10 à 15 lignes</t>
  </si>
  <si>
    <t xml:space="preserve">1. Deux constats directement appuyés par les données :</t>
  </si>
  <si>
    <t xml:space="preserve">2. Une comparaison entre les joueurs :</t>
  </si>
  <si>
    <t xml:space="preserve">3. Une évolution au cours du cycle :</t>
  </si>
  <si>
    <t xml:space="preserve">4. Un élément nécessitant une attention particulière :</t>
  </si>
  <si>
    <t xml:space="preserve">5. Une limite de l'analyse :</t>
  </si>
  <si>
    <t xml:space="preserve">6. Deux variables supplémentaires à collecter :</t>
  </si>
  <si>
    <t xml:space="preserve">Repères pour la production attendue</t>
  </si>
  <si>
    <t xml:space="preserve">Charge totale : 10 810 unités</t>
  </si>
  <si>
    <t xml:space="preserve">Joueur avec la charge totale la plus élevée : Leroy (3 765)</t>
  </si>
  <si>
    <t xml:space="preserve">Charge moyenne par type : Match 750 ; Intervalles 510,8 ; Endurance 399,2 ; Récupération 141,7</t>
  </si>
  <si>
    <t xml:space="preserve">Attention : les données fournies couvrent 3 semaines (02/09 au 18/09), malgré l'énoncé mentionnant 4 semaines.</t>
  </si>
  <si>
    <t xml:space="preserve">Guide rapide</t>
  </si>
  <si>
    <t xml:space="preserve">Tutoriel opérationnel associé à l'exercice.</t>
  </si>
  <si>
    <t xml:space="preserve">Étape 1 — Importer</t>
  </si>
  <si>
    <t xml:space="preserve">Copier les données dans « Données brutes », puis dupliquer la feuille. Vérifier que chaque valeur occupe sa propre cellule.</t>
  </si>
  <si>
    <t xml:space="preserve">Étape 2 — Structurer</t>
  </si>
  <si>
    <t xml:space="preserve">Dans « Base de données », transformer la plage en Tableau Excel, nommer les colonnes et figer les en-têtes.</t>
  </si>
  <si>
    <t xml:space="preserve">Étape 3 — Nettoyer</t>
  </si>
  <si>
    <t xml:space="preserve">Trier, filtrer, rechercher/remplacer, supprimer les doublons et documenter chaque anomalie dans « Contrôle qualité ».</t>
  </si>
  <si>
    <t xml:space="preserve">Étape 4 — Calculer</t>
  </si>
  <si>
    <t xml:space="preserve">Ajouter Semaine, Charge, Vitesse, Sprints/heure et Niveau charge avec des formules. Tester une modification pour vérifier l'automatisation.</t>
  </si>
  <si>
    <t xml:space="preserve">Étape 5 — Synthétiser</t>
  </si>
  <si>
    <t xml:space="preserve">Utiliser SOMME.SI.ENS, SOMME.SI, NB.SI et MOYENNE.SI pour produire les indicateurs par joueur et par semaine.</t>
  </si>
  <si>
    <t xml:space="preserve">Étape 6 — TCD</t>
  </si>
  <si>
    <t xml:space="preserve">Construire les trois synthèses : charge par joueur ; charge par joueur/semaine ; analyse par type de séance.</t>
  </si>
  <si>
    <t xml:space="preserve">Étape 7 — Graphiques</t>
  </si>
  <si>
    <t xml:space="preserve">Créer une courbe d'évolution, un histogramme de comparaison et un graphique de répartition. Ajouter titres et unités.</t>
  </si>
  <si>
    <t xml:space="preserve">Étape 8 — Dashboard</t>
  </si>
  <si>
    <t xml:space="preserve">Rassembler les indicateurs et graphiques sur une seule feuille. Ajouter un élément interactif et vérifier la lisibilité.</t>
  </si>
  <si>
    <t xml:space="preserve">Étape 9 — Interpréter</t>
  </si>
  <si>
    <t xml:space="preserve">Rédiger une note professionnelle : constats, comparaison, évolution, point d'attention, limites et nouvelles variables.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</si>
</sst>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40404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F81BD"/>
      </patternFill>
    </fill>
    <fill>
      <patternFill patternType="solid">
        <fgColor rgb="FFD9EA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3F0D9"/>
          <bgColor rgb="FF000000"/>
        </patternFill>
      </fill>
    </dxf>
    <dxf>
      <fill>
        <patternFill patternType="solid">
          <fgColor rgb="FFE5F0D8"/>
          <bgColor rgb="FF000000"/>
        </patternFill>
      </fill>
    </dxf>
    <dxf>
      <fill>
        <patternFill patternType="solid">
          <fgColor rgb="FFE7F0D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6F1D0"/>
          <bgColor rgb="FF000000"/>
        </patternFill>
      </fill>
    </dxf>
    <dxf>
      <fill>
        <patternFill patternType="solid">
          <fgColor rgb="FFF7D6CC"/>
          <bgColor rgb="FF000000"/>
        </patternFill>
      </fill>
    </dxf>
    <dxf>
      <fill>
        <patternFill patternType="solid">
          <fgColor rgb="FFF8F1CF"/>
          <bgColor rgb="FF000000"/>
        </patternFill>
      </fill>
    </dxf>
    <dxf>
      <fill>
        <patternFill patternType="solid">
          <fgColor rgb="FFFADFCC"/>
          <bgColor rgb="FF000000"/>
        </patternFill>
      </fill>
    </dxf>
    <dxf>
      <fill>
        <patternFill patternType="solid">
          <fgColor rgb="FFFBE4CC"/>
          <bgColor rgb="FF000000"/>
        </patternFill>
      </fill>
    </dxf>
    <dxf>
      <fill>
        <patternFill patternType="solid">
          <fgColor rgb="FFFCF1CE"/>
          <bgColor rgb="FF000000"/>
        </patternFill>
      </fill>
    </dxf>
    <dxf>
      <fill>
        <patternFill patternType="solid">
          <fgColor rgb="FFFDE9CC"/>
          <bgColor rgb="FF000000"/>
        </patternFill>
      </fill>
    </dxf>
    <dxf>
      <fill>
        <patternFill patternType="solid">
          <fgColor rgb="FFFDEBCC"/>
          <bgColor rgb="FF000000"/>
        </patternFill>
      </fill>
    </dxf>
    <dxf>
      <fill>
        <patternFill patternType="solid">
          <fgColor rgb="FFFFEF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5B9BD5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8064A2"/>
      <rgbColor rgb="FF9BBB59"/>
      <rgbColor rgb="FF003366"/>
      <rgbColor rgb="FF4F81BD"/>
      <rgbColor rgb="FF003300"/>
      <rgbColor rgb="FF333300"/>
      <rgbColor rgb="FF993300"/>
      <rgbColor rgb="FFC0504D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Évolution de la charge hebdomadaire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Graphiques!B5</c:f>
              <c:strCache>
                <c:ptCount val="1"/>
                <c:pt idx="0">
                  <c:v>Martin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Graphiques!$A$6:$A$8</c:f>
              <c:strCache>
                <c:ptCount val="3"/>
                <c:pt idx="0">
                  <c:v>Semaine 1</c:v>
                </c:pt>
                <c:pt idx="1">
                  <c:v>Semaine 2</c:v>
                </c:pt>
                <c:pt idx="2">
                  <c:v>Semaine 3</c:v>
                </c:pt>
              </c:strCache>
            </c:strRef>
          </c:cat>
          <c:val>
            <c:numRef>
              <c:f>Graphiques!$B$6:$B$8</c:f>
              <c:numCache>
                <c:formatCode>General</c:formatCode>
                <c:ptCount val="3"/>
                <c:pt idx="0">
                  <c:v>1550</c:v>
                </c:pt>
                <c:pt idx="1">
                  <c:v>1105</c:v>
                </c:pt>
                <c:pt idx="2">
                  <c:v>930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Graphiques!C5</c:f>
              <c:strCache>
                <c:ptCount val="1"/>
                <c:pt idx="0">
                  <c:v>Dupont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Graphiques!$A$6:$A$8</c:f>
              <c:strCache>
                <c:ptCount val="3"/>
                <c:pt idx="0">
                  <c:v>Semaine 1</c:v>
                </c:pt>
                <c:pt idx="1">
                  <c:v>Semaine 2</c:v>
                </c:pt>
                <c:pt idx="2">
                  <c:v>Semaine 3</c:v>
                </c:pt>
              </c:strCache>
            </c:strRef>
          </c:cat>
          <c:val>
            <c:numRef>
              <c:f>Graphiques!$C$6:$C$8</c:f>
              <c:numCache>
                <c:formatCode>General</c:formatCode>
                <c:ptCount val="3"/>
                <c:pt idx="0">
                  <c:v>1470</c:v>
                </c:pt>
                <c:pt idx="1">
                  <c:v>1150</c:v>
                </c:pt>
                <c:pt idx="2">
                  <c:v>840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Graphiques!D5</c:f>
              <c:strCache>
                <c:ptCount val="1"/>
                <c:pt idx="0">
                  <c:v>Leroy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Graphiques!$A$6:$A$8</c:f>
              <c:strCache>
                <c:ptCount val="3"/>
                <c:pt idx="0">
                  <c:v>Semaine 1</c:v>
                </c:pt>
                <c:pt idx="1">
                  <c:v>Semaine 2</c:v>
                </c:pt>
                <c:pt idx="2">
                  <c:v>Semaine 3</c:v>
                </c:pt>
              </c:strCache>
            </c:strRef>
          </c:cat>
          <c:val>
            <c:numRef>
              <c:f>Graphiques!$D$6:$D$8</c:f>
              <c:numCache>
                <c:formatCode>General</c:formatCode>
                <c:ptCount val="3"/>
                <c:pt idx="0">
                  <c:v>1700</c:v>
                </c:pt>
                <c:pt idx="1">
                  <c:v>1095</c:v>
                </c:pt>
                <c:pt idx="2">
                  <c:v>970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777916"/>
        <c:axId val="91157017"/>
      </c:lineChart>
      <c:catAx>
        <c:axId val="307779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57017"/>
        <c:crosses val="autoZero"/>
        <c:auto val="1"/>
        <c:lblAlgn val="ctr"/>
        <c:lblOffset val="100"/>
        <c:noMultiLvlLbl val="0"/>
      </c:catAx>
      <c:valAx>
        <c:axId val="91157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Charge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77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Charge totale par joueur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Graphiques!B12</c:f>
              <c:strCache>
                <c:ptCount val="1"/>
                <c:pt idx="0">
                  <c:v>Charge totale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Graphiques!$A$13:$A$15</c:f>
              <c:strCache>
                <c:ptCount val="3"/>
                <c:pt idx="0">
                  <c:v>Martin</c:v>
                </c:pt>
                <c:pt idx="1">
                  <c:v>Dupont</c:v>
                </c:pt>
                <c:pt idx="2">
                  <c:v>Leroy</c:v>
                </c:pt>
              </c:strCache>
            </c:strRef>
          </c:cat>
          <c:val>
            <c:numRef>
              <c:f>Graphiques!$B$13:$B$15</c:f>
              <c:numCache>
                <c:formatCode>General</c:formatCode>
                <c:ptCount val="3"/>
                <c:pt idx="0">
                  <c:v>3585</c:v>
                </c:pt>
                <c:pt idx="1">
                  <c:v>3460</c:v>
                </c:pt>
                <c:pt idx="2">
                  <c:v>3765</c:v>
                </c:pt>
              </c:numCache>
            </c:numRef>
          </c:val>
        </c:ser>
        <c:gapWidth val="150"/>
        <c:overlap val="0"/>
        <c:axId val="38622572"/>
        <c:axId val="71891298"/>
      </c:barChart>
      <c:catAx>
        <c:axId val="38622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Joueur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891298"/>
        <c:crosses val="autoZero"/>
        <c:auto val="1"/>
        <c:lblAlgn val="ctr"/>
        <c:lblOffset val="100"/>
        <c:noMultiLvlLbl val="0"/>
      </c:catAx>
      <c:valAx>
        <c:axId val="71891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Charge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622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Répartition de la charge moyenne par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Graphiques!B19</c:f>
              <c:strCache>
                <c:ptCount val="1"/>
                <c:pt idx="0">
                  <c:v>Charge moyenne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Graphiques!$A$20:$A$23</c:f>
              <c:strCache>
                <c:ptCount val="4"/>
                <c:pt idx="0">
                  <c:v>Endurance</c:v>
                </c:pt>
                <c:pt idx="1">
                  <c:v>Intervalles</c:v>
                </c:pt>
                <c:pt idx="2">
                  <c:v>Match</c:v>
                </c:pt>
                <c:pt idx="3">
                  <c:v>Récupération</c:v>
                </c:pt>
              </c:strCache>
            </c:strRef>
          </c:cat>
          <c:val>
            <c:numRef>
              <c:f>Graphiques!$B$20:$B$23</c:f>
              <c:numCache>
                <c:formatCode>General</c:formatCode>
                <c:ptCount val="4"/>
                <c:pt idx="0">
                  <c:v>399.166666666667</c:v>
                </c:pt>
                <c:pt idx="1">
                  <c:v>510.833333333333</c:v>
                </c:pt>
                <c:pt idx="2">
                  <c:v>750</c:v>
                </c:pt>
                <c:pt idx="3">
                  <c:v>141.666666666667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Évolution de la charge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Graphiques!B5</c:f>
              <c:strCache>
                <c:ptCount val="1"/>
                <c:pt idx="0">
                  <c:v>Martin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Graphiques!$A$6:$A$8</c:f>
              <c:strCache>
                <c:ptCount val="3"/>
                <c:pt idx="0">
                  <c:v>Semaine 1</c:v>
                </c:pt>
                <c:pt idx="1">
                  <c:v>Semaine 2</c:v>
                </c:pt>
                <c:pt idx="2">
                  <c:v>Semaine 3</c:v>
                </c:pt>
              </c:strCache>
            </c:strRef>
          </c:cat>
          <c:val>
            <c:numRef>
              <c:f>Graphiques!$B$6:$B$8</c:f>
              <c:numCache>
                <c:formatCode>General</c:formatCode>
                <c:ptCount val="3"/>
                <c:pt idx="0">
                  <c:v>1550</c:v>
                </c:pt>
                <c:pt idx="1">
                  <c:v>1105</c:v>
                </c:pt>
                <c:pt idx="2">
                  <c:v>930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Graphiques!C5</c:f>
              <c:strCache>
                <c:ptCount val="1"/>
                <c:pt idx="0">
                  <c:v>Dupont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Graphiques!$A$6:$A$8</c:f>
              <c:strCache>
                <c:ptCount val="3"/>
                <c:pt idx="0">
                  <c:v>Semaine 1</c:v>
                </c:pt>
                <c:pt idx="1">
                  <c:v>Semaine 2</c:v>
                </c:pt>
                <c:pt idx="2">
                  <c:v>Semaine 3</c:v>
                </c:pt>
              </c:strCache>
            </c:strRef>
          </c:cat>
          <c:val>
            <c:numRef>
              <c:f>Graphiques!$C$6:$C$8</c:f>
              <c:numCache>
                <c:formatCode>General</c:formatCode>
                <c:ptCount val="3"/>
                <c:pt idx="0">
                  <c:v>1470</c:v>
                </c:pt>
                <c:pt idx="1">
                  <c:v>1150</c:v>
                </c:pt>
                <c:pt idx="2">
                  <c:v>840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Graphiques!D5</c:f>
              <c:strCache>
                <c:ptCount val="1"/>
                <c:pt idx="0">
                  <c:v>Leroy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Graphiques!$A$6:$A$8</c:f>
              <c:strCache>
                <c:ptCount val="3"/>
                <c:pt idx="0">
                  <c:v>Semaine 1</c:v>
                </c:pt>
                <c:pt idx="1">
                  <c:v>Semaine 2</c:v>
                </c:pt>
                <c:pt idx="2">
                  <c:v>Semaine 3</c:v>
                </c:pt>
              </c:strCache>
            </c:strRef>
          </c:cat>
          <c:val>
            <c:numRef>
              <c:f>Graphiques!$D$6:$D$8</c:f>
              <c:numCache>
                <c:formatCode>General</c:formatCode>
                <c:ptCount val="3"/>
                <c:pt idx="0">
                  <c:v>1700</c:v>
                </c:pt>
                <c:pt idx="1">
                  <c:v>1095</c:v>
                </c:pt>
                <c:pt idx="2">
                  <c:v>970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598729"/>
        <c:axId val="9212535"/>
      </c:lineChart>
      <c:catAx>
        <c:axId val="955987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12535"/>
        <c:crosses val="autoZero"/>
        <c:auto val="1"/>
        <c:lblAlgn val="ctr"/>
        <c:lblOffset val="100"/>
        <c:noMultiLvlLbl val="0"/>
      </c:catAx>
      <c:valAx>
        <c:axId val="9212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Charge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598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Charge totale par joueur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Graphiques!B12</c:f>
              <c:strCache>
                <c:ptCount val="1"/>
                <c:pt idx="0">
                  <c:v>Charge totale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Graphiques!$A$13:$A$15</c:f>
              <c:strCache>
                <c:ptCount val="3"/>
                <c:pt idx="0">
                  <c:v>Martin</c:v>
                </c:pt>
                <c:pt idx="1">
                  <c:v>Dupont</c:v>
                </c:pt>
                <c:pt idx="2">
                  <c:v>Leroy</c:v>
                </c:pt>
              </c:strCache>
            </c:strRef>
          </c:cat>
          <c:val>
            <c:numRef>
              <c:f>Graphiques!$B$13:$B$15</c:f>
              <c:numCache>
                <c:formatCode>General</c:formatCode>
                <c:ptCount val="3"/>
                <c:pt idx="0">
                  <c:v>3585</c:v>
                </c:pt>
                <c:pt idx="1">
                  <c:v>3460</c:v>
                </c:pt>
                <c:pt idx="2">
                  <c:v>3765</c:v>
                </c:pt>
              </c:numCache>
            </c:numRef>
          </c:val>
        </c:ser>
        <c:gapWidth val="150"/>
        <c:overlap val="0"/>
        <c:axId val="41948937"/>
        <c:axId val="47013133"/>
      </c:barChart>
      <c:catAx>
        <c:axId val="41948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013133"/>
        <c:crosses val="autoZero"/>
        <c:auto val="1"/>
        <c:lblAlgn val="ctr"/>
        <c:lblOffset val="100"/>
        <c:noMultiLvlLbl val="0"/>
      </c:catAx>
      <c:valAx>
        <c:axId val="47013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Charge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948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13</xdr:col>
      <xdr:colOff>147600</xdr:colOff>
      <xdr:row>16</xdr:row>
      <xdr:rowOff>174240</xdr:rowOff>
    </xdr:to>
    <xdr:graphicFrame>
      <xdr:nvGraphicFramePr>
        <xdr:cNvPr id="0" name="Chart 1"/>
        <xdr:cNvGraphicFramePr/>
      </xdr:nvGraphicFramePr>
      <xdr:xfrm>
        <a:off x="554544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151560</xdr:rowOff>
    </xdr:from>
    <xdr:to>
      <xdr:col>13</xdr:col>
      <xdr:colOff>147600</xdr:colOff>
      <xdr:row>31</xdr:row>
      <xdr:rowOff>25200</xdr:rowOff>
    </xdr:to>
    <xdr:graphicFrame>
      <xdr:nvGraphicFramePr>
        <xdr:cNvPr id="1" name="Chart 2"/>
        <xdr:cNvGraphicFramePr/>
      </xdr:nvGraphicFramePr>
      <xdr:xfrm>
        <a:off x="554544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32</xdr:row>
      <xdr:rowOff>3240</xdr:rowOff>
    </xdr:from>
    <xdr:to>
      <xdr:col>13</xdr:col>
      <xdr:colOff>147600</xdr:colOff>
      <xdr:row>47</xdr:row>
      <xdr:rowOff>25200</xdr:rowOff>
    </xdr:to>
    <xdr:graphicFrame>
      <xdr:nvGraphicFramePr>
        <xdr:cNvPr id="2" name="Chart 3"/>
        <xdr:cNvGraphicFramePr/>
      </xdr:nvGraphicFramePr>
      <xdr:xfrm>
        <a:off x="5545440" y="666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162360</xdr:rowOff>
    </xdr:from>
    <xdr:to>
      <xdr:col>8</xdr:col>
      <xdr:colOff>450360</xdr:colOff>
      <xdr:row>21</xdr:row>
      <xdr:rowOff>147600</xdr:rowOff>
    </xdr:to>
    <xdr:graphicFrame>
      <xdr:nvGraphicFramePr>
        <xdr:cNvPr id="3" name="Chart 1"/>
        <xdr:cNvGraphicFramePr/>
      </xdr:nvGraphicFramePr>
      <xdr:xfrm>
        <a:off x="3947040" y="1523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125640</xdr:rowOff>
    </xdr:from>
    <xdr:to>
      <xdr:col>8</xdr:col>
      <xdr:colOff>450360</xdr:colOff>
      <xdr:row>37</xdr:row>
      <xdr:rowOff>147960</xdr:rowOff>
    </xdr:to>
    <xdr:graphicFrame>
      <xdr:nvGraphicFramePr>
        <xdr:cNvPr id="4" name="Chart 2"/>
        <xdr:cNvGraphicFramePr/>
      </xdr:nvGraphicFramePr>
      <xdr:xfrm>
        <a:off x="3947040" y="4572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onneesBrutes" displayName="DonneesBrutes" ref="A4:H29" headerRowCount="1" totalsRowCount="0" totalsRowShown="0">
  <autoFilter ref="A4:H29"/>
  <tableColumns count="8">
    <tableColumn id="1" name="Date"/>
    <tableColumn id="2" name="Joueur"/>
    <tableColumn id="3" name="Type séance"/>
    <tableColumn id="4" name="Durée (min)"/>
    <tableColumn id="5" name="RPE /10"/>
    <tableColumn id="6" name="Distance (km)"/>
    <tableColumn id="7" name="FC moy. (bpm)"/>
    <tableColumn id="8" name="Sprints"/>
  </tableColumns>
</table>
</file>

<file path=xl/tables/table2.xml><?xml version="1.0" encoding="utf-8"?>
<table xmlns="http://schemas.openxmlformats.org/spreadsheetml/2006/main" id="2" name="SuiviEntrainement" displayName="SuiviEntrainement" ref="A4:M28" headerRowCount="1" totalsRowCount="0" totalsRowShown="0">
  <autoFilter ref="A4:M28"/>
  <tableColumns count="13">
    <tableColumn id="1" name="Date"/>
    <tableColumn id="2" name="Joueur"/>
    <tableColumn id="3" name="Type séance"/>
    <tableColumn id="4" name="Durée (min)"/>
    <tableColumn id="5" name="RPE /10"/>
    <tableColumn id="6" name="Distance (km)"/>
    <tableColumn id="7" name="FC moy. (bpm)"/>
    <tableColumn id="8" name="Sprints"/>
    <tableColumn id="9" name="Semaine"/>
    <tableColumn id="10" name="Charge"/>
    <tableColumn id="11" name="Vitesse (km/h)"/>
    <tableColumn id="12" name="Sprints/heure"/>
    <tableColumn id="13" name="Niveau char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46267</v>
      </c>
      <c r="B5" s="5" t="s">
        <v>10</v>
      </c>
      <c r="C5" s="5" t="s">
        <v>11</v>
      </c>
      <c r="D5" s="5" t="n">
        <v>70</v>
      </c>
      <c r="E5" s="5" t="n">
        <v>5</v>
      </c>
      <c r="F5" s="5" t="n">
        <v>8.4</v>
      </c>
      <c r="G5" s="5" t="n">
        <v>151</v>
      </c>
      <c r="H5" s="5" t="n">
        <v>12</v>
      </c>
    </row>
    <row r="6" customFormat="false" ht="15" hidden="false" customHeight="false" outlineLevel="0" collapsed="false">
      <c r="A6" s="4" t="n">
        <v>46267</v>
      </c>
      <c r="B6" s="5" t="s">
        <v>12</v>
      </c>
      <c r="C6" s="5" t="s">
        <v>11</v>
      </c>
      <c r="D6" s="5" t="n">
        <v>70</v>
      </c>
      <c r="E6" s="5" t="n">
        <v>6</v>
      </c>
      <c r="F6" s="5" t="n">
        <v>8.1</v>
      </c>
      <c r="G6" s="5" t="n">
        <v>156</v>
      </c>
      <c r="H6" s="5" t="n">
        <v>10</v>
      </c>
    </row>
    <row r="7" customFormat="false" ht="15" hidden="false" customHeight="false" outlineLevel="0" collapsed="false">
      <c r="A7" s="4" t="n">
        <v>46267</v>
      </c>
      <c r="B7" s="5" t="s">
        <v>13</v>
      </c>
      <c r="C7" s="5" t="s">
        <v>14</v>
      </c>
      <c r="D7" s="5" t="n">
        <v>70</v>
      </c>
      <c r="E7" s="5" t="n">
        <v>5</v>
      </c>
      <c r="F7" s="5" t="n">
        <v>8.7</v>
      </c>
      <c r="G7" s="5" t="n">
        <v>149</v>
      </c>
      <c r="H7" s="5" t="n">
        <v>14</v>
      </c>
    </row>
    <row r="8" customFormat="false" ht="15" hidden="false" customHeight="false" outlineLevel="0" collapsed="false">
      <c r="A8" s="4" t="n">
        <v>46269</v>
      </c>
      <c r="B8" s="5" t="s">
        <v>10</v>
      </c>
      <c r="C8" s="5" t="s">
        <v>15</v>
      </c>
      <c r="D8" s="5" t="n">
        <v>60</v>
      </c>
      <c r="E8" s="5" t="n">
        <v>8</v>
      </c>
      <c r="F8" s="5" t="n">
        <v>7.2</v>
      </c>
      <c r="G8" s="5" t="n">
        <v>168</v>
      </c>
      <c r="H8" s="5" t="n">
        <v>18</v>
      </c>
    </row>
    <row r="9" customFormat="false" ht="15" hidden="false" customHeight="false" outlineLevel="0" collapsed="false">
      <c r="A9" s="4" t="n">
        <v>46269</v>
      </c>
      <c r="B9" s="5" t="s">
        <v>12</v>
      </c>
      <c r="C9" s="5" t="s">
        <v>15</v>
      </c>
      <c r="D9" s="5" t="n">
        <v>60</v>
      </c>
      <c r="E9" s="5" t="n">
        <v>7</v>
      </c>
      <c r="F9" s="5" t="n">
        <v>7</v>
      </c>
      <c r="G9" s="5" t="n">
        <v>164</v>
      </c>
      <c r="H9" s="5" t="n">
        <v>16</v>
      </c>
    </row>
    <row r="10" customFormat="false" ht="15" hidden="false" customHeight="false" outlineLevel="0" collapsed="false">
      <c r="A10" s="4" t="n">
        <v>46269</v>
      </c>
      <c r="B10" s="5" t="s">
        <v>13</v>
      </c>
      <c r="C10" s="5" t="s">
        <v>15</v>
      </c>
      <c r="D10" s="5" t="n">
        <v>60</v>
      </c>
      <c r="E10" s="5" t="n">
        <v>9</v>
      </c>
      <c r="F10" s="5" t="n">
        <v>7.4</v>
      </c>
      <c r="G10" s="5" t="n">
        <v>172</v>
      </c>
      <c r="H10" s="5" t="n">
        <v>21</v>
      </c>
    </row>
    <row r="11" customFormat="false" ht="15" hidden="false" customHeight="false" outlineLevel="0" collapsed="false">
      <c r="A11" s="4" t="n">
        <v>46272</v>
      </c>
      <c r="B11" s="5" t="s">
        <v>10</v>
      </c>
      <c r="C11" s="5" t="s">
        <v>16</v>
      </c>
      <c r="D11" s="5" t="n">
        <v>90</v>
      </c>
      <c r="E11" s="5" t="n">
        <v>8</v>
      </c>
      <c r="F11" s="5" t="n">
        <v>10.8</v>
      </c>
      <c r="G11" s="5" t="n">
        <v>171</v>
      </c>
      <c r="H11" s="5" t="n">
        <v>25</v>
      </c>
    </row>
    <row r="12" customFormat="false" ht="15" hidden="false" customHeight="false" outlineLevel="0" collapsed="false">
      <c r="A12" s="4" t="n">
        <v>46272</v>
      </c>
      <c r="B12" s="5" t="s">
        <v>12</v>
      </c>
      <c r="C12" s="5" t="s">
        <v>16</v>
      </c>
      <c r="D12" s="5" t="n">
        <v>90</v>
      </c>
      <c r="E12" s="5" t="n">
        <v>18</v>
      </c>
      <c r="F12" s="5" t="n">
        <v>9.9</v>
      </c>
      <c r="G12" s="5" t="n">
        <v>165</v>
      </c>
      <c r="H12" s="5" t="n">
        <v>19</v>
      </c>
    </row>
    <row r="13" customFormat="false" ht="15" hidden="false" customHeight="false" outlineLevel="0" collapsed="false">
      <c r="A13" s="4" t="n">
        <v>46272</v>
      </c>
      <c r="B13" s="5" t="s">
        <v>13</v>
      </c>
      <c r="C13" s="5" t="s">
        <v>16</v>
      </c>
      <c r="D13" s="5" t="n">
        <v>90</v>
      </c>
      <c r="E13" s="5" t="n">
        <v>9</v>
      </c>
      <c r="F13" s="5" t="n">
        <v>11.2</v>
      </c>
      <c r="G13" s="5" t="n">
        <v>174</v>
      </c>
      <c r="H13" s="5" t="n">
        <v>28</v>
      </c>
    </row>
    <row r="14" customFormat="false" ht="15" hidden="false" customHeight="false" outlineLevel="0" collapsed="false">
      <c r="A14" s="4" t="n">
        <v>46274</v>
      </c>
      <c r="B14" s="5" t="s">
        <v>10</v>
      </c>
      <c r="C14" s="5" t="s">
        <v>17</v>
      </c>
      <c r="D14" s="5" t="n">
        <v>45</v>
      </c>
      <c r="E14" s="5" t="n">
        <v>3</v>
      </c>
      <c r="F14" s="5" t="n">
        <v>5.2</v>
      </c>
      <c r="G14" s="5" t="n">
        <v>132</v>
      </c>
      <c r="H14" s="5" t="n">
        <v>3</v>
      </c>
    </row>
    <row r="15" customFormat="false" ht="15" hidden="false" customHeight="false" outlineLevel="0" collapsed="false">
      <c r="A15" s="4" t="n">
        <v>46274</v>
      </c>
      <c r="B15" s="5" t="s">
        <v>12</v>
      </c>
      <c r="C15" s="5" t="s">
        <v>17</v>
      </c>
      <c r="D15" s="5" t="n">
        <v>45</v>
      </c>
      <c r="E15" s="5" t="n">
        <v>4</v>
      </c>
      <c r="F15" s="5" t="n">
        <v>52</v>
      </c>
      <c r="G15" s="5" t="n">
        <v>137</v>
      </c>
      <c r="H15" s="5" t="n">
        <v>2</v>
      </c>
    </row>
    <row r="16" customFormat="false" ht="15" hidden="false" customHeight="false" outlineLevel="0" collapsed="false">
      <c r="A16" s="4" t="n">
        <v>46274</v>
      </c>
      <c r="B16" s="5" t="s">
        <v>13</v>
      </c>
      <c r="C16" s="5" t="s">
        <v>17</v>
      </c>
      <c r="D16" s="5" t="n">
        <v>45</v>
      </c>
      <c r="E16" s="5" t="n">
        <v>3</v>
      </c>
      <c r="F16" s="5" t="n">
        <v>5.4</v>
      </c>
      <c r="G16" s="5" t="n">
        <v>130</v>
      </c>
      <c r="H16" s="5" t="n">
        <v>4</v>
      </c>
    </row>
    <row r="17" customFormat="false" ht="15" hidden="false" customHeight="false" outlineLevel="0" collapsed="false">
      <c r="A17" s="4" t="n">
        <v>46276</v>
      </c>
      <c r="B17" s="5" t="s">
        <v>10</v>
      </c>
      <c r="C17" s="5" t="s">
        <v>11</v>
      </c>
      <c r="D17" s="5" t="n">
        <v>75</v>
      </c>
      <c r="E17" s="5" t="n">
        <v>6</v>
      </c>
      <c r="F17" s="5" t="n">
        <v>9.1</v>
      </c>
      <c r="G17" s="5" t="n">
        <v>154</v>
      </c>
      <c r="H17" s="5" t="n">
        <v>13</v>
      </c>
    </row>
    <row r="18" customFormat="false" ht="15" hidden="false" customHeight="false" outlineLevel="0" collapsed="false">
      <c r="A18" s="4" t="n">
        <v>46276</v>
      </c>
      <c r="B18" s="5" t="s">
        <v>12</v>
      </c>
      <c r="C18" s="5" t="s">
        <v>11</v>
      </c>
      <c r="D18" s="5" t="n">
        <v>75</v>
      </c>
      <c r="E18" s="5" t="n">
        <v>6</v>
      </c>
      <c r="F18" s="5" t="n">
        <v>8.8</v>
      </c>
      <c r="G18" s="5" t="n">
        <v>157</v>
      </c>
      <c r="H18" s="5" t="n">
        <v>11</v>
      </c>
    </row>
    <row r="19" customFormat="false" ht="15" hidden="false" customHeight="false" outlineLevel="0" collapsed="false">
      <c r="A19" s="4" t="n">
        <v>46276</v>
      </c>
      <c r="B19" s="5" t="s">
        <v>13</v>
      </c>
      <c r="C19" s="5" t="s">
        <v>11</v>
      </c>
      <c r="D19" s="5" t="n">
        <v>75</v>
      </c>
      <c r="E19" s="5" t="n">
        <v>5</v>
      </c>
      <c r="F19" s="5" t="n">
        <v>9.4</v>
      </c>
      <c r="G19" s="5" t="n">
        <v>150</v>
      </c>
      <c r="H19" s="5" t="n">
        <v>15</v>
      </c>
    </row>
    <row r="20" customFormat="false" ht="15" hidden="false" customHeight="false" outlineLevel="0" collapsed="false">
      <c r="A20" s="4" t="n">
        <v>46279</v>
      </c>
      <c r="B20" s="5" t="s">
        <v>10</v>
      </c>
      <c r="C20" s="5" t="s">
        <v>15</v>
      </c>
      <c r="D20" s="5" t="n">
        <v>65</v>
      </c>
      <c r="E20" s="5" t="n">
        <v>8</v>
      </c>
      <c r="F20" s="5" t="n">
        <v>7.8</v>
      </c>
      <c r="G20" s="5" t="n">
        <v>169</v>
      </c>
      <c r="H20" s="5" t="n">
        <v>20</v>
      </c>
    </row>
    <row r="21" customFormat="false" ht="15" hidden="false" customHeight="false" outlineLevel="0" collapsed="false">
      <c r="A21" s="4" t="n">
        <v>46279</v>
      </c>
      <c r="B21" s="5" t="s">
        <v>12</v>
      </c>
      <c r="C21" s="5" t="s">
        <v>15</v>
      </c>
      <c r="D21" s="5" t="n">
        <v>650</v>
      </c>
      <c r="E21" s="5" t="n">
        <v>8</v>
      </c>
      <c r="F21" s="5" t="n">
        <v>7.5</v>
      </c>
      <c r="G21" s="5" t="n">
        <v>167</v>
      </c>
      <c r="H21" s="5" t="n">
        <v>18</v>
      </c>
    </row>
    <row r="22" customFormat="false" ht="15" hidden="false" customHeight="false" outlineLevel="0" collapsed="false">
      <c r="A22" s="4" t="n">
        <v>46279</v>
      </c>
      <c r="B22" s="5" t="s">
        <v>13</v>
      </c>
      <c r="C22" s="5" t="s">
        <v>15</v>
      </c>
      <c r="D22" s="5" t="n">
        <v>65</v>
      </c>
      <c r="E22" s="5" t="n">
        <v>9</v>
      </c>
      <c r="F22" s="5" t="n">
        <v>7.9</v>
      </c>
      <c r="G22" s="5" t="n">
        <v>173</v>
      </c>
      <c r="H22" s="5" t="n">
        <v>23</v>
      </c>
    </row>
    <row r="23" customFormat="false" ht="15" hidden="false" customHeight="false" outlineLevel="0" collapsed="false">
      <c r="A23" s="4" t="n">
        <v>46281</v>
      </c>
      <c r="B23" s="5" t="s">
        <v>10</v>
      </c>
      <c r="C23" s="5" t="s">
        <v>17</v>
      </c>
      <c r="D23" s="5" t="n">
        <v>40</v>
      </c>
      <c r="E23" s="5" t="n">
        <v>3</v>
      </c>
      <c r="F23" s="5" t="n">
        <v>4.8</v>
      </c>
      <c r="G23" s="5" t="n">
        <v>130</v>
      </c>
      <c r="H23" s="5" t="n">
        <v>2</v>
      </c>
    </row>
    <row r="24" customFormat="false" ht="15" hidden="false" customHeight="false" outlineLevel="0" collapsed="false">
      <c r="A24" s="4" t="n">
        <v>46281</v>
      </c>
      <c r="B24" s="5" t="s">
        <v>12</v>
      </c>
      <c r="C24" s="5" t="s">
        <v>17</v>
      </c>
      <c r="D24" s="5" t="n">
        <v>40</v>
      </c>
      <c r="E24" s="5" t="n">
        <v>3</v>
      </c>
      <c r="F24" s="5" t="n">
        <v>4.6</v>
      </c>
      <c r="G24" s="5" t="n">
        <v>134</v>
      </c>
      <c r="H24" s="5" t="n">
        <v>2</v>
      </c>
    </row>
    <row r="25" customFormat="false" ht="15" hidden="false" customHeight="false" outlineLevel="0" collapsed="false">
      <c r="A25" s="4" t="n">
        <v>46281</v>
      </c>
      <c r="B25" s="5" t="s">
        <v>13</v>
      </c>
      <c r="C25" s="5" t="s">
        <v>17</v>
      </c>
      <c r="D25" s="5" t="n">
        <v>40</v>
      </c>
      <c r="E25" s="6"/>
      <c r="F25" s="5" t="n">
        <v>4.7</v>
      </c>
      <c r="G25" s="5" t="n">
        <v>138</v>
      </c>
      <c r="H25" s="5" t="n">
        <v>3</v>
      </c>
    </row>
    <row r="26" customFormat="false" ht="15" hidden="false" customHeight="false" outlineLevel="0" collapsed="false">
      <c r="A26" s="4" t="n">
        <v>46283</v>
      </c>
      <c r="B26" s="5" t="s">
        <v>10</v>
      </c>
      <c r="C26" s="5" t="s">
        <v>16</v>
      </c>
      <c r="D26" s="5" t="n">
        <v>90</v>
      </c>
      <c r="E26" s="5" t="n">
        <v>9</v>
      </c>
      <c r="F26" s="5" t="n">
        <v>11.1</v>
      </c>
      <c r="G26" s="5" t="n">
        <v>173</v>
      </c>
      <c r="H26" s="5" t="n">
        <v>27</v>
      </c>
    </row>
    <row r="27" customFormat="false" ht="15" hidden="false" customHeight="false" outlineLevel="0" collapsed="false">
      <c r="A27" s="4" t="n">
        <v>46283</v>
      </c>
      <c r="B27" s="5" t="s">
        <v>12</v>
      </c>
      <c r="C27" s="5" t="s">
        <v>16</v>
      </c>
      <c r="D27" s="5" t="n">
        <v>90</v>
      </c>
      <c r="E27" s="5" t="n">
        <v>8</v>
      </c>
      <c r="F27" s="5" t="n">
        <v>10.3</v>
      </c>
      <c r="G27" s="5" t="n">
        <v>168</v>
      </c>
      <c r="H27" s="5" t="n">
        <v>22</v>
      </c>
    </row>
    <row r="28" customFormat="false" ht="15" hidden="false" customHeight="false" outlineLevel="0" collapsed="false">
      <c r="A28" s="4" t="n">
        <v>46283</v>
      </c>
      <c r="B28" s="5" t="s">
        <v>13</v>
      </c>
      <c r="C28" s="5" t="s">
        <v>16</v>
      </c>
      <c r="D28" s="5" t="n">
        <v>90</v>
      </c>
      <c r="E28" s="5" t="n">
        <v>9</v>
      </c>
      <c r="F28" s="5" t="n">
        <v>11.5</v>
      </c>
      <c r="G28" s="5" t="n">
        <v>176</v>
      </c>
      <c r="H28" s="5" t="n">
        <v>30</v>
      </c>
    </row>
    <row r="29" customFormat="false" ht="15" hidden="false" customHeight="false" outlineLevel="0" collapsed="false">
      <c r="A29" s="4" t="n">
        <v>46283</v>
      </c>
      <c r="B29" s="5" t="s">
        <v>13</v>
      </c>
      <c r="C29" s="5" t="s">
        <v>16</v>
      </c>
      <c r="D29" s="5" t="n">
        <v>90</v>
      </c>
      <c r="E29" s="5" t="n">
        <v>9</v>
      </c>
      <c r="F29" s="5" t="n">
        <v>11.5</v>
      </c>
      <c r="G29" s="5" t="n">
        <v>176</v>
      </c>
      <c r="H29" s="5" t="n">
        <v>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34"/>
  </cols>
  <sheetData>
    <row r="1" customFormat="false" ht="19.7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</row>
    <row r="5" customFormat="false" ht="15" hidden="false" customHeight="false" outlineLevel="0" collapsed="false">
      <c r="A5" s="5" t="s">
        <v>24</v>
      </c>
      <c r="B5" s="5" t="s">
        <v>25</v>
      </c>
      <c r="C5" s="5" t="s">
        <v>26</v>
      </c>
      <c r="D5" s="5" t="s">
        <v>27</v>
      </c>
    </row>
    <row r="6" customFormat="false" ht="15" hidden="false" customHeight="false" outlineLevel="0" collapsed="false">
      <c r="A6" s="5" t="s">
        <v>28</v>
      </c>
      <c r="B6" s="5" t="s">
        <v>29</v>
      </c>
      <c r="C6" s="5" t="s">
        <v>30</v>
      </c>
      <c r="D6" s="5" t="s">
        <v>31</v>
      </c>
    </row>
    <row r="7" customFormat="false" ht="15" hidden="false" customHeight="false" outlineLevel="0" collapsed="false">
      <c r="A7" s="5" t="s">
        <v>32</v>
      </c>
      <c r="B7" s="5" t="s">
        <v>33</v>
      </c>
      <c r="C7" s="5" t="s">
        <v>34</v>
      </c>
      <c r="D7" s="5" t="s">
        <v>35</v>
      </c>
    </row>
    <row r="8" customFormat="false" ht="15" hidden="false" customHeight="false" outlineLevel="0" collapsed="false">
      <c r="A8" s="5" t="s">
        <v>36</v>
      </c>
      <c r="B8" s="5" t="s">
        <v>37</v>
      </c>
      <c r="C8" s="5" t="s">
        <v>38</v>
      </c>
      <c r="D8" s="5" t="s">
        <v>39</v>
      </c>
    </row>
    <row r="9" customFormat="false" ht="15" hidden="false" customHeight="false" outlineLevel="0" collapsed="false">
      <c r="A9" s="5" t="s">
        <v>40</v>
      </c>
      <c r="B9" s="5" t="s">
        <v>41</v>
      </c>
      <c r="C9" s="5" t="s">
        <v>42</v>
      </c>
      <c r="D9" s="5" t="s">
        <v>43</v>
      </c>
    </row>
    <row r="10" customFormat="false" ht="15" hidden="false" customHeight="false" outlineLevel="0" collapsed="false">
      <c r="A10" s="5" t="s">
        <v>44</v>
      </c>
      <c r="B10" s="5" t="s">
        <v>45</v>
      </c>
      <c r="C10" s="5" t="s">
        <v>46</v>
      </c>
      <c r="D10" s="5" t="s">
        <v>47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9.7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</row>
    <row r="5" customFormat="false" ht="15" hidden="false" customHeight="false" outlineLevel="0" collapsed="false">
      <c r="A5" s="5" t="s">
        <v>2</v>
      </c>
      <c r="B5" s="5" t="s">
        <v>54</v>
      </c>
      <c r="C5" s="5" t="s">
        <v>2</v>
      </c>
      <c r="D5" s="5" t="s">
        <v>55</v>
      </c>
    </row>
    <row r="6" customFormat="false" ht="15" hidden="false" customHeight="false" outlineLevel="0" collapsed="false">
      <c r="A6" s="5" t="s">
        <v>3</v>
      </c>
      <c r="B6" s="5" t="s">
        <v>56</v>
      </c>
      <c r="C6" s="5" t="s">
        <v>57</v>
      </c>
      <c r="D6" s="5" t="s">
        <v>55</v>
      </c>
    </row>
    <row r="7" customFormat="false" ht="15" hidden="false" customHeight="false" outlineLevel="0" collapsed="false">
      <c r="A7" s="5" t="s">
        <v>4</v>
      </c>
      <c r="B7" s="5" t="s">
        <v>58</v>
      </c>
      <c r="C7" s="5" t="s">
        <v>59</v>
      </c>
      <c r="D7" s="5" t="s">
        <v>55</v>
      </c>
    </row>
    <row r="8" customFormat="false" ht="15" hidden="false" customHeight="false" outlineLevel="0" collapsed="false">
      <c r="A8" s="5" t="s">
        <v>5</v>
      </c>
      <c r="B8" s="5" t="s">
        <v>60</v>
      </c>
      <c r="C8" s="5" t="s">
        <v>61</v>
      </c>
      <c r="D8" s="5" t="s">
        <v>62</v>
      </c>
    </row>
    <row r="9" customFormat="false" ht="15" hidden="false" customHeight="false" outlineLevel="0" collapsed="false">
      <c r="A9" s="5" t="s">
        <v>6</v>
      </c>
      <c r="B9" s="5" t="s">
        <v>63</v>
      </c>
      <c r="C9" s="5" t="s">
        <v>61</v>
      </c>
      <c r="D9" s="5" t="s">
        <v>64</v>
      </c>
    </row>
    <row r="10" customFormat="false" ht="15" hidden="false" customHeight="false" outlineLevel="0" collapsed="false">
      <c r="A10" s="5" t="s">
        <v>7</v>
      </c>
      <c r="B10" s="5" t="s">
        <v>65</v>
      </c>
      <c r="C10" s="5" t="s">
        <v>61</v>
      </c>
      <c r="D10" s="5" t="s">
        <v>66</v>
      </c>
    </row>
    <row r="11" customFormat="false" ht="15" hidden="false" customHeight="false" outlineLevel="0" collapsed="false">
      <c r="A11" s="5" t="s">
        <v>8</v>
      </c>
      <c r="B11" s="5" t="s">
        <v>67</v>
      </c>
      <c r="C11" s="5" t="s">
        <v>61</v>
      </c>
      <c r="D11" s="5" t="s">
        <v>68</v>
      </c>
    </row>
    <row r="12" customFormat="false" ht="15" hidden="false" customHeight="false" outlineLevel="0" collapsed="false">
      <c r="A12" s="5" t="s">
        <v>9</v>
      </c>
      <c r="B12" s="5" t="s">
        <v>69</v>
      </c>
      <c r="C12" s="5" t="s">
        <v>61</v>
      </c>
      <c r="D12" s="5" t="s">
        <v>70</v>
      </c>
    </row>
    <row r="13" customFormat="false" ht="15" hidden="false" customHeight="false" outlineLevel="0" collapsed="false">
      <c r="A13" s="5" t="s">
        <v>71</v>
      </c>
      <c r="B13" s="5" t="s">
        <v>72</v>
      </c>
      <c r="C13" s="5" t="s">
        <v>59</v>
      </c>
      <c r="D13" s="5" t="s">
        <v>73</v>
      </c>
    </row>
    <row r="14" customFormat="false" ht="15" hidden="false" customHeight="false" outlineLevel="0" collapsed="false">
      <c r="A14" s="5" t="s">
        <v>74</v>
      </c>
      <c r="B14" s="5" t="s">
        <v>75</v>
      </c>
      <c r="C14" s="5" t="s">
        <v>61</v>
      </c>
      <c r="D14" s="5" t="s">
        <v>76</v>
      </c>
    </row>
    <row r="15" customFormat="false" ht="15" hidden="false" customHeight="false" outlineLevel="0" collapsed="false">
      <c r="A15" s="5" t="s">
        <v>77</v>
      </c>
      <c r="B15" s="5" t="s">
        <v>78</v>
      </c>
      <c r="C15" s="5" t="s">
        <v>61</v>
      </c>
      <c r="D15" s="5" t="s">
        <v>79</v>
      </c>
    </row>
    <row r="16" customFormat="false" ht="15" hidden="false" customHeight="false" outlineLevel="0" collapsed="false">
      <c r="A16" s="5" t="s">
        <v>80</v>
      </c>
      <c r="B16" s="5" t="s">
        <v>81</v>
      </c>
      <c r="C16" s="5" t="s">
        <v>61</v>
      </c>
      <c r="D16" s="5" t="s">
        <v>82</v>
      </c>
    </row>
    <row r="17" customFormat="false" ht="28.35" hidden="false" customHeight="false" outlineLevel="0" collapsed="false">
      <c r="A17" s="5" t="s">
        <v>83</v>
      </c>
      <c r="B17" s="5" t="s">
        <v>84</v>
      </c>
      <c r="C17" s="5" t="s">
        <v>59</v>
      </c>
      <c r="D17" s="5" t="s">
        <v>85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8"/>
  </cols>
  <sheetData>
    <row r="1" customFormat="false" ht="19.7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71</v>
      </c>
      <c r="J4" s="3" t="s">
        <v>74</v>
      </c>
      <c r="K4" s="3" t="s">
        <v>77</v>
      </c>
      <c r="L4" s="3" t="s">
        <v>80</v>
      </c>
      <c r="M4" s="3" t="s">
        <v>83</v>
      </c>
    </row>
    <row r="5" customFormat="false" ht="15" hidden="false" customHeight="false" outlineLevel="0" collapsed="false">
      <c r="A5" s="4" t="n">
        <v>46267</v>
      </c>
      <c r="B5" s="5" t="s">
        <v>10</v>
      </c>
      <c r="C5" s="5" t="s">
        <v>11</v>
      </c>
      <c r="D5" s="5" t="n">
        <v>70</v>
      </c>
      <c r="E5" s="7" t="n">
        <v>5</v>
      </c>
      <c r="F5" s="5" t="n">
        <v>8.4</v>
      </c>
      <c r="G5" s="5" t="n">
        <v>151</v>
      </c>
      <c r="H5" s="7" t="n">
        <v>12</v>
      </c>
      <c r="I5" s="8" t="n">
        <v>1</v>
      </c>
      <c r="J5" s="8" t="n">
        <f aca="false">D5*E5</f>
        <v>350</v>
      </c>
      <c r="K5" s="9" t="n">
        <f aca="false">F5/(D5/60)</f>
        <v>7.2</v>
      </c>
      <c r="L5" s="9" t="n">
        <f aca="false">H5/(D5/60)</f>
        <v>10.2857142857143</v>
      </c>
      <c r="M5" s="8" t="str">
        <f aca="false">IF(J5&lt;300,"Faible",IF(J5&lt;=600,"Modérée","Élevée"))</f>
        <v>Modérée</v>
      </c>
    </row>
    <row r="6" customFormat="false" ht="15" hidden="false" customHeight="false" outlineLevel="0" collapsed="false">
      <c r="A6" s="4" t="n">
        <v>46267</v>
      </c>
      <c r="B6" s="5" t="s">
        <v>12</v>
      </c>
      <c r="C6" s="5" t="s">
        <v>11</v>
      </c>
      <c r="D6" s="5" t="n">
        <v>70</v>
      </c>
      <c r="E6" s="7" t="n">
        <v>6</v>
      </c>
      <c r="F6" s="5" t="n">
        <v>8.1</v>
      </c>
      <c r="G6" s="5" t="n">
        <v>156</v>
      </c>
      <c r="H6" s="7" t="n">
        <v>10</v>
      </c>
      <c r="I6" s="8" t="n">
        <v>1</v>
      </c>
      <c r="J6" s="8" t="n">
        <f aca="false">D6*E6</f>
        <v>420</v>
      </c>
      <c r="K6" s="9" t="n">
        <f aca="false">F6/(D6/60)</f>
        <v>6.94285714285714</v>
      </c>
      <c r="L6" s="9" t="n">
        <f aca="false">H6/(D6/60)</f>
        <v>8.57142857142857</v>
      </c>
      <c r="M6" s="8" t="str">
        <f aca="false">IF(J6&lt;300,"Faible",IF(J6&lt;=600,"Modérée","Élevée"))</f>
        <v>Modérée</v>
      </c>
    </row>
    <row r="7" customFormat="false" ht="15" hidden="false" customHeight="false" outlineLevel="0" collapsed="false">
      <c r="A7" s="4" t="n">
        <v>46267</v>
      </c>
      <c r="B7" s="5" t="s">
        <v>13</v>
      </c>
      <c r="C7" s="5" t="s">
        <v>11</v>
      </c>
      <c r="D7" s="5" t="n">
        <v>70</v>
      </c>
      <c r="E7" s="7" t="n">
        <v>5</v>
      </c>
      <c r="F7" s="5" t="n">
        <v>8.7</v>
      </c>
      <c r="G7" s="5" t="n">
        <v>149</v>
      </c>
      <c r="H7" s="7" t="n">
        <v>14</v>
      </c>
      <c r="I7" s="8" t="n">
        <v>1</v>
      </c>
      <c r="J7" s="8" t="n">
        <f aca="false">D7*E7</f>
        <v>350</v>
      </c>
      <c r="K7" s="9" t="n">
        <f aca="false">F7/(D7/60)</f>
        <v>7.45714285714286</v>
      </c>
      <c r="L7" s="9" t="n">
        <f aca="false">H7/(D7/60)</f>
        <v>12</v>
      </c>
      <c r="M7" s="8" t="str">
        <f aca="false">IF(J7&lt;300,"Faible",IF(J7&lt;=600,"Modérée","Élevée"))</f>
        <v>Modérée</v>
      </c>
    </row>
    <row r="8" customFormat="false" ht="15" hidden="false" customHeight="false" outlineLevel="0" collapsed="false">
      <c r="A8" s="4" t="n">
        <v>46269</v>
      </c>
      <c r="B8" s="5" t="s">
        <v>10</v>
      </c>
      <c r="C8" s="5" t="s">
        <v>15</v>
      </c>
      <c r="D8" s="5" t="n">
        <v>60</v>
      </c>
      <c r="E8" s="7" t="n">
        <v>8</v>
      </c>
      <c r="F8" s="5" t="n">
        <v>7.2</v>
      </c>
      <c r="G8" s="5" t="n">
        <v>168</v>
      </c>
      <c r="H8" s="7" t="n">
        <v>18</v>
      </c>
      <c r="I8" s="8" t="n">
        <v>1</v>
      </c>
      <c r="J8" s="8" t="n">
        <f aca="false">D8*E8</f>
        <v>480</v>
      </c>
      <c r="K8" s="9" t="n">
        <f aca="false">F8/(D8/60)</f>
        <v>7.2</v>
      </c>
      <c r="L8" s="9" t="n">
        <f aca="false">H8/(D8/60)</f>
        <v>18</v>
      </c>
      <c r="M8" s="8" t="str">
        <f aca="false">IF(J8&lt;300,"Faible",IF(J8&lt;=600,"Modérée","Élevée"))</f>
        <v>Modérée</v>
      </c>
    </row>
    <row r="9" customFormat="false" ht="15" hidden="false" customHeight="false" outlineLevel="0" collapsed="false">
      <c r="A9" s="4" t="n">
        <v>46269</v>
      </c>
      <c r="B9" s="5" t="s">
        <v>12</v>
      </c>
      <c r="C9" s="5" t="s">
        <v>15</v>
      </c>
      <c r="D9" s="5" t="n">
        <v>60</v>
      </c>
      <c r="E9" s="7" t="n">
        <v>7</v>
      </c>
      <c r="F9" s="5" t="n">
        <v>7</v>
      </c>
      <c r="G9" s="5" t="n">
        <v>164</v>
      </c>
      <c r="H9" s="7" t="n">
        <v>16</v>
      </c>
      <c r="I9" s="8" t="n">
        <v>1</v>
      </c>
      <c r="J9" s="8" t="n">
        <f aca="false">D9*E9</f>
        <v>420</v>
      </c>
      <c r="K9" s="9" t="n">
        <f aca="false">F9/(D9/60)</f>
        <v>7</v>
      </c>
      <c r="L9" s="9" t="n">
        <f aca="false">H9/(D9/60)</f>
        <v>16</v>
      </c>
      <c r="M9" s="8" t="str">
        <f aca="false">IF(J9&lt;300,"Faible",IF(J9&lt;=600,"Modérée","Élevée"))</f>
        <v>Modérée</v>
      </c>
    </row>
    <row r="10" customFormat="false" ht="15" hidden="false" customHeight="false" outlineLevel="0" collapsed="false">
      <c r="A10" s="4" t="n">
        <v>46269</v>
      </c>
      <c r="B10" s="5" t="s">
        <v>13</v>
      </c>
      <c r="C10" s="5" t="s">
        <v>15</v>
      </c>
      <c r="D10" s="5" t="n">
        <v>60</v>
      </c>
      <c r="E10" s="7" t="n">
        <v>9</v>
      </c>
      <c r="F10" s="5" t="n">
        <v>7.4</v>
      </c>
      <c r="G10" s="5" t="n">
        <v>172</v>
      </c>
      <c r="H10" s="7" t="n">
        <v>21</v>
      </c>
      <c r="I10" s="8" t="n">
        <v>1</v>
      </c>
      <c r="J10" s="8" t="n">
        <f aca="false">D10*E10</f>
        <v>540</v>
      </c>
      <c r="K10" s="9" t="n">
        <f aca="false">F10/(D10/60)</f>
        <v>7.4</v>
      </c>
      <c r="L10" s="9" t="n">
        <f aca="false">H10/(D10/60)</f>
        <v>21</v>
      </c>
      <c r="M10" s="8" t="str">
        <f aca="false">IF(J10&lt;300,"Faible",IF(J10&lt;=600,"Modérée","Élevée"))</f>
        <v>Modérée</v>
      </c>
    </row>
    <row r="11" customFormat="false" ht="15" hidden="false" customHeight="false" outlineLevel="0" collapsed="false">
      <c r="A11" s="4" t="n">
        <v>46272</v>
      </c>
      <c r="B11" s="5" t="s">
        <v>10</v>
      </c>
      <c r="C11" s="5" t="s">
        <v>16</v>
      </c>
      <c r="D11" s="5" t="n">
        <v>90</v>
      </c>
      <c r="E11" s="7" t="n">
        <v>8</v>
      </c>
      <c r="F11" s="5" t="n">
        <v>10.8</v>
      </c>
      <c r="G11" s="5" t="n">
        <v>171</v>
      </c>
      <c r="H11" s="7" t="n">
        <v>25</v>
      </c>
      <c r="I11" s="8" t="n">
        <v>1</v>
      </c>
      <c r="J11" s="8" t="n">
        <f aca="false">D11*E11</f>
        <v>720</v>
      </c>
      <c r="K11" s="9" t="n">
        <f aca="false">F11/(D11/60)</f>
        <v>7.2</v>
      </c>
      <c r="L11" s="9" t="n">
        <f aca="false">H11/(D11/60)</f>
        <v>16.6666666666667</v>
      </c>
      <c r="M11" s="8" t="str">
        <f aca="false">IF(J11&lt;300,"Faible",IF(J11&lt;=600,"Modérée","Élevée"))</f>
        <v>Élevée</v>
      </c>
    </row>
    <row r="12" customFormat="false" ht="15" hidden="false" customHeight="false" outlineLevel="0" collapsed="false">
      <c r="A12" s="4" t="n">
        <v>46272</v>
      </c>
      <c r="B12" s="5" t="s">
        <v>12</v>
      </c>
      <c r="C12" s="5" t="s">
        <v>16</v>
      </c>
      <c r="D12" s="5" t="n">
        <v>90</v>
      </c>
      <c r="E12" s="7" t="n">
        <v>7</v>
      </c>
      <c r="F12" s="5" t="n">
        <v>9.9</v>
      </c>
      <c r="G12" s="5" t="n">
        <v>165</v>
      </c>
      <c r="H12" s="7" t="n">
        <v>19</v>
      </c>
      <c r="I12" s="8" t="n">
        <v>1</v>
      </c>
      <c r="J12" s="8" t="n">
        <f aca="false">D12*E12</f>
        <v>630</v>
      </c>
      <c r="K12" s="9" t="n">
        <f aca="false">F12/(D12/60)</f>
        <v>6.6</v>
      </c>
      <c r="L12" s="9" t="n">
        <f aca="false">H12/(D12/60)</f>
        <v>12.6666666666667</v>
      </c>
      <c r="M12" s="8" t="str">
        <f aca="false">IF(J12&lt;300,"Faible",IF(J12&lt;=600,"Modérée","Élevée"))</f>
        <v>Élevée</v>
      </c>
    </row>
    <row r="13" customFormat="false" ht="15" hidden="false" customHeight="false" outlineLevel="0" collapsed="false">
      <c r="A13" s="4" t="n">
        <v>46272</v>
      </c>
      <c r="B13" s="5" t="s">
        <v>13</v>
      </c>
      <c r="C13" s="5" t="s">
        <v>16</v>
      </c>
      <c r="D13" s="5" t="n">
        <v>90</v>
      </c>
      <c r="E13" s="7" t="n">
        <v>9</v>
      </c>
      <c r="F13" s="5" t="n">
        <v>11.2</v>
      </c>
      <c r="G13" s="5" t="n">
        <v>174</v>
      </c>
      <c r="H13" s="7" t="n">
        <v>28</v>
      </c>
      <c r="I13" s="8" t="n">
        <v>1</v>
      </c>
      <c r="J13" s="8" t="n">
        <f aca="false">D13*E13</f>
        <v>810</v>
      </c>
      <c r="K13" s="9" t="n">
        <f aca="false">F13/(D13/60)</f>
        <v>7.46666666666667</v>
      </c>
      <c r="L13" s="9" t="n">
        <f aca="false">H13/(D13/60)</f>
        <v>18.6666666666667</v>
      </c>
      <c r="M13" s="8" t="str">
        <f aca="false">IF(J13&lt;300,"Faible",IF(J13&lt;=600,"Modérée","Élevée"))</f>
        <v>Élevée</v>
      </c>
    </row>
    <row r="14" customFormat="false" ht="15" hidden="false" customHeight="false" outlineLevel="0" collapsed="false">
      <c r="A14" s="4" t="n">
        <v>46274</v>
      </c>
      <c r="B14" s="5" t="s">
        <v>10</v>
      </c>
      <c r="C14" s="5" t="s">
        <v>17</v>
      </c>
      <c r="D14" s="5" t="n">
        <v>45</v>
      </c>
      <c r="E14" s="7" t="n">
        <v>3</v>
      </c>
      <c r="F14" s="5" t="n">
        <v>5.2</v>
      </c>
      <c r="G14" s="5" t="n">
        <v>132</v>
      </c>
      <c r="H14" s="7" t="n">
        <v>3</v>
      </c>
      <c r="I14" s="8" t="n">
        <v>2</v>
      </c>
      <c r="J14" s="8" t="n">
        <f aca="false">D14*E14</f>
        <v>135</v>
      </c>
      <c r="K14" s="9" t="n">
        <f aca="false">F14/(D14/60)</f>
        <v>6.93333333333333</v>
      </c>
      <c r="L14" s="9" t="n">
        <f aca="false">H14/(D14/60)</f>
        <v>4</v>
      </c>
      <c r="M14" s="8" t="str">
        <f aca="false">IF(J14&lt;300,"Faible",IF(J14&lt;=600,"Modérée","Élevée"))</f>
        <v>Faible</v>
      </c>
    </row>
    <row r="15" customFormat="false" ht="15" hidden="false" customHeight="false" outlineLevel="0" collapsed="false">
      <c r="A15" s="4" t="n">
        <v>46274</v>
      </c>
      <c r="B15" s="5" t="s">
        <v>12</v>
      </c>
      <c r="C15" s="5" t="s">
        <v>17</v>
      </c>
      <c r="D15" s="5" t="n">
        <v>45</v>
      </c>
      <c r="E15" s="7" t="n">
        <v>4</v>
      </c>
      <c r="F15" s="5" t="n">
        <v>5</v>
      </c>
      <c r="G15" s="5" t="n">
        <v>137</v>
      </c>
      <c r="H15" s="7" t="n">
        <v>2</v>
      </c>
      <c r="I15" s="8" t="n">
        <v>2</v>
      </c>
      <c r="J15" s="8" t="n">
        <f aca="false">D15*E15</f>
        <v>180</v>
      </c>
      <c r="K15" s="9" t="n">
        <f aca="false">F15/(D15/60)</f>
        <v>6.66666666666667</v>
      </c>
      <c r="L15" s="9" t="n">
        <f aca="false">H15/(D15/60)</f>
        <v>2.66666666666667</v>
      </c>
      <c r="M15" s="8" t="str">
        <f aca="false">IF(J15&lt;300,"Faible",IF(J15&lt;=600,"Modérée","Élevée"))</f>
        <v>Faible</v>
      </c>
    </row>
    <row r="16" customFormat="false" ht="15" hidden="false" customHeight="false" outlineLevel="0" collapsed="false">
      <c r="A16" s="4" t="n">
        <v>46274</v>
      </c>
      <c r="B16" s="5" t="s">
        <v>13</v>
      </c>
      <c r="C16" s="5" t="s">
        <v>17</v>
      </c>
      <c r="D16" s="5" t="n">
        <v>45</v>
      </c>
      <c r="E16" s="7" t="n">
        <v>3</v>
      </c>
      <c r="F16" s="5" t="n">
        <v>5.4</v>
      </c>
      <c r="G16" s="5" t="n">
        <v>130</v>
      </c>
      <c r="H16" s="7" t="n">
        <v>4</v>
      </c>
      <c r="I16" s="8" t="n">
        <v>2</v>
      </c>
      <c r="J16" s="8" t="n">
        <f aca="false">D16*E16</f>
        <v>135</v>
      </c>
      <c r="K16" s="9" t="n">
        <f aca="false">F16/(D16/60)</f>
        <v>7.2</v>
      </c>
      <c r="L16" s="9" t="n">
        <f aca="false">H16/(D16/60)</f>
        <v>5.33333333333333</v>
      </c>
      <c r="M16" s="8" t="str">
        <f aca="false">IF(J16&lt;300,"Faible",IF(J16&lt;=600,"Modérée","Élevée"))</f>
        <v>Faible</v>
      </c>
    </row>
    <row r="17" customFormat="false" ht="15" hidden="false" customHeight="false" outlineLevel="0" collapsed="false">
      <c r="A17" s="4" t="n">
        <v>46276</v>
      </c>
      <c r="B17" s="5" t="s">
        <v>10</v>
      </c>
      <c r="C17" s="5" t="s">
        <v>11</v>
      </c>
      <c r="D17" s="5" t="n">
        <v>75</v>
      </c>
      <c r="E17" s="7" t="n">
        <v>6</v>
      </c>
      <c r="F17" s="5" t="n">
        <v>9.1</v>
      </c>
      <c r="G17" s="5" t="n">
        <v>154</v>
      </c>
      <c r="H17" s="7" t="n">
        <v>13</v>
      </c>
      <c r="I17" s="8" t="n">
        <v>2</v>
      </c>
      <c r="J17" s="8" t="n">
        <f aca="false">D17*E17</f>
        <v>450</v>
      </c>
      <c r="K17" s="9" t="n">
        <f aca="false">F17/(D17/60)</f>
        <v>7.28</v>
      </c>
      <c r="L17" s="9" t="n">
        <f aca="false">H17/(D17/60)</f>
        <v>10.4</v>
      </c>
      <c r="M17" s="8" t="str">
        <f aca="false">IF(J17&lt;300,"Faible",IF(J17&lt;=600,"Modérée","Élevée"))</f>
        <v>Modérée</v>
      </c>
    </row>
    <row r="18" customFormat="false" ht="15" hidden="false" customHeight="false" outlineLevel="0" collapsed="false">
      <c r="A18" s="4" t="n">
        <v>46276</v>
      </c>
      <c r="B18" s="5" t="s">
        <v>12</v>
      </c>
      <c r="C18" s="5" t="s">
        <v>11</v>
      </c>
      <c r="D18" s="5" t="n">
        <v>75</v>
      </c>
      <c r="E18" s="7" t="n">
        <v>6</v>
      </c>
      <c r="F18" s="5" t="n">
        <v>8.8</v>
      </c>
      <c r="G18" s="5" t="n">
        <v>157</v>
      </c>
      <c r="H18" s="7" t="n">
        <v>11</v>
      </c>
      <c r="I18" s="8" t="n">
        <v>2</v>
      </c>
      <c r="J18" s="8" t="n">
        <f aca="false">D18*E18</f>
        <v>450</v>
      </c>
      <c r="K18" s="9" t="n">
        <f aca="false">F18/(D18/60)</f>
        <v>7.04</v>
      </c>
      <c r="L18" s="9" t="n">
        <f aca="false">H18/(D18/60)</f>
        <v>8.8</v>
      </c>
      <c r="M18" s="8" t="str">
        <f aca="false">IF(J18&lt;300,"Faible",IF(J18&lt;=600,"Modérée","Élevée"))</f>
        <v>Modérée</v>
      </c>
    </row>
    <row r="19" customFormat="false" ht="15" hidden="false" customHeight="false" outlineLevel="0" collapsed="false">
      <c r="A19" s="4" t="n">
        <v>46276</v>
      </c>
      <c r="B19" s="5" t="s">
        <v>13</v>
      </c>
      <c r="C19" s="5" t="s">
        <v>11</v>
      </c>
      <c r="D19" s="5" t="n">
        <v>75</v>
      </c>
      <c r="E19" s="7" t="n">
        <v>5</v>
      </c>
      <c r="F19" s="5" t="n">
        <v>9.4</v>
      </c>
      <c r="G19" s="5" t="n">
        <v>150</v>
      </c>
      <c r="H19" s="7" t="n">
        <v>15</v>
      </c>
      <c r="I19" s="8" t="n">
        <v>2</v>
      </c>
      <c r="J19" s="8" t="n">
        <f aca="false">D19*E19</f>
        <v>375</v>
      </c>
      <c r="K19" s="9" t="n">
        <f aca="false">F19/(D19/60)</f>
        <v>7.52</v>
      </c>
      <c r="L19" s="9" t="n">
        <f aca="false">H19/(D19/60)</f>
        <v>12</v>
      </c>
      <c r="M19" s="8" t="str">
        <f aca="false">IF(J19&lt;300,"Faible",IF(J19&lt;=600,"Modérée","Élevée"))</f>
        <v>Modérée</v>
      </c>
    </row>
    <row r="20" customFormat="false" ht="15" hidden="false" customHeight="false" outlineLevel="0" collapsed="false">
      <c r="A20" s="4" t="n">
        <v>46279</v>
      </c>
      <c r="B20" s="5" t="s">
        <v>10</v>
      </c>
      <c r="C20" s="5" t="s">
        <v>15</v>
      </c>
      <c r="D20" s="5" t="n">
        <v>65</v>
      </c>
      <c r="E20" s="7" t="n">
        <v>8</v>
      </c>
      <c r="F20" s="5" t="n">
        <v>7.8</v>
      </c>
      <c r="G20" s="5" t="n">
        <v>169</v>
      </c>
      <c r="H20" s="7" t="n">
        <v>20</v>
      </c>
      <c r="I20" s="8" t="n">
        <v>2</v>
      </c>
      <c r="J20" s="8" t="n">
        <f aca="false">D20*E20</f>
        <v>520</v>
      </c>
      <c r="K20" s="9" t="n">
        <f aca="false">F20/(D20/60)</f>
        <v>7.2</v>
      </c>
      <c r="L20" s="9" t="n">
        <f aca="false">H20/(D20/60)</f>
        <v>18.4615384615385</v>
      </c>
      <c r="M20" s="8" t="str">
        <f aca="false">IF(J20&lt;300,"Faible",IF(J20&lt;=600,"Modérée","Élevée"))</f>
        <v>Modérée</v>
      </c>
    </row>
    <row r="21" customFormat="false" ht="15" hidden="false" customHeight="false" outlineLevel="0" collapsed="false">
      <c r="A21" s="4" t="n">
        <v>46279</v>
      </c>
      <c r="B21" s="5" t="s">
        <v>12</v>
      </c>
      <c r="C21" s="5" t="s">
        <v>15</v>
      </c>
      <c r="D21" s="5" t="n">
        <v>65</v>
      </c>
      <c r="E21" s="7" t="n">
        <v>8</v>
      </c>
      <c r="F21" s="5" t="n">
        <v>7.5</v>
      </c>
      <c r="G21" s="5" t="n">
        <v>167</v>
      </c>
      <c r="H21" s="7" t="n">
        <v>18</v>
      </c>
      <c r="I21" s="8" t="n">
        <v>2</v>
      </c>
      <c r="J21" s="8" t="n">
        <f aca="false">D21*E21</f>
        <v>520</v>
      </c>
      <c r="K21" s="9" t="n">
        <f aca="false">F21/(D21/60)</f>
        <v>6.92307692307692</v>
      </c>
      <c r="L21" s="9" t="n">
        <f aca="false">H21/(D21/60)</f>
        <v>16.6153846153846</v>
      </c>
      <c r="M21" s="8" t="str">
        <f aca="false">IF(J21&lt;300,"Faible",IF(J21&lt;=600,"Modérée","Élevée"))</f>
        <v>Modérée</v>
      </c>
    </row>
    <row r="22" customFormat="false" ht="15" hidden="false" customHeight="false" outlineLevel="0" collapsed="false">
      <c r="A22" s="4" t="n">
        <v>46279</v>
      </c>
      <c r="B22" s="5" t="s">
        <v>13</v>
      </c>
      <c r="C22" s="5" t="s">
        <v>15</v>
      </c>
      <c r="D22" s="5" t="n">
        <v>65</v>
      </c>
      <c r="E22" s="7" t="n">
        <v>9</v>
      </c>
      <c r="F22" s="5" t="n">
        <v>7.9</v>
      </c>
      <c r="G22" s="5" t="n">
        <v>173</v>
      </c>
      <c r="H22" s="7" t="n">
        <v>23</v>
      </c>
      <c r="I22" s="8" t="n">
        <v>2</v>
      </c>
      <c r="J22" s="8" t="n">
        <f aca="false">D22*E22</f>
        <v>585</v>
      </c>
      <c r="K22" s="9" t="n">
        <f aca="false">F22/(D22/60)</f>
        <v>7.29230769230769</v>
      </c>
      <c r="L22" s="9" t="n">
        <f aca="false">H22/(D22/60)</f>
        <v>21.2307692307692</v>
      </c>
      <c r="M22" s="8" t="str">
        <f aca="false">IF(J22&lt;300,"Faible",IF(J22&lt;=600,"Modérée","Élevée"))</f>
        <v>Modérée</v>
      </c>
    </row>
    <row r="23" customFormat="false" ht="15" hidden="false" customHeight="false" outlineLevel="0" collapsed="false">
      <c r="A23" s="4" t="n">
        <v>46281</v>
      </c>
      <c r="B23" s="5" t="s">
        <v>10</v>
      </c>
      <c r="C23" s="5" t="s">
        <v>17</v>
      </c>
      <c r="D23" s="5" t="n">
        <v>40</v>
      </c>
      <c r="E23" s="7" t="n">
        <v>3</v>
      </c>
      <c r="F23" s="5" t="n">
        <v>4.8</v>
      </c>
      <c r="G23" s="5" t="n">
        <v>130</v>
      </c>
      <c r="H23" s="7" t="n">
        <v>2</v>
      </c>
      <c r="I23" s="8" t="n">
        <v>3</v>
      </c>
      <c r="J23" s="8" t="n">
        <f aca="false">D23*E23</f>
        <v>120</v>
      </c>
      <c r="K23" s="9" t="n">
        <f aca="false">F23/(D23/60)</f>
        <v>7.2</v>
      </c>
      <c r="L23" s="9" t="n">
        <f aca="false">H23/(D23/60)</f>
        <v>3</v>
      </c>
      <c r="M23" s="8" t="str">
        <f aca="false">IF(J23&lt;300,"Faible",IF(J23&lt;=600,"Modérée","Élevée"))</f>
        <v>Faible</v>
      </c>
    </row>
    <row r="24" customFormat="false" ht="15" hidden="false" customHeight="false" outlineLevel="0" collapsed="false">
      <c r="A24" s="4" t="n">
        <v>46281</v>
      </c>
      <c r="B24" s="5" t="s">
        <v>12</v>
      </c>
      <c r="C24" s="5" t="s">
        <v>17</v>
      </c>
      <c r="D24" s="5" t="n">
        <v>40</v>
      </c>
      <c r="E24" s="7" t="n">
        <v>3</v>
      </c>
      <c r="F24" s="5" t="n">
        <v>4.6</v>
      </c>
      <c r="G24" s="5" t="n">
        <v>134</v>
      </c>
      <c r="H24" s="7" t="n">
        <v>2</v>
      </c>
      <c r="I24" s="8" t="n">
        <v>3</v>
      </c>
      <c r="J24" s="8" t="n">
        <f aca="false">D24*E24</f>
        <v>120</v>
      </c>
      <c r="K24" s="9" t="n">
        <f aca="false">F24/(D24/60)</f>
        <v>6.9</v>
      </c>
      <c r="L24" s="9" t="n">
        <f aca="false">H24/(D24/60)</f>
        <v>3</v>
      </c>
      <c r="M24" s="8" t="str">
        <f aca="false">IF(J24&lt;300,"Faible",IF(J24&lt;=600,"Modérée","Élevée"))</f>
        <v>Faible</v>
      </c>
    </row>
    <row r="25" customFormat="false" ht="15" hidden="false" customHeight="false" outlineLevel="0" collapsed="false">
      <c r="A25" s="4" t="n">
        <v>46281</v>
      </c>
      <c r="B25" s="5" t="s">
        <v>13</v>
      </c>
      <c r="C25" s="5" t="s">
        <v>17</v>
      </c>
      <c r="D25" s="5" t="n">
        <v>40</v>
      </c>
      <c r="E25" s="7" t="n">
        <v>4</v>
      </c>
      <c r="F25" s="5" t="n">
        <v>4.7</v>
      </c>
      <c r="G25" s="5" t="n">
        <v>138</v>
      </c>
      <c r="H25" s="7" t="n">
        <v>3</v>
      </c>
      <c r="I25" s="8" t="n">
        <v>3</v>
      </c>
      <c r="J25" s="8" t="n">
        <f aca="false">D25*E25</f>
        <v>160</v>
      </c>
      <c r="K25" s="9" t="n">
        <f aca="false">F25/(D25/60)</f>
        <v>7.05</v>
      </c>
      <c r="L25" s="9" t="n">
        <f aca="false">H25/(D25/60)</f>
        <v>4.5</v>
      </c>
      <c r="M25" s="8" t="str">
        <f aca="false">IF(J25&lt;300,"Faible",IF(J25&lt;=600,"Modérée","Élevée"))</f>
        <v>Faible</v>
      </c>
    </row>
    <row r="26" customFormat="false" ht="15" hidden="false" customHeight="false" outlineLevel="0" collapsed="false">
      <c r="A26" s="4" t="n">
        <v>46283</v>
      </c>
      <c r="B26" s="5" t="s">
        <v>10</v>
      </c>
      <c r="C26" s="5" t="s">
        <v>16</v>
      </c>
      <c r="D26" s="5" t="n">
        <v>90</v>
      </c>
      <c r="E26" s="7" t="n">
        <v>9</v>
      </c>
      <c r="F26" s="5" t="n">
        <v>11.1</v>
      </c>
      <c r="G26" s="5" t="n">
        <v>173</v>
      </c>
      <c r="H26" s="7" t="n">
        <v>27</v>
      </c>
      <c r="I26" s="8" t="n">
        <v>3</v>
      </c>
      <c r="J26" s="8" t="n">
        <f aca="false">D26*E26</f>
        <v>810</v>
      </c>
      <c r="K26" s="9" t="n">
        <f aca="false">F26/(D26/60)</f>
        <v>7.4</v>
      </c>
      <c r="L26" s="9" t="n">
        <f aca="false">H26/(D26/60)</f>
        <v>18</v>
      </c>
      <c r="M26" s="8" t="str">
        <f aca="false">IF(J26&lt;300,"Faible",IF(J26&lt;=600,"Modérée","Élevée"))</f>
        <v>Élevée</v>
      </c>
    </row>
    <row r="27" customFormat="false" ht="15" hidden="false" customHeight="false" outlineLevel="0" collapsed="false">
      <c r="A27" s="4" t="n">
        <v>46283</v>
      </c>
      <c r="B27" s="5" t="s">
        <v>12</v>
      </c>
      <c r="C27" s="5" t="s">
        <v>16</v>
      </c>
      <c r="D27" s="5" t="n">
        <v>90</v>
      </c>
      <c r="E27" s="7" t="n">
        <v>8</v>
      </c>
      <c r="F27" s="5" t="n">
        <v>10.3</v>
      </c>
      <c r="G27" s="5" t="n">
        <v>168</v>
      </c>
      <c r="H27" s="7" t="n">
        <v>22</v>
      </c>
      <c r="I27" s="8" t="n">
        <v>3</v>
      </c>
      <c r="J27" s="8" t="n">
        <f aca="false">D27*E27</f>
        <v>720</v>
      </c>
      <c r="K27" s="9" t="n">
        <f aca="false">F27/(D27/60)</f>
        <v>6.86666666666667</v>
      </c>
      <c r="L27" s="9" t="n">
        <f aca="false">H27/(D27/60)</f>
        <v>14.6666666666667</v>
      </c>
      <c r="M27" s="8" t="str">
        <f aca="false">IF(J27&lt;300,"Faible",IF(J27&lt;=600,"Modérée","Élevée"))</f>
        <v>Élevée</v>
      </c>
    </row>
    <row r="28" customFormat="false" ht="15" hidden="false" customHeight="false" outlineLevel="0" collapsed="false">
      <c r="A28" s="4" t="n">
        <v>46283</v>
      </c>
      <c r="B28" s="5" t="s">
        <v>13</v>
      </c>
      <c r="C28" s="5" t="s">
        <v>16</v>
      </c>
      <c r="D28" s="5" t="n">
        <v>90</v>
      </c>
      <c r="E28" s="7" t="n">
        <v>9</v>
      </c>
      <c r="F28" s="5" t="n">
        <v>11.5</v>
      </c>
      <c r="G28" s="5" t="n">
        <v>176</v>
      </c>
      <c r="H28" s="7" t="n">
        <v>30</v>
      </c>
      <c r="I28" s="8" t="n">
        <v>3</v>
      </c>
      <c r="J28" s="8" t="n">
        <f aca="false">D28*E28</f>
        <v>810</v>
      </c>
      <c r="K28" s="9" t="n">
        <f aca="false">F28/(D28/60)</f>
        <v>7.66666666666667</v>
      </c>
      <c r="L28" s="9" t="n">
        <f aca="false">H28/(D28/60)</f>
        <v>20</v>
      </c>
      <c r="M28" s="8" t="str">
        <f aca="false">IF(J28&lt;300,"Faible",IF(J28&lt;=600,"Modérée","Élevée"))</f>
        <v>Élevée</v>
      </c>
    </row>
  </sheetData>
  <mergeCells count="2">
    <mergeCell ref="A1:H1"/>
    <mergeCell ref="A2:H2"/>
  </mergeCells>
  <conditionalFormatting sqref="J5:J28">
    <cfRule type="colorScale" priority="2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conditionalFormatting sqref="E5:E28">
    <cfRule type="cellIs" priority="3" operator="greaterThanOrEqual" aboveAverage="0" equalAverage="0" bottom="0" percent="0" rank="0" text="" dxfId="19">
      <formula>8</formula>
    </cfRule>
  </conditionalFormatting>
  <conditionalFormatting sqref="H5:H28">
    <cfRule type="cellIs" priority="4" operator="greaterThan" aboveAverage="0" equalAverage="0" bottom="0" percent="0" rank="0" text="" dxfId="2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8"/>
  </cols>
  <sheetData>
    <row r="1" customFormat="false" ht="19.7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10" t="s">
        <v>90</v>
      </c>
    </row>
    <row r="5" customFormat="false" ht="15" hidden="false" customHeight="false" outlineLevel="0" collapsed="false">
      <c r="A5" s="3" t="s">
        <v>3</v>
      </c>
      <c r="B5" s="3" t="s">
        <v>91</v>
      </c>
      <c r="C5" s="3" t="s">
        <v>92</v>
      </c>
      <c r="D5" s="3" t="s">
        <v>93</v>
      </c>
      <c r="E5" s="3" t="s">
        <v>94</v>
      </c>
      <c r="F5" s="3" t="s">
        <v>95</v>
      </c>
      <c r="G5" s="3" t="s">
        <v>96</v>
      </c>
      <c r="H5" s="3" t="s">
        <v>97</v>
      </c>
      <c r="I5" s="3" t="s">
        <v>98</v>
      </c>
    </row>
    <row r="6" customFormat="false" ht="15" hidden="false" customHeight="false" outlineLevel="0" collapsed="false">
      <c r="A6" s="5" t="s">
        <v>10</v>
      </c>
      <c r="B6" s="5" t="n">
        <f aca="false">SUMIFS('Base de données'!$J:$J,'Base de données'!$B:$B,$A6,'Base de données'!$I:$I,1)</f>
        <v>1550</v>
      </c>
      <c r="C6" s="5" t="n">
        <f aca="false">SUMIFS('Base de données'!$J:$J,'Base de données'!$B:$B,$A6,'Base de données'!$I:$I,2)</f>
        <v>1105</v>
      </c>
      <c r="D6" s="5" t="n">
        <f aca="false">SUMIFS('Base de données'!$J:$J,'Base de données'!$B:$B,$A6,'Base de données'!$I:$I,3)</f>
        <v>930</v>
      </c>
      <c r="E6" s="5" t="n">
        <f aca="false">SUM(B6:D6)</f>
        <v>3585</v>
      </c>
      <c r="F6" s="5" t="n">
        <f aca="false">COUNTIF('Base de données'!$B:$B,$A6)</f>
        <v>8</v>
      </c>
      <c r="G6" s="5" t="n">
        <f aca="false">SUMIF('Base de données'!$B:$B,$A6,'Base de données'!$F:$F)</f>
        <v>64.4</v>
      </c>
      <c r="H6" s="5" t="n">
        <f aca="false">SUMIF('Base de données'!$B:$B,$A6,'Base de données'!$H:$H)</f>
        <v>120</v>
      </c>
      <c r="I6" s="5" t="n">
        <f aca="false">AVERAGEIF('Base de données'!$B:$B,$A6,'Base de données'!$J:$J)</f>
        <v>448.125</v>
      </c>
    </row>
    <row r="7" customFormat="false" ht="15" hidden="false" customHeight="false" outlineLevel="0" collapsed="false">
      <c r="A7" s="5" t="s">
        <v>12</v>
      </c>
      <c r="B7" s="5" t="n">
        <f aca="false">SUMIFS('Base de données'!$J:$J,'Base de données'!$B:$B,$A7,'Base de données'!$I:$I,1)</f>
        <v>1470</v>
      </c>
      <c r="C7" s="5" t="n">
        <f aca="false">SUMIFS('Base de données'!$J:$J,'Base de données'!$B:$B,$A7,'Base de données'!$I:$I,2)</f>
        <v>1150</v>
      </c>
      <c r="D7" s="5" t="n">
        <f aca="false">SUMIFS('Base de données'!$J:$J,'Base de données'!$B:$B,$A7,'Base de données'!$I:$I,3)</f>
        <v>840</v>
      </c>
      <c r="E7" s="5" t="n">
        <f aca="false">SUM(B7:D7)</f>
        <v>3460</v>
      </c>
      <c r="F7" s="5" t="n">
        <f aca="false">COUNTIF('Base de données'!$B:$B,$A7)</f>
        <v>8</v>
      </c>
      <c r="G7" s="5" t="n">
        <f aca="false">SUMIF('Base de données'!$B:$B,$A7,'Base de données'!$F:$F)</f>
        <v>61.2</v>
      </c>
      <c r="H7" s="5" t="n">
        <f aca="false">SUMIF('Base de données'!$B:$B,$A7,'Base de données'!$H:$H)</f>
        <v>100</v>
      </c>
      <c r="I7" s="5" t="n">
        <f aca="false">AVERAGEIF('Base de données'!$B:$B,$A7,'Base de données'!$J:$J)</f>
        <v>432.5</v>
      </c>
    </row>
    <row r="8" customFormat="false" ht="15" hidden="false" customHeight="false" outlineLevel="0" collapsed="false">
      <c r="A8" s="5" t="s">
        <v>13</v>
      </c>
      <c r="B8" s="5" t="n">
        <f aca="false">SUMIFS('Base de données'!$J:$J,'Base de données'!$B:$B,$A8,'Base de données'!$I:$I,1)</f>
        <v>1700</v>
      </c>
      <c r="C8" s="5" t="n">
        <f aca="false">SUMIFS('Base de données'!$J:$J,'Base de données'!$B:$B,$A8,'Base de données'!$I:$I,2)</f>
        <v>1095</v>
      </c>
      <c r="D8" s="5" t="n">
        <f aca="false">SUMIFS('Base de données'!$J:$J,'Base de données'!$B:$B,$A8,'Base de données'!$I:$I,3)</f>
        <v>970</v>
      </c>
      <c r="E8" s="5" t="n">
        <f aca="false">SUM(B8:D8)</f>
        <v>3765</v>
      </c>
      <c r="F8" s="5" t="n">
        <f aca="false">COUNTIF('Base de données'!$B:$B,$A8)</f>
        <v>8</v>
      </c>
      <c r="G8" s="5" t="n">
        <f aca="false">SUMIF('Base de données'!$B:$B,$A8,'Base de données'!$F:$F)</f>
        <v>66.2</v>
      </c>
      <c r="H8" s="5" t="n">
        <f aca="false">SUMIF('Base de données'!$B:$B,$A8,'Base de données'!$H:$H)</f>
        <v>138</v>
      </c>
      <c r="I8" s="5" t="n">
        <f aca="false">AVERAGEIF('Base de données'!$B:$B,$A8,'Base de données'!$J:$J)</f>
        <v>470.625</v>
      </c>
    </row>
    <row r="10" customFormat="false" ht="15" hidden="false" customHeight="false" outlineLevel="0" collapsed="false">
      <c r="A10" s="10" t="s">
        <v>99</v>
      </c>
    </row>
    <row r="11" customFormat="false" ht="15" hidden="false" customHeight="false" outlineLevel="0" collapsed="false">
      <c r="A11" s="11" t="s">
        <v>100</v>
      </c>
      <c r="B11" s="5" t="n">
        <f aca="false">COUNTA('Base de données'!B5:B28)</f>
        <v>24</v>
      </c>
    </row>
    <row r="12" customFormat="false" ht="15" hidden="false" customHeight="false" outlineLevel="0" collapsed="false">
      <c r="A12" s="11" t="s">
        <v>101</v>
      </c>
      <c r="B12" s="5" t="n">
        <f aca="false">SUM('Base de données'!J5:J28)</f>
        <v>10810</v>
      </c>
    </row>
    <row r="13" customFormat="false" ht="15" hidden="false" customHeight="false" outlineLevel="0" collapsed="false">
      <c r="A13" s="11" t="s">
        <v>102</v>
      </c>
      <c r="B13" s="5" t="n">
        <f aca="false">AVERAGE('Base de données'!J5:J28)</f>
        <v>450.416666666667</v>
      </c>
    </row>
    <row r="14" customFormat="false" ht="15" hidden="false" customHeight="false" outlineLevel="0" collapsed="false">
      <c r="A14" s="11" t="s">
        <v>96</v>
      </c>
      <c r="B14" s="5" t="n">
        <f aca="false">SUM('Base de données'!F5:F28)</f>
        <v>191.8</v>
      </c>
    </row>
    <row r="15" customFormat="false" ht="15" hidden="false" customHeight="false" outlineLevel="0" collapsed="false">
      <c r="A15" s="11" t="s">
        <v>97</v>
      </c>
      <c r="B15" s="5" t="n">
        <f aca="false">SUM('Base de données'!H5:H28)</f>
        <v>358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7" min="5" style="0" width="14"/>
  </cols>
  <sheetData>
    <row r="1" customFormat="false" ht="19.7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104</v>
      </c>
      <c r="B2" s="2"/>
      <c r="C2" s="2"/>
      <c r="D2" s="2"/>
      <c r="E2" s="2"/>
      <c r="F2" s="2"/>
      <c r="G2" s="2"/>
      <c r="H2" s="2"/>
    </row>
    <row r="4" customFormat="false" ht="41.75" hidden="false" customHeight="false" outlineLevel="0" collapsed="false">
      <c r="A4" s="10" t="s">
        <v>105</v>
      </c>
      <c r="D4" s="10" t="s">
        <v>106</v>
      </c>
    </row>
    <row r="5" customFormat="false" ht="15" hidden="false" customHeight="false" outlineLevel="0" collapsed="false">
      <c r="A5" s="3" t="s">
        <v>3</v>
      </c>
      <c r="B5" s="3" t="s">
        <v>101</v>
      </c>
      <c r="D5" s="3" t="s">
        <v>3</v>
      </c>
      <c r="E5" s="3" t="s">
        <v>91</v>
      </c>
      <c r="F5" s="3" t="s">
        <v>92</v>
      </c>
      <c r="G5" s="3" t="s">
        <v>93</v>
      </c>
    </row>
    <row r="6" customFormat="false" ht="15" hidden="false" customHeight="false" outlineLevel="0" collapsed="false">
      <c r="A6" s="5" t="s">
        <v>10</v>
      </c>
      <c r="B6" s="5" t="n">
        <f aca="false">SUMIF('Base de données'!$B:$B,A6,'Base de données'!$J:$J)</f>
        <v>3585</v>
      </c>
      <c r="D6" s="5" t="s">
        <v>10</v>
      </c>
      <c r="E6" s="5" t="n">
        <f aca="false">SUMIFS('Base de données'!$J:$J,'Base de données'!$B:$B,$D6,'Base de données'!$I:$I,1)</f>
        <v>1550</v>
      </c>
      <c r="F6" s="5" t="n">
        <f aca="false">SUMIFS('Base de données'!$J:$J,'Base de données'!$B:$B,$D6,'Base de données'!$I:$I,2)</f>
        <v>1105</v>
      </c>
      <c r="G6" s="5" t="n">
        <f aca="false">SUMIFS('Base de données'!$J:$J,'Base de données'!$B:$B,$D6,'Base de données'!$I:$I,3)</f>
        <v>930</v>
      </c>
    </row>
    <row r="7" customFormat="false" ht="15" hidden="false" customHeight="false" outlineLevel="0" collapsed="false">
      <c r="A7" s="5" t="s">
        <v>12</v>
      </c>
      <c r="B7" s="5" t="n">
        <f aca="false">SUMIF('Base de données'!$B:$B,A7,'Base de données'!$J:$J)</f>
        <v>3460</v>
      </c>
      <c r="D7" s="5" t="s">
        <v>12</v>
      </c>
      <c r="E7" s="5" t="n">
        <f aca="false">SUMIFS('Base de données'!$J:$J,'Base de données'!$B:$B,$D7,'Base de données'!$I:$I,1)</f>
        <v>1470</v>
      </c>
      <c r="F7" s="5" t="n">
        <f aca="false">SUMIFS('Base de données'!$J:$J,'Base de données'!$B:$B,$D7,'Base de données'!$I:$I,2)</f>
        <v>1150</v>
      </c>
      <c r="G7" s="5" t="n">
        <f aca="false">SUMIFS('Base de données'!$J:$J,'Base de données'!$B:$B,$D7,'Base de données'!$I:$I,3)</f>
        <v>840</v>
      </c>
    </row>
    <row r="8" customFormat="false" ht="15" hidden="false" customHeight="false" outlineLevel="0" collapsed="false">
      <c r="A8" s="5" t="s">
        <v>13</v>
      </c>
      <c r="B8" s="5" t="n">
        <f aca="false">SUMIF('Base de données'!$B:$B,A8,'Base de données'!$J:$J)</f>
        <v>3765</v>
      </c>
      <c r="D8" s="5" t="s">
        <v>13</v>
      </c>
      <c r="E8" s="5" t="n">
        <f aca="false">SUMIFS('Base de données'!$J:$J,'Base de données'!$B:$B,$D8,'Base de données'!$I:$I,1)</f>
        <v>1700</v>
      </c>
      <c r="F8" s="5" t="n">
        <f aca="false">SUMIFS('Base de données'!$J:$J,'Base de données'!$B:$B,$D8,'Base de données'!$I:$I,2)</f>
        <v>1095</v>
      </c>
      <c r="G8" s="5" t="n">
        <f aca="false">SUMIFS('Base de données'!$J:$J,'Base de données'!$B:$B,$D8,'Base de données'!$I:$I,3)</f>
        <v>970</v>
      </c>
    </row>
    <row r="11" customFormat="false" ht="28.35" hidden="false" customHeight="false" outlineLevel="0" collapsed="false">
      <c r="A11" s="10" t="s">
        <v>107</v>
      </c>
    </row>
    <row r="12" customFormat="false" ht="15" hidden="false" customHeight="false" outlineLevel="0" collapsed="false">
      <c r="A12" s="3" t="s">
        <v>108</v>
      </c>
      <c r="B12" s="3" t="s">
        <v>95</v>
      </c>
      <c r="C12" s="3" t="s">
        <v>98</v>
      </c>
      <c r="D12" s="3" t="s">
        <v>109</v>
      </c>
    </row>
    <row r="13" customFormat="false" ht="15" hidden="false" customHeight="false" outlineLevel="0" collapsed="false">
      <c r="A13" s="5" t="s">
        <v>11</v>
      </c>
      <c r="B13" s="5" t="n">
        <f aca="false">COUNTIF('Base de données'!$C:$C,A13)</f>
        <v>6</v>
      </c>
      <c r="C13" s="5" t="n">
        <f aca="false">AVERAGEIF('Base de données'!$C:$C,A13,'Base de données'!$J:$J)</f>
        <v>399.166666666667</v>
      </c>
      <c r="D13" s="5" t="n">
        <f aca="false">AVERAGEIF('Base de données'!$C:$C,A13,'Base de données'!$F:$F)</f>
        <v>8.75</v>
      </c>
    </row>
    <row r="14" customFormat="false" ht="15" hidden="false" customHeight="false" outlineLevel="0" collapsed="false">
      <c r="A14" s="5" t="s">
        <v>15</v>
      </c>
      <c r="B14" s="5" t="n">
        <f aca="false">COUNTIF('Base de données'!$C:$C,A14)</f>
        <v>6</v>
      </c>
      <c r="C14" s="5" t="n">
        <f aca="false">AVERAGEIF('Base de données'!$C:$C,A14,'Base de données'!$J:$J)</f>
        <v>510.833333333333</v>
      </c>
      <c r="D14" s="5" t="n">
        <f aca="false">AVERAGEIF('Base de données'!$C:$C,A14,'Base de données'!$F:$F)</f>
        <v>7.46666666666667</v>
      </c>
    </row>
    <row r="15" customFormat="false" ht="15" hidden="false" customHeight="false" outlineLevel="0" collapsed="false">
      <c r="A15" s="5" t="s">
        <v>16</v>
      </c>
      <c r="B15" s="5" t="n">
        <f aca="false">COUNTIF('Base de données'!$C:$C,A15)</f>
        <v>6</v>
      </c>
      <c r="C15" s="5" t="n">
        <f aca="false">AVERAGEIF('Base de données'!$C:$C,A15,'Base de données'!$J:$J)</f>
        <v>750</v>
      </c>
      <c r="D15" s="5" t="n">
        <f aca="false">AVERAGEIF('Base de données'!$C:$C,A15,'Base de données'!$F:$F)</f>
        <v>10.8</v>
      </c>
    </row>
    <row r="16" customFormat="false" ht="15" hidden="false" customHeight="false" outlineLevel="0" collapsed="false">
      <c r="A16" s="5" t="s">
        <v>17</v>
      </c>
      <c r="B16" s="5" t="n">
        <f aca="false">COUNTIF('Base de données'!$C:$C,A16)</f>
        <v>6</v>
      </c>
      <c r="C16" s="5" t="n">
        <f aca="false">AVERAGEIF('Base de données'!$C:$C,A16,'Base de données'!$J:$J)</f>
        <v>141.666666666667</v>
      </c>
      <c r="D16" s="5" t="n">
        <f aca="false">AVERAGEIF('Base de données'!$C:$C,A16,'Base de données'!$F:$F)</f>
        <v>4.95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19.7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2" t="s">
        <v>112</v>
      </c>
    </row>
    <row r="5" customFormat="false" ht="15" hidden="false" customHeight="false" outlineLevel="0" collapsed="false">
      <c r="A5" s="13" t="s">
        <v>71</v>
      </c>
      <c r="B5" s="13" t="s">
        <v>10</v>
      </c>
      <c r="C5" s="13" t="s">
        <v>12</v>
      </c>
      <c r="D5" s="13" t="s">
        <v>13</v>
      </c>
    </row>
    <row r="6" customFormat="false" ht="15" hidden="false" customHeight="false" outlineLevel="0" collapsed="false">
      <c r="A6" s="8" t="s">
        <v>91</v>
      </c>
      <c r="B6" s="8" t="n">
        <f aca="false">Synthèse!B6</f>
        <v>1550</v>
      </c>
      <c r="C6" s="8" t="n">
        <f aca="false">Synthèse!B7</f>
        <v>1470</v>
      </c>
      <c r="D6" s="8" t="n">
        <f aca="false">Synthèse!B8</f>
        <v>1700</v>
      </c>
    </row>
    <row r="7" customFormat="false" ht="15" hidden="false" customHeight="false" outlineLevel="0" collapsed="false">
      <c r="A7" s="8" t="s">
        <v>92</v>
      </c>
      <c r="B7" s="8" t="n">
        <f aca="false">Synthèse!C6</f>
        <v>1105</v>
      </c>
      <c r="C7" s="8" t="n">
        <f aca="false">Synthèse!C7</f>
        <v>1150</v>
      </c>
      <c r="D7" s="8" t="n">
        <f aca="false">Synthèse!C8</f>
        <v>1095</v>
      </c>
    </row>
    <row r="8" customFormat="false" ht="15" hidden="false" customHeight="false" outlineLevel="0" collapsed="false">
      <c r="A8" s="8" t="s">
        <v>93</v>
      </c>
      <c r="B8" s="8" t="n">
        <f aca="false">Synthèse!D6</f>
        <v>930</v>
      </c>
      <c r="C8" s="8" t="n">
        <f aca="false">Synthèse!D7</f>
        <v>840</v>
      </c>
      <c r="D8" s="8" t="n">
        <f aca="false">Synthèse!D8</f>
        <v>970</v>
      </c>
    </row>
    <row r="11" customFormat="false" ht="28.35" hidden="false" customHeight="false" outlineLevel="0" collapsed="false">
      <c r="A11" s="12" t="s">
        <v>113</v>
      </c>
    </row>
    <row r="12" customFormat="false" ht="15" hidden="false" customHeight="false" outlineLevel="0" collapsed="false">
      <c r="A12" s="13" t="s">
        <v>3</v>
      </c>
      <c r="B12" s="13" t="s">
        <v>101</v>
      </c>
    </row>
    <row r="13" customFormat="false" ht="15" hidden="false" customHeight="false" outlineLevel="0" collapsed="false">
      <c r="A13" s="8" t="s">
        <v>10</v>
      </c>
      <c r="B13" s="8" t="n">
        <f aca="false">'Tableaux croisés'!B6</f>
        <v>3585</v>
      </c>
    </row>
    <row r="14" customFormat="false" ht="15" hidden="false" customHeight="false" outlineLevel="0" collapsed="false">
      <c r="A14" s="8" t="s">
        <v>12</v>
      </c>
      <c r="B14" s="8" t="n">
        <f aca="false">'Tableaux croisés'!B7</f>
        <v>3460</v>
      </c>
    </row>
    <row r="15" customFormat="false" ht="15" hidden="false" customHeight="false" outlineLevel="0" collapsed="false">
      <c r="A15" s="8" t="s">
        <v>13</v>
      </c>
      <c r="B15" s="8" t="n">
        <f aca="false">'Tableaux croisés'!B8</f>
        <v>3765</v>
      </c>
    </row>
    <row r="18" customFormat="false" ht="28.35" hidden="false" customHeight="false" outlineLevel="0" collapsed="false">
      <c r="A18" s="12" t="s">
        <v>114</v>
      </c>
    </row>
    <row r="19" customFormat="false" ht="28.35" hidden="false" customHeight="false" outlineLevel="0" collapsed="false">
      <c r="A19" s="13" t="s">
        <v>52</v>
      </c>
      <c r="B19" s="13" t="s">
        <v>98</v>
      </c>
    </row>
    <row r="20" customFormat="false" ht="15" hidden="false" customHeight="false" outlineLevel="0" collapsed="false">
      <c r="A20" s="8" t="s">
        <v>11</v>
      </c>
      <c r="B20" s="8" t="n">
        <f aca="false">'Tableaux croisés'!C13</f>
        <v>399.166666666667</v>
      </c>
    </row>
    <row r="21" customFormat="false" ht="15" hidden="false" customHeight="false" outlineLevel="0" collapsed="false">
      <c r="A21" s="8" t="s">
        <v>15</v>
      </c>
      <c r="B21" s="8" t="n">
        <f aca="false">'Tableaux croisés'!C14</f>
        <v>510.833333333333</v>
      </c>
    </row>
    <row r="22" customFormat="false" ht="15" hidden="false" customHeight="false" outlineLevel="0" collapsed="false">
      <c r="A22" s="8" t="s">
        <v>16</v>
      </c>
      <c r="B22" s="8" t="n">
        <f aca="false">'Tableaux croisés'!C15</f>
        <v>750</v>
      </c>
    </row>
    <row r="23" customFormat="false" ht="15" hidden="false" customHeight="false" outlineLevel="0" collapsed="false">
      <c r="A23" s="8" t="s">
        <v>17</v>
      </c>
      <c r="B23" s="8" t="n">
        <f aca="false">'Tableaux croisés'!C16</f>
        <v>141.666666666667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12" min="5" style="0" width="15"/>
  </cols>
  <sheetData>
    <row r="1" customFormat="false" ht="24.6" hidden="false" customHeight="true" outlineLevel="0" collapsed="false">
      <c r="A1" s="14" t="s">
        <v>115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customFormat="false" ht="17.9" hidden="false" customHeight="false" outlineLevel="0" collapsed="false">
      <c r="A3" s="15" t="s">
        <v>116</v>
      </c>
    </row>
    <row r="5" customFormat="false" ht="15" hidden="false" customHeight="true" outlineLevel="0" collapsed="false">
      <c r="A5" s="16" t="s">
        <v>100</v>
      </c>
      <c r="B5" s="16"/>
      <c r="C5" s="16"/>
      <c r="D5" s="16" t="s">
        <v>101</v>
      </c>
      <c r="E5" s="16"/>
      <c r="F5" s="16"/>
      <c r="G5" s="16" t="s">
        <v>98</v>
      </c>
      <c r="H5" s="16"/>
      <c r="I5" s="16"/>
      <c r="J5" s="16" t="s">
        <v>96</v>
      </c>
      <c r="K5" s="16"/>
      <c r="L5" s="16"/>
    </row>
    <row r="6" customFormat="false" ht="19.7" hidden="false" customHeight="false" outlineLevel="0" collapsed="false">
      <c r="A6" s="17" t="n">
        <f aca="false">Synthèse!B11</f>
        <v>24</v>
      </c>
      <c r="B6" s="17"/>
      <c r="C6" s="17"/>
      <c r="D6" s="17" t="n">
        <f aca="false">Synthèse!B12</f>
        <v>10810</v>
      </c>
      <c r="E6" s="17"/>
      <c r="F6" s="17"/>
      <c r="G6" s="17" t="n">
        <f aca="false">Synthèse!B13</f>
        <v>450.416666666667</v>
      </c>
      <c r="H6" s="17"/>
      <c r="I6" s="17"/>
      <c r="J6" s="17" t="n">
        <f aca="false">Synthèse!B14</f>
        <v>191.8</v>
      </c>
      <c r="K6" s="17"/>
      <c r="L6" s="17"/>
    </row>
    <row r="9" customFormat="false" ht="15" hidden="false" customHeight="false" outlineLevel="0" collapsed="false">
      <c r="A9" s="18" t="s">
        <v>3</v>
      </c>
      <c r="B9" s="18" t="s">
        <v>101</v>
      </c>
      <c r="C9" s="18" t="s">
        <v>9</v>
      </c>
    </row>
    <row r="10" customFormat="false" ht="15" hidden="false" customHeight="false" outlineLevel="0" collapsed="false">
      <c r="A10" s="5" t="s">
        <v>10</v>
      </c>
      <c r="B10" s="5" t="n">
        <f aca="false">'Tableaux croisés'!B6</f>
        <v>3585</v>
      </c>
      <c r="C10" s="5" t="n">
        <f aca="false">INDEX(Synthèse!$H$6:$H$8,MATCH(A10,Synthèse!$A$6:$A$8,0))</f>
        <v>120</v>
      </c>
    </row>
    <row r="11" customFormat="false" ht="15" hidden="false" customHeight="false" outlineLevel="0" collapsed="false">
      <c r="A11" s="5" t="s">
        <v>12</v>
      </c>
      <c r="B11" s="5" t="n">
        <f aca="false">'Tableaux croisés'!B7</f>
        <v>3460</v>
      </c>
      <c r="C11" s="5" t="n">
        <f aca="false">INDEX(Synthèse!$H$6:$H$8,MATCH(A11,Synthèse!$A$6:$A$8,0))</f>
        <v>100</v>
      </c>
    </row>
    <row r="12" customFormat="false" ht="15" hidden="false" customHeight="false" outlineLevel="0" collapsed="false">
      <c r="A12" s="5" t="s">
        <v>13</v>
      </c>
      <c r="B12" s="5" t="n">
        <f aca="false">'Tableaux croisés'!B8</f>
        <v>3765</v>
      </c>
      <c r="C12" s="5" t="n">
        <f aca="false">INDEX(Synthèse!$H$6:$H$8,MATCH(A12,Synthèse!$A$6:$A$8,0))</f>
        <v>138</v>
      </c>
    </row>
    <row r="16" customFormat="false" ht="17.9" hidden="false" customHeight="false" outlineLevel="0" collapsed="false">
      <c r="A16" s="15" t="s">
        <v>117</v>
      </c>
    </row>
    <row r="17" customFormat="false" ht="15" hidden="false" customHeight="true" outlineLevel="0" collapsed="false">
      <c r="A17" s="19" t="s">
        <v>118</v>
      </c>
      <c r="B17" s="19"/>
      <c r="C17" s="19"/>
    </row>
    <row r="18" customFormat="false" ht="15" hidden="false" customHeight="false" outlineLevel="0" collapsed="false">
      <c r="A18" s="19"/>
      <c r="B18" s="19"/>
      <c r="C18" s="19"/>
    </row>
    <row r="19" customFormat="false" ht="15" hidden="false" customHeight="false" outlineLevel="0" collapsed="false">
      <c r="A19" s="19"/>
      <c r="B19" s="19"/>
      <c r="C19" s="19"/>
    </row>
  </sheetData>
  <mergeCells count="10">
    <mergeCell ref="A1:L1"/>
    <mergeCell ref="A5:C5"/>
    <mergeCell ref="D5:F5"/>
    <mergeCell ref="G5:I5"/>
    <mergeCell ref="J5:L5"/>
    <mergeCell ref="A6:C6"/>
    <mergeCell ref="D6:F6"/>
    <mergeCell ref="G6:I6"/>
    <mergeCell ref="J6:L6"/>
    <mergeCell ref="A17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8"/>
  </cols>
  <sheetData>
    <row r="1" customFormat="false" ht="19.7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120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0" t="s">
        <v>121</v>
      </c>
    </row>
    <row r="5" customFormat="false" ht="34.5" hidden="false" customHeight="true" outlineLevel="0" collapsed="false">
      <c r="A5" s="12" t="s">
        <v>122</v>
      </c>
      <c r="B5" s="20"/>
      <c r="C5" s="20"/>
      <c r="D5" s="20"/>
      <c r="E5" s="20"/>
      <c r="F5" s="20"/>
      <c r="G5" s="20"/>
    </row>
    <row r="6" customFormat="false" ht="34.5" hidden="false" customHeight="true" outlineLevel="0" collapsed="false">
      <c r="A6" s="12" t="s">
        <v>123</v>
      </c>
      <c r="B6" s="20"/>
      <c r="C6" s="20"/>
      <c r="D6" s="20"/>
      <c r="E6" s="20"/>
      <c r="F6" s="20"/>
      <c r="G6" s="20"/>
    </row>
    <row r="7" customFormat="false" ht="34.5" hidden="false" customHeight="true" outlineLevel="0" collapsed="false">
      <c r="A7" s="12" t="s">
        <v>124</v>
      </c>
      <c r="B7" s="20"/>
      <c r="C7" s="20"/>
      <c r="D7" s="20"/>
      <c r="E7" s="20"/>
      <c r="F7" s="20"/>
      <c r="G7" s="20"/>
    </row>
    <row r="8" customFormat="false" ht="34.5" hidden="false" customHeight="true" outlineLevel="0" collapsed="false">
      <c r="A8" s="12" t="s">
        <v>125</v>
      </c>
      <c r="B8" s="20"/>
      <c r="C8" s="20"/>
      <c r="D8" s="20"/>
      <c r="E8" s="20"/>
      <c r="F8" s="20"/>
      <c r="G8" s="20"/>
    </row>
    <row r="9" customFormat="false" ht="34.5" hidden="false" customHeight="true" outlineLevel="0" collapsed="false">
      <c r="A9" s="12" t="s">
        <v>126</v>
      </c>
      <c r="B9" s="20"/>
      <c r="C9" s="20"/>
      <c r="D9" s="20"/>
      <c r="E9" s="20"/>
      <c r="F9" s="20"/>
      <c r="G9" s="20"/>
    </row>
    <row r="10" customFormat="false" ht="34.5" hidden="false" customHeight="true" outlineLevel="0" collapsed="false">
      <c r="A10" s="12" t="s">
        <v>127</v>
      </c>
      <c r="B10" s="20"/>
      <c r="C10" s="20"/>
      <c r="D10" s="20"/>
      <c r="E10" s="20"/>
      <c r="F10" s="20"/>
      <c r="G10" s="20"/>
    </row>
    <row r="13" customFormat="false" ht="15" hidden="false" customHeight="false" outlineLevel="0" collapsed="false">
      <c r="A13" s="10" t="s">
        <v>128</v>
      </c>
    </row>
    <row r="14" customFormat="false" ht="15" hidden="false" customHeight="false" outlineLevel="0" collapsed="false">
      <c r="A14" s="8" t="s">
        <v>129</v>
      </c>
    </row>
    <row r="15" customFormat="false" ht="28.35" hidden="false" customHeight="false" outlineLevel="0" collapsed="false">
      <c r="A15" s="8" t="s">
        <v>130</v>
      </c>
    </row>
    <row r="16" customFormat="false" ht="28.35" hidden="false" customHeight="false" outlineLevel="0" collapsed="false">
      <c r="A16" s="8" t="s">
        <v>131</v>
      </c>
    </row>
    <row r="17" customFormat="false" ht="15" hidden="false" customHeight="true" outlineLevel="0" collapsed="false">
      <c r="A17" s="19" t="s">
        <v>132</v>
      </c>
      <c r="B17" s="19"/>
      <c r="C17" s="19"/>
      <c r="D17" s="19"/>
      <c r="E17" s="19"/>
      <c r="F17" s="19"/>
      <c r="G17" s="19"/>
    </row>
  </sheetData>
  <mergeCells count="9">
    <mergeCell ref="A1:H1"/>
    <mergeCell ref="A2:H2"/>
    <mergeCell ref="B5:G5"/>
    <mergeCell ref="B6:G6"/>
    <mergeCell ref="B7:G7"/>
    <mergeCell ref="B8:G8"/>
    <mergeCell ref="B9:G9"/>
    <mergeCell ref="B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7" min="3" style="0" width="18"/>
  </cols>
  <sheetData>
    <row r="1" customFormat="false" ht="19.7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  <c r="H2" s="2"/>
    </row>
    <row r="4" customFormat="false" ht="42" hidden="false" customHeight="true" outlineLevel="0" collapsed="false">
      <c r="A4" s="12" t="s">
        <v>135</v>
      </c>
      <c r="B4" s="20" t="s">
        <v>136</v>
      </c>
      <c r="C4" s="20"/>
      <c r="D4" s="20"/>
      <c r="E4" s="20"/>
      <c r="F4" s="20"/>
      <c r="G4" s="20"/>
    </row>
    <row r="5" customFormat="false" ht="42" hidden="false" customHeight="true" outlineLevel="0" collapsed="false">
      <c r="A5" s="12" t="s">
        <v>137</v>
      </c>
      <c r="B5" s="20" t="s">
        <v>138</v>
      </c>
      <c r="C5" s="20"/>
      <c r="D5" s="20"/>
      <c r="E5" s="20"/>
      <c r="F5" s="20"/>
      <c r="G5" s="20"/>
    </row>
    <row r="6" customFormat="false" ht="42" hidden="false" customHeight="true" outlineLevel="0" collapsed="false">
      <c r="A6" s="12" t="s">
        <v>139</v>
      </c>
      <c r="B6" s="20" t="s">
        <v>140</v>
      </c>
      <c r="C6" s="20"/>
      <c r="D6" s="20"/>
      <c r="E6" s="20"/>
      <c r="F6" s="20"/>
      <c r="G6" s="20"/>
    </row>
    <row r="7" customFormat="false" ht="42" hidden="false" customHeight="true" outlineLevel="0" collapsed="false">
      <c r="A7" s="12" t="s">
        <v>141</v>
      </c>
      <c r="B7" s="20" t="s">
        <v>142</v>
      </c>
      <c r="C7" s="20"/>
      <c r="D7" s="20"/>
      <c r="E7" s="20"/>
      <c r="F7" s="20"/>
      <c r="G7" s="20"/>
    </row>
    <row r="8" customFormat="false" ht="42" hidden="false" customHeight="true" outlineLevel="0" collapsed="false">
      <c r="A8" s="12" t="s">
        <v>143</v>
      </c>
      <c r="B8" s="20" t="s">
        <v>144</v>
      </c>
      <c r="C8" s="20"/>
      <c r="D8" s="20"/>
      <c r="E8" s="20"/>
      <c r="F8" s="20"/>
      <c r="G8" s="20"/>
    </row>
    <row r="9" customFormat="false" ht="42" hidden="false" customHeight="true" outlineLevel="0" collapsed="false">
      <c r="A9" s="12" t="s">
        <v>145</v>
      </c>
      <c r="B9" s="20" t="s">
        <v>146</v>
      </c>
      <c r="C9" s="20"/>
      <c r="D9" s="20"/>
      <c r="E9" s="20"/>
      <c r="F9" s="20"/>
      <c r="G9" s="20"/>
    </row>
    <row r="10" customFormat="false" ht="42" hidden="false" customHeight="true" outlineLevel="0" collapsed="false">
      <c r="A10" s="12" t="s">
        <v>147</v>
      </c>
      <c r="B10" s="20" t="s">
        <v>148</v>
      </c>
      <c r="C10" s="20"/>
      <c r="D10" s="20"/>
      <c r="E10" s="20"/>
      <c r="F10" s="20"/>
      <c r="G10" s="20"/>
    </row>
    <row r="11" customFormat="false" ht="42" hidden="false" customHeight="true" outlineLevel="0" collapsed="false">
      <c r="A11" s="12" t="s">
        <v>149</v>
      </c>
      <c r="B11" s="20" t="s">
        <v>150</v>
      </c>
      <c r="C11" s="20"/>
      <c r="D11" s="20"/>
      <c r="E11" s="20"/>
      <c r="F11" s="20"/>
      <c r="G11" s="20"/>
    </row>
    <row r="12" customFormat="false" ht="42" hidden="false" customHeight="true" outlineLevel="0" collapsed="false">
      <c r="A12" s="12" t="s">
        <v>151</v>
      </c>
      <c r="B12" s="20" t="s">
        <v>152</v>
      </c>
      <c r="C12" s="20"/>
      <c r="D12" s="20"/>
      <c r="E12" s="20"/>
      <c r="F12" s="20"/>
      <c r="G12" s="20"/>
    </row>
  </sheetData>
  <mergeCells count="11">
    <mergeCell ref="A1:H1"/>
    <mergeCell ref="A2:H2"/>
    <mergeCell ref="B4:G4"/>
    <mergeCell ref="B5:G5"/>
    <mergeCell ref="B6:G6"/>
    <mergeCell ref="B7:G7"/>
    <mergeCell ref="B8:G8"/>
    <mergeCell ref="B9:G9"/>
    <mergeCell ref="B10:G10"/>
    <mergeCell ref="B11:G11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2026-09-20T05:58:51Z</dcterms:created>
  <dc:creator>openpyxl</dc:creator>
  <dc:description/>
  <dc:language>en-US</dc:language>
  <cp:lastModifiedBy/>
  <dcterms:modified xsi:type="dcterms:W3CDTF">2026-09-20T05:58:51Z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