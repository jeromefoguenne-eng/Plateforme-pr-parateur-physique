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oogle Drive\Prépas light\HECh\Préparateur physique\"/>
    </mc:Choice>
  </mc:AlternateContent>
  <xr:revisionPtr revIDLastSave="0" documentId="8_{4F0DD863-6F3E-4223-8EA4-37661854E9EA}" xr6:coauthVersionLast="47" xr6:coauthVersionMax="47" xr10:uidLastSave="{00000000-0000-0000-0000-000000000000}"/>
  <bookViews>
    <workbookView xWindow="-120" yWindow="-120" windowWidth="51840" windowHeight="21120" xr2:uid="{9C705156-4C0A-A84E-BC65-D0CF44608BAB}"/>
  </bookViews>
  <sheets>
    <sheet name="Rapport d'évaluation" sheetId="1" r:id="rId1"/>
  </sheets>
  <definedNames>
    <definedName name="Athlètes">'Rapport d''évaluation'!$Q$2:$Q$45</definedName>
    <definedName name="Dates">'Rapport d''évaluation'!$T$2:$T$4</definedName>
    <definedName name="Dates2">'Rapport d''évaluation'!$T:$T</definedName>
    <definedName name="Equipes">'Rapport d''évaluation'!#REF!</definedName>
    <definedName name="ListeTests">'Rapport d''évaluation'!$N$2:$N$16</definedName>
    <definedName name="Noms">'Rapport d''évaluation'!#REF!</definedName>
    <definedName name="Prénom">'Rapport d''évaluation'!$I:$I</definedName>
    <definedName name="Prénoms">'Rapport d''évaluation'!$O:$O</definedName>
    <definedName name="Prénoms2">'Rapport d''évaluation'!$O$2:$O$26</definedName>
    <definedName name="Sports">'Rapport d''évaluation'!$O$2:$O$45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1" l="1"/>
  <c r="A47" i="1"/>
  <c r="C50" i="1"/>
  <c r="C51" i="1"/>
  <c r="C5" i="1"/>
  <c r="F3" i="1"/>
  <c r="O27" i="1"/>
  <c r="C7" i="1" s="1"/>
  <c r="S28" i="1"/>
  <c r="S27" i="1"/>
  <c r="R28" i="1"/>
  <c r="R27" i="1"/>
  <c r="Q32" i="1"/>
  <c r="BQ28" i="1"/>
  <c r="BQ29" i="1"/>
  <c r="BQ30" i="1"/>
  <c r="BQ31" i="1"/>
  <c r="BQ32" i="1"/>
  <c r="BQ33" i="1"/>
  <c r="AQ2" i="1"/>
  <c r="AS2" i="1"/>
  <c r="AU2" i="1"/>
  <c r="AW2" i="1"/>
  <c r="AY2" i="1"/>
  <c r="BA2" i="1"/>
  <c r="BC2" i="1"/>
  <c r="BE2" i="1"/>
  <c r="BG2" i="1"/>
  <c r="BI2" i="1"/>
  <c r="BK2" i="1"/>
  <c r="BM2" i="1"/>
  <c r="BO2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O2" i="1"/>
  <c r="AP1" i="1"/>
  <c r="AO1" i="1"/>
  <c r="D59" i="1" a="1"/>
  <c r="D59" i="1" s="1"/>
  <c r="AM2" i="1"/>
  <c r="AN1" i="1"/>
  <c r="AM1" i="1"/>
  <c r="D58" i="1" a="1"/>
  <c r="D58" i="1" s="1"/>
  <c r="E59" i="1" a="1"/>
  <c r="E59" i="1" s="1"/>
  <c r="D60" i="1" a="1"/>
  <c r="D60" i="1" s="1"/>
  <c r="E60" i="1" a="1"/>
  <c r="E60" i="1" s="1"/>
  <c r="D61" i="1" a="1"/>
  <c r="D61" i="1" s="1"/>
  <c r="E61" i="1" a="1"/>
  <c r="E61" i="1" s="1"/>
  <c r="D62" i="1" a="1"/>
  <c r="D62" i="1" s="1"/>
  <c r="E62" i="1" a="1"/>
  <c r="E62" i="1" s="1"/>
  <c r="D63" i="1" a="1"/>
  <c r="D63" i="1" s="1"/>
  <c r="E63" i="1" a="1"/>
  <c r="E63" i="1" s="1"/>
  <c r="D64" i="1" a="1"/>
  <c r="D64" i="1" s="1"/>
  <c r="E64" i="1" a="1"/>
  <c r="E64" i="1" s="1"/>
  <c r="D65" i="1" a="1"/>
  <c r="D65" i="1" s="1"/>
  <c r="E65" i="1" a="1"/>
  <c r="E65" i="1" s="1"/>
  <c r="D66" i="1" a="1"/>
  <c r="D66" i="1" s="1"/>
  <c r="E66" i="1" a="1"/>
  <c r="E66" i="1" s="1"/>
  <c r="D67" i="1" a="1"/>
  <c r="D67" i="1" s="1"/>
  <c r="E67" i="1" a="1"/>
  <c r="E67" i="1" s="1"/>
  <c r="D68" i="1" a="1"/>
  <c r="D68" i="1" s="1"/>
  <c r="E68" i="1" a="1"/>
  <c r="E68" i="1" s="1"/>
  <c r="D69" i="1" a="1"/>
  <c r="D69" i="1" s="1"/>
  <c r="E69" i="1" a="1"/>
  <c r="E69" i="1" s="1"/>
  <c r="D70" i="1" a="1"/>
  <c r="D70" i="1" s="1"/>
  <c r="E70" i="1" a="1"/>
  <c r="E70" i="1" s="1"/>
  <c r="D71" i="1" a="1"/>
  <c r="D71" i="1" s="1"/>
  <c r="E71" i="1" a="1"/>
  <c r="E71" i="1" s="1"/>
  <c r="D72" i="1" a="1"/>
  <c r="D72" i="1" s="1"/>
  <c r="E72" i="1" a="1"/>
  <c r="E72" i="1" s="1"/>
  <c r="E58" i="1" a="1"/>
  <c r="E58" i="1" s="1"/>
  <c r="W2" i="1"/>
  <c r="AD2" i="1"/>
  <c r="AK2" i="1"/>
  <c r="AJ2" i="1"/>
  <c r="AI2" i="1"/>
  <c r="AH2" i="1"/>
  <c r="AG2" i="1"/>
  <c r="AF2" i="1"/>
  <c r="AE2" i="1"/>
  <c r="AC2" i="1"/>
  <c r="AB2" i="1"/>
  <c r="AA2" i="1"/>
  <c r="Z2" i="1"/>
  <c r="Y2" i="1"/>
  <c r="X2" i="1"/>
  <c r="C14" i="1" a="1"/>
  <c r="C14" i="1" s="1"/>
  <c r="C52" i="1" l="1"/>
  <c r="C8" i="1"/>
  <c r="C54" i="1"/>
  <c r="C6" i="1"/>
  <c r="C53" i="1"/>
  <c r="BE3" i="1" a="1"/>
  <c r="BE3" i="1" s="1"/>
  <c r="BF3" i="1" a="1"/>
  <c r="BF3" i="1" s="1"/>
  <c r="F63" i="1"/>
  <c r="F70" i="1"/>
  <c r="F69" i="1"/>
  <c r="F68" i="1"/>
  <c r="F66" i="1"/>
  <c r="F62" i="1"/>
  <c r="F67" i="1"/>
  <c r="F65" i="1"/>
  <c r="F64" i="1"/>
  <c r="F71" i="1"/>
  <c r="F72" i="1"/>
  <c r="F61" i="1"/>
  <c r="F60" i="1"/>
  <c r="F59" i="1"/>
  <c r="F58" i="1"/>
  <c r="C26" i="1" a="1"/>
  <c r="C26" i="1" s="1"/>
  <c r="C25" i="1" a="1"/>
  <c r="C25" i="1" s="1"/>
  <c r="C24" i="1" a="1"/>
  <c r="C24" i="1" s="1"/>
  <c r="C23" i="1" a="1"/>
  <c r="C23" i="1" s="1"/>
  <c r="C22" i="1" a="1"/>
  <c r="C22" i="1" s="1"/>
  <c r="C21" i="1" a="1"/>
  <c r="C21" i="1" s="1"/>
  <c r="C20" i="1" a="1"/>
  <c r="C20" i="1" s="1"/>
  <c r="C19" i="1" a="1"/>
  <c r="C19" i="1" s="1"/>
  <c r="C18" i="1" a="1"/>
  <c r="C18" i="1" s="1"/>
  <c r="C17" i="1" a="1"/>
  <c r="C17" i="1" s="1"/>
  <c r="C16" i="1" a="1"/>
  <c r="C16" i="1" s="1"/>
  <c r="C15" i="1" a="1"/>
  <c r="C15" i="1" s="1"/>
  <c r="C13" i="1" a="1"/>
  <c r="C13" i="1" s="1"/>
  <c r="C12" i="1" a="1"/>
  <c r="C12" i="1" s="1"/>
  <c r="X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W1" i="1"/>
  <c r="V3" i="1"/>
  <c r="BG3" i="1" s="1" a="1"/>
  <c r="BG3" i="1" s="1"/>
  <c r="AX3" i="1" l="1" a="1"/>
  <c r="AX3" i="1" s="1"/>
  <c r="BP3" i="1" a="1"/>
  <c r="BP3" i="1" s="1"/>
  <c r="BO3" i="1" a="1"/>
  <c r="BO3" i="1" s="1"/>
  <c r="BM3" i="1" a="1"/>
  <c r="BM3" i="1" s="1"/>
  <c r="BA3" i="1" a="1"/>
  <c r="BA3" i="1" s="1"/>
  <c r="BJ3" i="1" a="1"/>
  <c r="BJ3" i="1" s="1"/>
  <c r="BC3" i="1" a="1"/>
  <c r="BC3" i="1" s="1"/>
  <c r="BI3" i="1" a="1"/>
  <c r="BI3" i="1" s="1"/>
  <c r="AZ3" i="1" a="1"/>
  <c r="AZ3" i="1" s="1"/>
  <c r="BB3" i="1" a="1"/>
  <c r="BB3" i="1" s="1"/>
  <c r="BH3" i="1" a="1"/>
  <c r="BH3" i="1" s="1"/>
  <c r="AW3" i="1" a="1"/>
  <c r="AW3" i="1" s="1"/>
  <c r="AU3" i="1" a="1"/>
  <c r="AU3" i="1" s="1"/>
  <c r="BL3" i="1" a="1"/>
  <c r="BL3" i="1" s="1"/>
  <c r="BN3" i="1" a="1"/>
  <c r="BN3" i="1" s="1"/>
  <c r="AY3" i="1" a="1"/>
  <c r="AY3" i="1" s="1"/>
  <c r="BK3" i="1" a="1"/>
  <c r="BK3" i="1" s="1"/>
  <c r="BD3" i="1" a="1"/>
  <c r="BD3" i="1" s="1"/>
  <c r="Y3" i="1" a="1"/>
  <c r="Y3" i="1" s="1"/>
  <c r="AM3" i="1" a="1"/>
  <c r="AM3" i="1" s="1"/>
  <c r="AR3" i="1" a="1"/>
  <c r="AR3" i="1" s="1"/>
  <c r="AO3" i="1" a="1"/>
  <c r="AO3" i="1" s="1"/>
  <c r="AT3" i="1" a="1"/>
  <c r="AT3" i="1" s="1"/>
  <c r="AQ3" i="1" a="1"/>
  <c r="AQ3" i="1" s="1"/>
  <c r="AS3" i="1" a="1"/>
  <c r="AS3" i="1" s="1"/>
  <c r="AV3" i="1" a="1"/>
  <c r="AV3" i="1" s="1"/>
  <c r="AP3" i="1" a="1"/>
  <c r="AP3" i="1" s="1"/>
  <c r="AN3" i="1" a="1"/>
  <c r="AN3" i="1" s="1"/>
  <c r="AI3" i="1" a="1"/>
  <c r="AI3" i="1" s="1"/>
  <c r="W3" i="1" a="1"/>
  <c r="W3" i="1" s="1"/>
  <c r="AA3" i="1" a="1"/>
  <c r="AA3" i="1" s="1"/>
  <c r="X3" i="1" a="1"/>
  <c r="X3" i="1" s="1"/>
  <c r="AE3" i="1" a="1"/>
  <c r="AE3" i="1" s="1"/>
  <c r="AF3" i="1" a="1"/>
  <c r="AF3" i="1" s="1"/>
  <c r="AG3" i="1" a="1"/>
  <c r="AG3" i="1" s="1"/>
  <c r="Z3" i="1" a="1"/>
  <c r="Z3" i="1" s="1"/>
  <c r="AB3" i="1" a="1"/>
  <c r="AB3" i="1" s="1"/>
  <c r="AJ3" i="1" a="1"/>
  <c r="AJ3" i="1" s="1"/>
  <c r="AH3" i="1" a="1"/>
  <c r="AH3" i="1" s="1"/>
  <c r="AC3" i="1" a="1"/>
  <c r="AC3" i="1" s="1"/>
  <c r="AK3" i="1" a="1"/>
  <c r="AK3" i="1" s="1"/>
  <c r="AD3" i="1" a="1"/>
  <c r="AD3" i="1" s="1"/>
  <c r="V22" i="1"/>
  <c r="V23" i="1"/>
  <c r="V24" i="1"/>
  <c r="V25" i="1"/>
  <c r="V26" i="1"/>
  <c r="V27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BK9" i="1" l="1" a="1"/>
  <c r="BK9" i="1" s="1"/>
  <c r="BE9" i="1" a="1"/>
  <c r="BE9" i="1" s="1"/>
  <c r="BC9" i="1" a="1"/>
  <c r="BC9" i="1" s="1"/>
  <c r="BO9" i="1" a="1"/>
  <c r="BO9" i="1" s="1"/>
  <c r="AW9" i="1" a="1"/>
  <c r="AW9" i="1" s="1"/>
  <c r="BB9" i="1" a="1"/>
  <c r="BB9" i="1" s="1"/>
  <c r="BI9" i="1" a="1"/>
  <c r="BI9" i="1" s="1"/>
  <c r="BH9" i="1" a="1"/>
  <c r="BH9" i="1" s="1"/>
  <c r="BJ9" i="1" a="1"/>
  <c r="BJ9" i="1" s="1"/>
  <c r="AZ9" i="1" a="1"/>
  <c r="AZ9" i="1" s="1"/>
  <c r="BF9" i="1" a="1"/>
  <c r="BF9" i="1" s="1"/>
  <c r="AX9" i="1" a="1"/>
  <c r="AX9" i="1" s="1"/>
  <c r="BL9" i="1" a="1"/>
  <c r="BL9" i="1" s="1"/>
  <c r="BP9" i="1" a="1"/>
  <c r="BP9" i="1" s="1"/>
  <c r="BA9" i="1" a="1"/>
  <c r="BA9" i="1" s="1"/>
  <c r="BG9" i="1" a="1"/>
  <c r="BG9" i="1" s="1"/>
  <c r="BD9" i="1" a="1"/>
  <c r="BD9" i="1" s="1"/>
  <c r="BM9" i="1" a="1"/>
  <c r="BM9" i="1" s="1"/>
  <c r="AY9" i="1" a="1"/>
  <c r="AY9" i="1" s="1"/>
  <c r="BN9" i="1" a="1"/>
  <c r="BN9" i="1" s="1"/>
  <c r="AY8" i="1" a="1"/>
  <c r="AY8" i="1" s="1"/>
  <c r="BC8" i="1" a="1"/>
  <c r="BC8" i="1" s="1"/>
  <c r="AX8" i="1" a="1"/>
  <c r="AX8" i="1" s="1"/>
  <c r="BN8" i="1" a="1"/>
  <c r="BN8" i="1" s="1"/>
  <c r="AZ8" i="1" a="1"/>
  <c r="AZ8" i="1" s="1"/>
  <c r="BI8" i="1" a="1"/>
  <c r="BI8" i="1" s="1"/>
  <c r="BF8" i="1" a="1"/>
  <c r="BF8" i="1" s="1"/>
  <c r="BE8" i="1" a="1"/>
  <c r="BE8" i="1" s="1"/>
  <c r="BB8" i="1" a="1"/>
  <c r="BB8" i="1" s="1"/>
  <c r="BK8" i="1" a="1"/>
  <c r="BK8" i="1" s="1"/>
  <c r="BD8" i="1" a="1"/>
  <c r="BD8" i="1" s="1"/>
  <c r="BL8" i="1" a="1"/>
  <c r="BL8" i="1" s="1"/>
  <c r="BA8" i="1" a="1"/>
  <c r="BA8" i="1" s="1"/>
  <c r="BH8" i="1" a="1"/>
  <c r="BH8" i="1" s="1"/>
  <c r="BJ8" i="1" a="1"/>
  <c r="BJ8" i="1" s="1"/>
  <c r="BP8" i="1" a="1"/>
  <c r="BP8" i="1" s="1"/>
  <c r="BO8" i="1" a="1"/>
  <c r="BO8" i="1" s="1"/>
  <c r="BM8" i="1" a="1"/>
  <c r="BM8" i="1" s="1"/>
  <c r="BG8" i="1" a="1"/>
  <c r="BG8" i="1" s="1"/>
  <c r="AW8" i="1" a="1"/>
  <c r="AW8" i="1" s="1"/>
  <c r="BJ7" i="1" a="1"/>
  <c r="BJ7" i="1" s="1"/>
  <c r="BG7" i="1" a="1"/>
  <c r="BG7" i="1" s="1"/>
  <c r="BM7" i="1" a="1"/>
  <c r="BM7" i="1" s="1"/>
  <c r="BN7" i="1" a="1"/>
  <c r="BN7" i="1" s="1"/>
  <c r="AW7" i="1" a="1"/>
  <c r="AW7" i="1" s="1"/>
  <c r="BO7" i="1" a="1"/>
  <c r="BO7" i="1" s="1"/>
  <c r="AZ7" i="1" a="1"/>
  <c r="AZ7" i="1" s="1"/>
  <c r="BK7" i="1" a="1"/>
  <c r="BK7" i="1" s="1"/>
  <c r="AX7" i="1" a="1"/>
  <c r="AX7" i="1" s="1"/>
  <c r="AY7" i="1" a="1"/>
  <c r="AY7" i="1" s="1"/>
  <c r="BI7" i="1" a="1"/>
  <c r="BI7" i="1" s="1"/>
  <c r="BF7" i="1" a="1"/>
  <c r="BF7" i="1" s="1"/>
  <c r="BB7" i="1" a="1"/>
  <c r="BB7" i="1" s="1"/>
  <c r="BL7" i="1" a="1"/>
  <c r="BL7" i="1" s="1"/>
  <c r="BE7" i="1" a="1"/>
  <c r="BE7" i="1" s="1"/>
  <c r="BP7" i="1" a="1"/>
  <c r="BP7" i="1" s="1"/>
  <c r="BA7" i="1" a="1"/>
  <c r="BA7" i="1" s="1"/>
  <c r="BH7" i="1" a="1"/>
  <c r="BH7" i="1" s="1"/>
  <c r="BD7" i="1" a="1"/>
  <c r="BD7" i="1" s="1"/>
  <c r="BC7" i="1" a="1"/>
  <c r="BC7" i="1" s="1"/>
  <c r="BG6" i="1" a="1"/>
  <c r="BG6" i="1" s="1"/>
  <c r="BE6" i="1" a="1"/>
  <c r="BE6" i="1" s="1"/>
  <c r="BH6" i="1" a="1"/>
  <c r="BH6" i="1" s="1"/>
  <c r="BF6" i="1" a="1"/>
  <c r="BF6" i="1" s="1"/>
  <c r="AW6" i="1" a="1"/>
  <c r="AW6" i="1" s="1"/>
  <c r="AX6" i="1" a="1"/>
  <c r="AX6" i="1" s="1"/>
  <c r="AZ6" i="1" a="1"/>
  <c r="AZ6" i="1" s="1"/>
  <c r="BL6" i="1" a="1"/>
  <c r="BL6" i="1" s="1"/>
  <c r="BC6" i="1" a="1"/>
  <c r="BC6" i="1" s="1"/>
  <c r="BN6" i="1" a="1"/>
  <c r="BN6" i="1" s="1"/>
  <c r="BA6" i="1" a="1"/>
  <c r="BA6" i="1" s="1"/>
  <c r="AY6" i="1" a="1"/>
  <c r="AY6" i="1" s="1"/>
  <c r="BM6" i="1" a="1"/>
  <c r="BM6" i="1" s="1"/>
  <c r="BK6" i="1" a="1"/>
  <c r="BK6" i="1" s="1"/>
  <c r="BI6" i="1" a="1"/>
  <c r="BI6" i="1" s="1"/>
  <c r="BJ6" i="1" a="1"/>
  <c r="BJ6" i="1" s="1"/>
  <c r="BP6" i="1" a="1"/>
  <c r="BP6" i="1" s="1"/>
  <c r="BD6" i="1" a="1"/>
  <c r="BD6" i="1" s="1"/>
  <c r="BO6" i="1" a="1"/>
  <c r="BO6" i="1" s="1"/>
  <c r="BB6" i="1" a="1"/>
  <c r="BB6" i="1" s="1"/>
  <c r="BE13" i="1" a="1"/>
  <c r="BE13" i="1" s="1"/>
  <c r="BK13" i="1" a="1"/>
  <c r="BK13" i="1" s="1"/>
  <c r="BH13" i="1" a="1"/>
  <c r="BH13" i="1" s="1"/>
  <c r="BF13" i="1" a="1"/>
  <c r="BF13" i="1" s="1"/>
  <c r="BC13" i="1" a="1"/>
  <c r="BC13" i="1" s="1"/>
  <c r="BJ13" i="1" a="1"/>
  <c r="BJ13" i="1" s="1"/>
  <c r="BI13" i="1" a="1"/>
  <c r="BI13" i="1" s="1"/>
  <c r="BB13" i="1" a="1"/>
  <c r="BB13" i="1" s="1"/>
  <c r="AZ13" i="1" a="1"/>
  <c r="AZ13" i="1" s="1"/>
  <c r="BP13" i="1" a="1"/>
  <c r="BP13" i="1" s="1"/>
  <c r="AX13" i="1" a="1"/>
  <c r="AX13" i="1" s="1"/>
  <c r="BL13" i="1" a="1"/>
  <c r="BL13" i="1" s="1"/>
  <c r="BG13" i="1" a="1"/>
  <c r="BG13" i="1" s="1"/>
  <c r="BD13" i="1" a="1"/>
  <c r="BD13" i="1" s="1"/>
  <c r="BN13" i="1" a="1"/>
  <c r="BN13" i="1" s="1"/>
  <c r="AY13" i="1" a="1"/>
  <c r="AY13" i="1" s="1"/>
  <c r="BA13" i="1" a="1"/>
  <c r="BA13" i="1" s="1"/>
  <c r="BM13" i="1" a="1"/>
  <c r="BM13" i="1" s="1"/>
  <c r="AW13" i="1" a="1"/>
  <c r="AW13" i="1" s="1"/>
  <c r="BO13" i="1" a="1"/>
  <c r="BO13" i="1" s="1"/>
  <c r="BE5" i="1" a="1"/>
  <c r="BE5" i="1" s="1"/>
  <c r="BF5" i="1" a="1"/>
  <c r="BF5" i="1" s="1"/>
  <c r="BC5" i="1" a="1"/>
  <c r="BC5" i="1" s="1"/>
  <c r="BK5" i="1" a="1"/>
  <c r="BK5" i="1" s="1"/>
  <c r="BD5" i="1" a="1"/>
  <c r="BD5" i="1" s="1"/>
  <c r="BN5" i="1" a="1"/>
  <c r="BN5" i="1" s="1"/>
  <c r="BH5" i="1" a="1"/>
  <c r="BH5" i="1" s="1"/>
  <c r="BM5" i="1" a="1"/>
  <c r="BM5" i="1" s="1"/>
  <c r="BL5" i="1" a="1"/>
  <c r="BL5" i="1" s="1"/>
  <c r="BO5" i="1" a="1"/>
  <c r="BO5" i="1" s="1"/>
  <c r="BB5" i="1" a="1"/>
  <c r="BB5" i="1" s="1"/>
  <c r="BJ5" i="1" a="1"/>
  <c r="BJ5" i="1" s="1"/>
  <c r="BA5" i="1" a="1"/>
  <c r="BA5" i="1" s="1"/>
  <c r="AX5" i="1" a="1"/>
  <c r="AX5" i="1" s="1"/>
  <c r="AZ5" i="1" a="1"/>
  <c r="AZ5" i="1" s="1"/>
  <c r="BI5" i="1" a="1"/>
  <c r="BI5" i="1" s="1"/>
  <c r="BG5" i="1" a="1"/>
  <c r="BG5" i="1" s="1"/>
  <c r="AW5" i="1" a="1"/>
  <c r="AW5" i="1" s="1"/>
  <c r="BP5" i="1" a="1"/>
  <c r="BP5" i="1" s="1"/>
  <c r="AY5" i="1" a="1"/>
  <c r="AY5" i="1" s="1"/>
  <c r="BD12" i="1" a="1"/>
  <c r="BD12" i="1" s="1"/>
  <c r="AY12" i="1" a="1"/>
  <c r="AY12" i="1" s="1"/>
  <c r="BC12" i="1" a="1"/>
  <c r="BC12" i="1" s="1"/>
  <c r="BI12" i="1" a="1"/>
  <c r="BI12" i="1" s="1"/>
  <c r="BF12" i="1" a="1"/>
  <c r="BF12" i="1" s="1"/>
  <c r="BE12" i="1" a="1"/>
  <c r="BE12" i="1" s="1"/>
  <c r="BB12" i="1" a="1"/>
  <c r="BB12" i="1" s="1"/>
  <c r="BK12" i="1" a="1"/>
  <c r="BK12" i="1" s="1"/>
  <c r="AZ12" i="1" a="1"/>
  <c r="AZ12" i="1" s="1"/>
  <c r="BL12" i="1" a="1"/>
  <c r="BL12" i="1" s="1"/>
  <c r="BP12" i="1" a="1"/>
  <c r="BP12" i="1" s="1"/>
  <c r="BH12" i="1" a="1"/>
  <c r="BH12" i="1" s="1"/>
  <c r="BO12" i="1" a="1"/>
  <c r="BO12" i="1" s="1"/>
  <c r="AX12" i="1" a="1"/>
  <c r="AX12" i="1" s="1"/>
  <c r="BM12" i="1" a="1"/>
  <c r="BM12" i="1" s="1"/>
  <c r="BG12" i="1" a="1"/>
  <c r="BG12" i="1" s="1"/>
  <c r="BN12" i="1" a="1"/>
  <c r="BN12" i="1" s="1"/>
  <c r="BJ12" i="1" a="1"/>
  <c r="BJ12" i="1" s="1"/>
  <c r="BA12" i="1" a="1"/>
  <c r="BA12" i="1" s="1"/>
  <c r="AW12" i="1" a="1"/>
  <c r="AW12" i="1" s="1"/>
  <c r="BC4" i="1" a="1"/>
  <c r="BC4" i="1" s="1"/>
  <c r="BD4" i="1" a="1"/>
  <c r="BD4" i="1" s="1"/>
  <c r="AY4" i="1" a="1"/>
  <c r="AY4" i="1" s="1"/>
  <c r="BM4" i="1" a="1"/>
  <c r="BM4" i="1" s="1"/>
  <c r="AW4" i="1" a="1"/>
  <c r="AW4" i="1" s="1"/>
  <c r="AX4" i="1" a="1"/>
  <c r="AX4" i="1" s="1"/>
  <c r="BN4" i="1" a="1"/>
  <c r="BN4" i="1" s="1"/>
  <c r="BB4" i="1" a="1"/>
  <c r="BB4" i="1" s="1"/>
  <c r="BP4" i="1" a="1"/>
  <c r="BP4" i="1" s="1"/>
  <c r="BI4" i="1" a="1"/>
  <c r="BI4" i="1" s="1"/>
  <c r="BF4" i="1" a="1"/>
  <c r="BF4" i="1" s="1"/>
  <c r="BE4" i="1" a="1"/>
  <c r="BE4" i="1" s="1"/>
  <c r="BK4" i="1" a="1"/>
  <c r="BK4" i="1" s="1"/>
  <c r="BO4" i="1" a="1"/>
  <c r="BO4" i="1" s="1"/>
  <c r="AZ4" i="1" a="1"/>
  <c r="AZ4" i="1" s="1"/>
  <c r="BG4" i="1" a="1"/>
  <c r="BG4" i="1" s="1"/>
  <c r="BL4" i="1" a="1"/>
  <c r="BL4" i="1" s="1"/>
  <c r="BH4" i="1" a="1"/>
  <c r="BH4" i="1" s="1"/>
  <c r="BJ4" i="1" a="1"/>
  <c r="BJ4" i="1" s="1"/>
  <c r="BA4" i="1" a="1"/>
  <c r="BA4" i="1" s="1"/>
  <c r="BG11" i="1" a="1"/>
  <c r="BG11" i="1" s="1"/>
  <c r="BK11" i="1" a="1"/>
  <c r="BK11" i="1" s="1"/>
  <c r="BI11" i="1" a="1"/>
  <c r="BI11" i="1" s="1"/>
  <c r="BJ11" i="1" a="1"/>
  <c r="BJ11" i="1" s="1"/>
  <c r="AX11" i="1" a="1"/>
  <c r="AX11" i="1" s="1"/>
  <c r="AW11" i="1" a="1"/>
  <c r="AW11" i="1" s="1"/>
  <c r="BF11" i="1" a="1"/>
  <c r="BF11" i="1" s="1"/>
  <c r="BP11" i="1" a="1"/>
  <c r="BP11" i="1" s="1"/>
  <c r="AZ11" i="1" a="1"/>
  <c r="AZ11" i="1" s="1"/>
  <c r="BA11" i="1" a="1"/>
  <c r="BA11" i="1" s="1"/>
  <c r="BL11" i="1" a="1"/>
  <c r="BL11" i="1" s="1"/>
  <c r="AY11" i="1" a="1"/>
  <c r="AY11" i="1" s="1"/>
  <c r="BH11" i="1" a="1"/>
  <c r="BH11" i="1" s="1"/>
  <c r="BN11" i="1" a="1"/>
  <c r="BN11" i="1" s="1"/>
  <c r="BC11" i="1" a="1"/>
  <c r="BC11" i="1" s="1"/>
  <c r="BE11" i="1" a="1"/>
  <c r="BE11" i="1" s="1"/>
  <c r="BB11" i="1" a="1"/>
  <c r="BB11" i="1" s="1"/>
  <c r="BO11" i="1" a="1"/>
  <c r="BO11" i="1" s="1"/>
  <c r="BM11" i="1" a="1"/>
  <c r="BM11" i="1" s="1"/>
  <c r="BD11" i="1" a="1"/>
  <c r="BD11" i="1" s="1"/>
  <c r="AW10" i="1" a="1"/>
  <c r="AW10" i="1" s="1"/>
  <c r="BG10" i="1" a="1"/>
  <c r="BG10" i="1" s="1"/>
  <c r="BE10" i="1" a="1"/>
  <c r="BE10" i="1" s="1"/>
  <c r="AX10" i="1" a="1"/>
  <c r="AX10" i="1" s="1"/>
  <c r="BL10" i="1" a="1"/>
  <c r="BL10" i="1" s="1"/>
  <c r="BC10" i="1" a="1"/>
  <c r="BC10" i="1" s="1"/>
  <c r="BF10" i="1" a="1"/>
  <c r="BF10" i="1" s="1"/>
  <c r="AY10" i="1" a="1"/>
  <c r="AY10" i="1" s="1"/>
  <c r="BA10" i="1" a="1"/>
  <c r="BA10" i="1" s="1"/>
  <c r="BK10" i="1" a="1"/>
  <c r="BK10" i="1" s="1"/>
  <c r="BH10" i="1" a="1"/>
  <c r="BH10" i="1" s="1"/>
  <c r="BP10" i="1" a="1"/>
  <c r="BP10" i="1" s="1"/>
  <c r="BO10" i="1" a="1"/>
  <c r="BO10" i="1" s="1"/>
  <c r="BB10" i="1" a="1"/>
  <c r="BB10" i="1" s="1"/>
  <c r="BD10" i="1" a="1"/>
  <c r="BD10" i="1" s="1"/>
  <c r="BM10" i="1" a="1"/>
  <c r="BM10" i="1" s="1"/>
  <c r="AZ10" i="1" a="1"/>
  <c r="AZ10" i="1" s="1"/>
  <c r="BJ10" i="1" a="1"/>
  <c r="BJ10" i="1" s="1"/>
  <c r="BI10" i="1" a="1"/>
  <c r="BI10" i="1" s="1"/>
  <c r="BN10" i="1" a="1"/>
  <c r="BN10" i="1" s="1"/>
  <c r="BG27" i="1" a="1"/>
  <c r="BG27" i="1" s="1"/>
  <c r="BH27" i="1" a="1"/>
  <c r="BH27" i="1" s="1"/>
  <c r="BA27" i="1" a="1"/>
  <c r="BA27" i="1" s="1"/>
  <c r="AY27" i="1" a="1"/>
  <c r="AY27" i="1" s="1"/>
  <c r="AX27" i="1" a="1"/>
  <c r="AX27" i="1" s="1"/>
  <c r="BL27" i="1" a="1"/>
  <c r="BL27" i="1" s="1"/>
  <c r="BE27" i="1" a="1"/>
  <c r="BE27" i="1" s="1"/>
  <c r="AZ27" i="1" a="1"/>
  <c r="AZ27" i="1" s="1"/>
  <c r="BK27" i="1" a="1"/>
  <c r="BK27" i="1" s="1"/>
  <c r="BD27" i="1" a="1"/>
  <c r="BD27" i="1" s="1"/>
  <c r="BI27" i="1" a="1"/>
  <c r="BI27" i="1" s="1"/>
  <c r="BC27" i="1" a="1"/>
  <c r="BC27" i="1" s="1"/>
  <c r="BB27" i="1" a="1"/>
  <c r="BB27" i="1" s="1"/>
  <c r="BO27" i="1" a="1"/>
  <c r="BO27" i="1" s="1"/>
  <c r="BN27" i="1" a="1"/>
  <c r="BN27" i="1" s="1"/>
  <c r="BJ27" i="1" a="1"/>
  <c r="BJ27" i="1" s="1"/>
  <c r="BM27" i="1" a="1"/>
  <c r="BM27" i="1" s="1"/>
  <c r="BP27" i="1" a="1"/>
  <c r="BP27" i="1" s="1"/>
  <c r="BF27" i="1" a="1"/>
  <c r="BF27" i="1" s="1"/>
  <c r="AW27" i="1" a="1"/>
  <c r="AW27" i="1" s="1"/>
  <c r="BG26" i="1" a="1"/>
  <c r="BG26" i="1" s="1"/>
  <c r="BE26" i="1" a="1"/>
  <c r="BE26" i="1" s="1"/>
  <c r="AW26" i="1" a="1"/>
  <c r="AW26" i="1" s="1"/>
  <c r="AX26" i="1" a="1"/>
  <c r="AX26" i="1" s="1"/>
  <c r="BD26" i="1" a="1"/>
  <c r="BD26" i="1" s="1"/>
  <c r="BC26" i="1" a="1"/>
  <c r="BC26" i="1" s="1"/>
  <c r="BK26" i="1" a="1"/>
  <c r="BK26" i="1" s="1"/>
  <c r="AZ26" i="1" a="1"/>
  <c r="AZ26" i="1" s="1"/>
  <c r="BO26" i="1" a="1"/>
  <c r="BO26" i="1" s="1"/>
  <c r="BN26" i="1" a="1"/>
  <c r="BN26" i="1" s="1"/>
  <c r="BA26" i="1" a="1"/>
  <c r="BA26" i="1" s="1"/>
  <c r="BI26" i="1" a="1"/>
  <c r="BI26" i="1" s="1"/>
  <c r="BB26" i="1" a="1"/>
  <c r="BB26" i="1" s="1"/>
  <c r="BF26" i="1" a="1"/>
  <c r="BF26" i="1" s="1"/>
  <c r="BL26" i="1" a="1"/>
  <c r="BL26" i="1" s="1"/>
  <c r="BP26" i="1" a="1"/>
  <c r="BP26" i="1" s="1"/>
  <c r="BJ26" i="1" a="1"/>
  <c r="BJ26" i="1" s="1"/>
  <c r="BM26" i="1" a="1"/>
  <c r="BM26" i="1" s="1"/>
  <c r="BH26" i="1" a="1"/>
  <c r="BH26" i="1" s="1"/>
  <c r="AY26" i="1" a="1"/>
  <c r="AY26" i="1" s="1"/>
  <c r="BC25" i="1" a="1"/>
  <c r="BC25" i="1" s="1"/>
  <c r="BE25" i="1" a="1"/>
  <c r="BE25" i="1" s="1"/>
  <c r="BK25" i="1" a="1"/>
  <c r="BK25" i="1" s="1"/>
  <c r="BB25" i="1" a="1"/>
  <c r="BB25" i="1" s="1"/>
  <c r="BG25" i="1" a="1"/>
  <c r="BG25" i="1" s="1"/>
  <c r="AX25" i="1" a="1"/>
  <c r="AX25" i="1" s="1"/>
  <c r="BH25" i="1" a="1"/>
  <c r="BH25" i="1" s="1"/>
  <c r="BO25" i="1" a="1"/>
  <c r="BO25" i="1" s="1"/>
  <c r="BD25" i="1" a="1"/>
  <c r="BD25" i="1" s="1"/>
  <c r="BI25" i="1" a="1"/>
  <c r="BI25" i="1" s="1"/>
  <c r="BF25" i="1" a="1"/>
  <c r="BF25" i="1" s="1"/>
  <c r="BN25" i="1" a="1"/>
  <c r="BN25" i="1" s="1"/>
  <c r="AW25" i="1" a="1"/>
  <c r="AW25" i="1" s="1"/>
  <c r="BA25" i="1" a="1"/>
  <c r="BA25" i="1" s="1"/>
  <c r="BM25" i="1" a="1"/>
  <c r="BM25" i="1" s="1"/>
  <c r="AY25" i="1" a="1"/>
  <c r="AY25" i="1" s="1"/>
  <c r="BP25" i="1" a="1"/>
  <c r="BP25" i="1" s="1"/>
  <c r="AZ25" i="1" a="1"/>
  <c r="AZ25" i="1" s="1"/>
  <c r="BL25" i="1" a="1"/>
  <c r="BL25" i="1" s="1"/>
  <c r="BJ25" i="1" a="1"/>
  <c r="BJ25" i="1" s="1"/>
  <c r="BC24" i="1" a="1"/>
  <c r="BC24" i="1" s="1"/>
  <c r="AY24" i="1" a="1"/>
  <c r="AY24" i="1" s="1"/>
  <c r="AX24" i="1" a="1"/>
  <c r="AX24" i="1" s="1"/>
  <c r="BE24" i="1" a="1"/>
  <c r="BE24" i="1" s="1"/>
  <c r="BO24" i="1" a="1"/>
  <c r="BO24" i="1" s="1"/>
  <c r="BG24" i="1" a="1"/>
  <c r="BG24" i="1" s="1"/>
  <c r="BI24" i="1" a="1"/>
  <c r="BI24" i="1" s="1"/>
  <c r="BD24" i="1" a="1"/>
  <c r="BD24" i="1" s="1"/>
  <c r="BL24" i="1" a="1"/>
  <c r="BL24" i="1" s="1"/>
  <c r="BB24" i="1" a="1"/>
  <c r="BB24" i="1" s="1"/>
  <c r="BM24" i="1" a="1"/>
  <c r="BM24" i="1" s="1"/>
  <c r="BH24" i="1" a="1"/>
  <c r="BH24" i="1" s="1"/>
  <c r="BP24" i="1" a="1"/>
  <c r="BP24" i="1" s="1"/>
  <c r="AZ24" i="1" a="1"/>
  <c r="AZ24" i="1" s="1"/>
  <c r="AW24" i="1" a="1"/>
  <c r="AW24" i="1" s="1"/>
  <c r="BJ24" i="1" a="1"/>
  <c r="BJ24" i="1" s="1"/>
  <c r="BA24" i="1" a="1"/>
  <c r="BA24" i="1" s="1"/>
  <c r="BK24" i="1" a="1"/>
  <c r="BK24" i="1" s="1"/>
  <c r="BF24" i="1" a="1"/>
  <c r="BF24" i="1" s="1"/>
  <c r="BN24" i="1" a="1"/>
  <c r="BN24" i="1" s="1"/>
  <c r="BJ23" i="1" a="1"/>
  <c r="BJ23" i="1" s="1"/>
  <c r="BG23" i="1" a="1"/>
  <c r="BG23" i="1" s="1"/>
  <c r="AZ23" i="1" a="1"/>
  <c r="AZ23" i="1" s="1"/>
  <c r="BP23" i="1" a="1"/>
  <c r="BP23" i="1" s="1"/>
  <c r="BI23" i="1" a="1"/>
  <c r="BI23" i="1" s="1"/>
  <c r="BB23" i="1" a="1"/>
  <c r="BB23" i="1" s="1"/>
  <c r="BE23" i="1" a="1"/>
  <c r="BE23" i="1" s="1"/>
  <c r="BH23" i="1" a="1"/>
  <c r="BH23" i="1" s="1"/>
  <c r="BF23" i="1" a="1"/>
  <c r="BF23" i="1" s="1"/>
  <c r="AW23" i="1" a="1"/>
  <c r="AW23" i="1" s="1"/>
  <c r="BN23" i="1" a="1"/>
  <c r="BN23" i="1" s="1"/>
  <c r="BO23" i="1" a="1"/>
  <c r="BO23" i="1" s="1"/>
  <c r="BA23" i="1" a="1"/>
  <c r="BA23" i="1" s="1"/>
  <c r="AY23" i="1" a="1"/>
  <c r="AY23" i="1" s="1"/>
  <c r="AX23" i="1" a="1"/>
  <c r="AX23" i="1" s="1"/>
  <c r="BL23" i="1" a="1"/>
  <c r="BL23" i="1" s="1"/>
  <c r="BD23" i="1" a="1"/>
  <c r="BD23" i="1" s="1"/>
  <c r="BC23" i="1" a="1"/>
  <c r="BC23" i="1" s="1"/>
  <c r="BK23" i="1" a="1"/>
  <c r="BK23" i="1" s="1"/>
  <c r="BM23" i="1" a="1"/>
  <c r="BM23" i="1" s="1"/>
  <c r="AJ22" i="1" a="1"/>
  <c r="AJ22" i="1" s="1"/>
  <c r="BE22" i="1" a="1"/>
  <c r="BE22" i="1" s="1"/>
  <c r="BH22" i="1" a="1"/>
  <c r="BH22" i="1" s="1"/>
  <c r="AW22" i="1" a="1"/>
  <c r="AW22" i="1" s="1"/>
  <c r="BG22" i="1" a="1"/>
  <c r="BG22" i="1" s="1"/>
  <c r="BF22" i="1" a="1"/>
  <c r="BF22" i="1" s="1"/>
  <c r="BL22" i="1" a="1"/>
  <c r="BL22" i="1" s="1"/>
  <c r="BN22" i="1" a="1"/>
  <c r="BN22" i="1" s="1"/>
  <c r="BI22" i="1" a="1"/>
  <c r="BI22" i="1" s="1"/>
  <c r="AX22" i="1" a="1"/>
  <c r="AX22" i="1" s="1"/>
  <c r="BC22" i="1" a="1"/>
  <c r="BC22" i="1" s="1"/>
  <c r="BM22" i="1" a="1"/>
  <c r="BM22" i="1" s="1"/>
  <c r="BB22" i="1" a="1"/>
  <c r="BB22" i="1" s="1"/>
  <c r="BA22" i="1" a="1"/>
  <c r="BA22" i="1" s="1"/>
  <c r="BJ22" i="1" a="1"/>
  <c r="BJ22" i="1" s="1"/>
  <c r="BK22" i="1" a="1"/>
  <c r="BK22" i="1" s="1"/>
  <c r="BO22" i="1" a="1"/>
  <c r="BO22" i="1" s="1"/>
  <c r="BP22" i="1" a="1"/>
  <c r="BP22" i="1" s="1"/>
  <c r="AZ22" i="1" a="1"/>
  <c r="AZ22" i="1" s="1"/>
  <c r="AY22" i="1" a="1"/>
  <c r="AY22" i="1" s="1"/>
  <c r="BD22" i="1" a="1"/>
  <c r="BD22" i="1" s="1"/>
  <c r="BC21" i="1" a="1"/>
  <c r="BC21" i="1" s="1"/>
  <c r="BH21" i="1" a="1"/>
  <c r="BH21" i="1" s="1"/>
  <c r="BK21" i="1" a="1"/>
  <c r="BK21" i="1" s="1"/>
  <c r="AX21" i="1" a="1"/>
  <c r="AX21" i="1" s="1"/>
  <c r="BE21" i="1" a="1"/>
  <c r="BE21" i="1" s="1"/>
  <c r="BF21" i="1" a="1"/>
  <c r="BF21" i="1" s="1"/>
  <c r="AW21" i="1" a="1"/>
  <c r="AW21" i="1" s="1"/>
  <c r="BL21" i="1" a="1"/>
  <c r="BL21" i="1" s="1"/>
  <c r="BB21" i="1" a="1"/>
  <c r="BB21" i="1" s="1"/>
  <c r="BP21" i="1" a="1"/>
  <c r="BP21" i="1" s="1"/>
  <c r="BN21" i="1" a="1"/>
  <c r="BN21" i="1" s="1"/>
  <c r="BA21" i="1" a="1"/>
  <c r="BA21" i="1" s="1"/>
  <c r="AZ21" i="1" a="1"/>
  <c r="AZ21" i="1" s="1"/>
  <c r="BD21" i="1" a="1"/>
  <c r="BD21" i="1" s="1"/>
  <c r="BO21" i="1" a="1"/>
  <c r="BO21" i="1" s="1"/>
  <c r="BI21" i="1" a="1"/>
  <c r="BI21" i="1" s="1"/>
  <c r="BG21" i="1" a="1"/>
  <c r="BG21" i="1" s="1"/>
  <c r="AY21" i="1" a="1"/>
  <c r="AY21" i="1" s="1"/>
  <c r="BM21" i="1" a="1"/>
  <c r="BM21" i="1" s="1"/>
  <c r="BJ21" i="1" a="1"/>
  <c r="BJ21" i="1" s="1"/>
  <c r="BC20" i="1" a="1"/>
  <c r="BC20" i="1" s="1"/>
  <c r="BD20" i="1" a="1"/>
  <c r="BD20" i="1" s="1"/>
  <c r="AY20" i="1" a="1"/>
  <c r="AY20" i="1" s="1"/>
  <c r="BL20" i="1" a="1"/>
  <c r="BL20" i="1" s="1"/>
  <c r="BN20" i="1" a="1"/>
  <c r="BN20" i="1" s="1"/>
  <c r="BA20" i="1" a="1"/>
  <c r="BA20" i="1" s="1"/>
  <c r="AZ20" i="1" a="1"/>
  <c r="AZ20" i="1" s="1"/>
  <c r="BP20" i="1" a="1"/>
  <c r="BP20" i="1" s="1"/>
  <c r="BH20" i="1" a="1"/>
  <c r="BH20" i="1" s="1"/>
  <c r="BO20" i="1" a="1"/>
  <c r="BO20" i="1" s="1"/>
  <c r="BK20" i="1" a="1"/>
  <c r="BK20" i="1" s="1"/>
  <c r="AW20" i="1" a="1"/>
  <c r="AW20" i="1" s="1"/>
  <c r="AX20" i="1" a="1"/>
  <c r="AX20" i="1" s="1"/>
  <c r="BF20" i="1" a="1"/>
  <c r="BF20" i="1" s="1"/>
  <c r="BG20" i="1" a="1"/>
  <c r="BG20" i="1" s="1"/>
  <c r="BJ20" i="1" a="1"/>
  <c r="BJ20" i="1" s="1"/>
  <c r="BI20" i="1" a="1"/>
  <c r="BI20" i="1" s="1"/>
  <c r="BB20" i="1" a="1"/>
  <c r="BB20" i="1" s="1"/>
  <c r="BE20" i="1" a="1"/>
  <c r="BE20" i="1" s="1"/>
  <c r="BM20" i="1" a="1"/>
  <c r="BM20" i="1" s="1"/>
  <c r="BG19" i="1" a="1"/>
  <c r="BG19" i="1" s="1"/>
  <c r="AW19" i="1" a="1"/>
  <c r="AW19" i="1" s="1"/>
  <c r="BF19" i="1" a="1"/>
  <c r="BF19" i="1" s="1"/>
  <c r="BH19" i="1" a="1"/>
  <c r="BH19" i="1" s="1"/>
  <c r="BJ19" i="1" a="1"/>
  <c r="BJ19" i="1" s="1"/>
  <c r="BA19" i="1" a="1"/>
  <c r="BA19" i="1" s="1"/>
  <c r="BB19" i="1" a="1"/>
  <c r="BB19" i="1" s="1"/>
  <c r="BD19" i="1" a="1"/>
  <c r="BD19" i="1" s="1"/>
  <c r="BM19" i="1" a="1"/>
  <c r="BM19" i="1" s="1"/>
  <c r="AY19" i="1" a="1"/>
  <c r="AY19" i="1" s="1"/>
  <c r="BO19" i="1" a="1"/>
  <c r="BO19" i="1" s="1"/>
  <c r="BC19" i="1" a="1"/>
  <c r="BC19" i="1" s="1"/>
  <c r="AZ19" i="1" a="1"/>
  <c r="AZ19" i="1" s="1"/>
  <c r="BN19" i="1" a="1"/>
  <c r="BN19" i="1" s="1"/>
  <c r="BP19" i="1" a="1"/>
  <c r="BP19" i="1" s="1"/>
  <c r="BI19" i="1" a="1"/>
  <c r="BI19" i="1" s="1"/>
  <c r="AX19" i="1" a="1"/>
  <c r="AX19" i="1" s="1"/>
  <c r="BL19" i="1" a="1"/>
  <c r="BL19" i="1" s="1"/>
  <c r="BK19" i="1" a="1"/>
  <c r="BK19" i="1" s="1"/>
  <c r="BE19" i="1" a="1"/>
  <c r="BE19" i="1" s="1"/>
  <c r="AW18" i="1" a="1"/>
  <c r="AW18" i="1" s="1"/>
  <c r="AX18" i="1" a="1"/>
  <c r="AX18" i="1" s="1"/>
  <c r="BG18" i="1" a="1"/>
  <c r="BG18" i="1" s="1"/>
  <c r="BE18" i="1" a="1"/>
  <c r="BE18" i="1" s="1"/>
  <c r="BA18" i="1" a="1"/>
  <c r="BA18" i="1" s="1"/>
  <c r="BC18" i="1" a="1"/>
  <c r="BC18" i="1" s="1"/>
  <c r="BI18" i="1" a="1"/>
  <c r="BI18" i="1" s="1"/>
  <c r="BK18" i="1" a="1"/>
  <c r="BK18" i="1" s="1"/>
  <c r="AY18" i="1" a="1"/>
  <c r="AY18" i="1" s="1"/>
  <c r="BJ18" i="1" a="1"/>
  <c r="BJ18" i="1" s="1"/>
  <c r="BM18" i="1" a="1"/>
  <c r="BM18" i="1" s="1"/>
  <c r="BF18" i="1" a="1"/>
  <c r="BF18" i="1" s="1"/>
  <c r="BL18" i="1" a="1"/>
  <c r="BL18" i="1" s="1"/>
  <c r="BO18" i="1" a="1"/>
  <c r="BO18" i="1" s="1"/>
  <c r="AZ18" i="1" a="1"/>
  <c r="AZ18" i="1" s="1"/>
  <c r="BP18" i="1" a="1"/>
  <c r="BP18" i="1" s="1"/>
  <c r="BH18" i="1" a="1"/>
  <c r="BH18" i="1" s="1"/>
  <c r="BB18" i="1" a="1"/>
  <c r="BB18" i="1" s="1"/>
  <c r="BD18" i="1" a="1"/>
  <c r="BD18" i="1" s="1"/>
  <c r="BN18" i="1" a="1"/>
  <c r="BN18" i="1" s="1"/>
  <c r="BE17" i="1" a="1"/>
  <c r="BE17" i="1" s="1"/>
  <c r="BC17" i="1" a="1"/>
  <c r="BC17" i="1" s="1"/>
  <c r="BK17" i="1" a="1"/>
  <c r="BK17" i="1" s="1"/>
  <c r="AX17" i="1" a="1"/>
  <c r="AX17" i="1" s="1"/>
  <c r="BA17" i="1" a="1"/>
  <c r="BA17" i="1" s="1"/>
  <c r="BB17" i="1" a="1"/>
  <c r="BB17" i="1" s="1"/>
  <c r="BJ17" i="1" a="1"/>
  <c r="BJ17" i="1" s="1"/>
  <c r="AZ17" i="1" a="1"/>
  <c r="AZ17" i="1" s="1"/>
  <c r="BO17" i="1" a="1"/>
  <c r="BO17" i="1" s="1"/>
  <c r="BL17" i="1" a="1"/>
  <c r="BL17" i="1" s="1"/>
  <c r="AW17" i="1" a="1"/>
  <c r="AW17" i="1" s="1"/>
  <c r="BD17" i="1" a="1"/>
  <c r="BD17" i="1" s="1"/>
  <c r="BP17" i="1" a="1"/>
  <c r="BP17" i="1" s="1"/>
  <c r="BG17" i="1" a="1"/>
  <c r="BG17" i="1" s="1"/>
  <c r="AY17" i="1" a="1"/>
  <c r="AY17" i="1" s="1"/>
  <c r="BI17" i="1" a="1"/>
  <c r="BI17" i="1" s="1"/>
  <c r="BH17" i="1" a="1"/>
  <c r="BH17" i="1" s="1"/>
  <c r="BN17" i="1" a="1"/>
  <c r="BN17" i="1" s="1"/>
  <c r="BM17" i="1" a="1"/>
  <c r="BM17" i="1" s="1"/>
  <c r="BF17" i="1" a="1"/>
  <c r="BF17" i="1" s="1"/>
  <c r="BC16" i="1" a="1"/>
  <c r="BC16" i="1" s="1"/>
  <c r="AY16" i="1" a="1"/>
  <c r="AY16" i="1" s="1"/>
  <c r="BO16" i="1" a="1"/>
  <c r="BO16" i="1" s="1"/>
  <c r="BN16" i="1" a="1"/>
  <c r="BN16" i="1" s="1"/>
  <c r="BF16" i="1" a="1"/>
  <c r="BF16" i="1" s="1"/>
  <c r="BK16" i="1" a="1"/>
  <c r="BK16" i="1" s="1"/>
  <c r="AW16" i="1" a="1"/>
  <c r="AW16" i="1" s="1"/>
  <c r="BM16" i="1" a="1"/>
  <c r="BM16" i="1" s="1"/>
  <c r="BJ16" i="1" a="1"/>
  <c r="BJ16" i="1" s="1"/>
  <c r="BE16" i="1" a="1"/>
  <c r="BE16" i="1" s="1"/>
  <c r="AZ16" i="1" a="1"/>
  <c r="AZ16" i="1" s="1"/>
  <c r="BA16" i="1" a="1"/>
  <c r="BA16" i="1" s="1"/>
  <c r="BL16" i="1" a="1"/>
  <c r="BL16" i="1" s="1"/>
  <c r="BH16" i="1" a="1"/>
  <c r="BH16" i="1" s="1"/>
  <c r="BP16" i="1" a="1"/>
  <c r="BP16" i="1" s="1"/>
  <c r="AX16" i="1" a="1"/>
  <c r="AX16" i="1" s="1"/>
  <c r="BG16" i="1" a="1"/>
  <c r="BG16" i="1" s="1"/>
  <c r="BD16" i="1" a="1"/>
  <c r="BD16" i="1" s="1"/>
  <c r="BI16" i="1" a="1"/>
  <c r="BI16" i="1" s="1"/>
  <c r="BB16" i="1" a="1"/>
  <c r="BB16" i="1" s="1"/>
  <c r="BG15" i="1" a="1"/>
  <c r="BG15" i="1" s="1"/>
  <c r="BI15" i="1" a="1"/>
  <c r="BI15" i="1" s="1"/>
  <c r="BP15" i="1" a="1"/>
  <c r="BP15" i="1" s="1"/>
  <c r="BC15" i="1" a="1"/>
  <c r="BC15" i="1" s="1"/>
  <c r="BK15" i="1" a="1"/>
  <c r="BK15" i="1" s="1"/>
  <c r="BA15" i="1" a="1"/>
  <c r="BA15" i="1" s="1"/>
  <c r="AY15" i="1" a="1"/>
  <c r="AY15" i="1" s="1"/>
  <c r="BM15" i="1" a="1"/>
  <c r="BM15" i="1" s="1"/>
  <c r="BH15" i="1" a="1"/>
  <c r="BH15" i="1" s="1"/>
  <c r="BE15" i="1" a="1"/>
  <c r="BE15" i="1" s="1"/>
  <c r="AX15" i="1" a="1"/>
  <c r="AX15" i="1" s="1"/>
  <c r="BJ15" i="1" a="1"/>
  <c r="BJ15" i="1" s="1"/>
  <c r="BO15" i="1" a="1"/>
  <c r="BO15" i="1" s="1"/>
  <c r="AW15" i="1" a="1"/>
  <c r="AW15" i="1" s="1"/>
  <c r="BD15" i="1" a="1"/>
  <c r="BD15" i="1" s="1"/>
  <c r="BB15" i="1" a="1"/>
  <c r="BB15" i="1" s="1"/>
  <c r="BF15" i="1" a="1"/>
  <c r="BF15" i="1" s="1"/>
  <c r="AZ15" i="1" a="1"/>
  <c r="AZ15" i="1" s="1"/>
  <c r="BL15" i="1" a="1"/>
  <c r="BL15" i="1" s="1"/>
  <c r="BN15" i="1" a="1"/>
  <c r="BN15" i="1" s="1"/>
  <c r="BG14" i="1" a="1"/>
  <c r="BG14" i="1" s="1"/>
  <c r="BH14" i="1" a="1"/>
  <c r="BH14" i="1" s="1"/>
  <c r="AW14" i="1" a="1"/>
  <c r="AW14" i="1" s="1"/>
  <c r="BF14" i="1" a="1"/>
  <c r="BF14" i="1" s="1"/>
  <c r="BE14" i="1" a="1"/>
  <c r="BE14" i="1" s="1"/>
  <c r="BK14" i="1" a="1"/>
  <c r="BK14" i="1" s="1"/>
  <c r="BA14" i="1" a="1"/>
  <c r="BA14" i="1" s="1"/>
  <c r="AZ14" i="1" a="1"/>
  <c r="AZ14" i="1" s="1"/>
  <c r="BD14" i="1" a="1"/>
  <c r="BD14" i="1" s="1"/>
  <c r="BM14" i="1" a="1"/>
  <c r="BM14" i="1" s="1"/>
  <c r="BN14" i="1" a="1"/>
  <c r="BN14" i="1" s="1"/>
  <c r="AX14" i="1" a="1"/>
  <c r="AX14" i="1" s="1"/>
  <c r="BL14" i="1" a="1"/>
  <c r="BL14" i="1" s="1"/>
  <c r="BB14" i="1" a="1"/>
  <c r="BB14" i="1" s="1"/>
  <c r="BO14" i="1" a="1"/>
  <c r="BO14" i="1" s="1"/>
  <c r="BC14" i="1" a="1"/>
  <c r="BC14" i="1" s="1"/>
  <c r="BJ14" i="1" a="1"/>
  <c r="BJ14" i="1" s="1"/>
  <c r="BP14" i="1" a="1"/>
  <c r="BP14" i="1" s="1"/>
  <c r="BI14" i="1" a="1"/>
  <c r="BI14" i="1" s="1"/>
  <c r="AY14" i="1" a="1"/>
  <c r="AY14" i="1" s="1"/>
  <c r="AO21" i="1" a="1"/>
  <c r="AO21" i="1" s="1"/>
  <c r="AP21" i="1" a="1"/>
  <c r="AP21" i="1" s="1"/>
  <c r="AS21" i="1" a="1"/>
  <c r="AS21" i="1" s="1"/>
  <c r="AQ21" i="1" a="1"/>
  <c r="AQ21" i="1" s="1"/>
  <c r="AM21" i="1" a="1"/>
  <c r="AM21" i="1" s="1"/>
  <c r="AR21" i="1" a="1"/>
  <c r="AR21" i="1" s="1"/>
  <c r="AN21" i="1" a="1"/>
  <c r="AN21" i="1" s="1"/>
  <c r="AU21" i="1" a="1"/>
  <c r="AU21" i="1" s="1"/>
  <c r="AT21" i="1" a="1"/>
  <c r="AT21" i="1" s="1"/>
  <c r="AV21" i="1" a="1"/>
  <c r="AV21" i="1" s="1"/>
  <c r="AF13" i="1" a="1"/>
  <c r="AF13" i="1" s="1"/>
  <c r="AO13" i="1" a="1"/>
  <c r="AO13" i="1" s="1"/>
  <c r="AP13" i="1" a="1"/>
  <c r="AP13" i="1" s="1"/>
  <c r="AT13" i="1" a="1"/>
  <c r="AT13" i="1" s="1"/>
  <c r="AV13" i="1" a="1"/>
  <c r="AV13" i="1" s="1"/>
  <c r="AM13" i="1" a="1"/>
  <c r="AM13" i="1" s="1"/>
  <c r="AS13" i="1" a="1"/>
  <c r="AS13" i="1" s="1"/>
  <c r="AQ13" i="1" a="1"/>
  <c r="AQ13" i="1" s="1"/>
  <c r="AR13" i="1" a="1"/>
  <c r="AR13" i="1" s="1"/>
  <c r="AN13" i="1" a="1"/>
  <c r="AN13" i="1" s="1"/>
  <c r="AU13" i="1" a="1"/>
  <c r="AU13" i="1" s="1"/>
  <c r="AO5" i="1" a="1"/>
  <c r="AO5" i="1" s="1"/>
  <c r="AU5" i="1" a="1"/>
  <c r="AU5" i="1" s="1"/>
  <c r="AT5" i="1" a="1"/>
  <c r="AT5" i="1" s="1"/>
  <c r="AQ5" i="1" a="1"/>
  <c r="AQ5" i="1" s="1"/>
  <c r="AV5" i="1" a="1"/>
  <c r="AV5" i="1" s="1"/>
  <c r="AM5" i="1" a="1"/>
  <c r="AM5" i="1" s="1"/>
  <c r="AS5" i="1" a="1"/>
  <c r="AS5" i="1" s="1"/>
  <c r="AN5" i="1" a="1"/>
  <c r="AN5" i="1" s="1"/>
  <c r="AP5" i="1" a="1"/>
  <c r="AP5" i="1" s="1"/>
  <c r="AR5" i="1" a="1"/>
  <c r="AR5" i="1" s="1"/>
  <c r="AO15" i="1" a="1"/>
  <c r="AO15" i="1" s="1"/>
  <c r="AQ15" i="1" a="1"/>
  <c r="AQ15" i="1" s="1"/>
  <c r="AP15" i="1" a="1"/>
  <c r="AP15" i="1" s="1"/>
  <c r="AT15" i="1" a="1"/>
  <c r="AT15" i="1" s="1"/>
  <c r="AU15" i="1" a="1"/>
  <c r="AU15" i="1" s="1"/>
  <c r="AS15" i="1" a="1"/>
  <c r="AS15" i="1" s="1"/>
  <c r="AV15" i="1" a="1"/>
  <c r="AV15" i="1" s="1"/>
  <c r="AN15" i="1" a="1"/>
  <c r="AN15" i="1" s="1"/>
  <c r="AR15" i="1" a="1"/>
  <c r="AR15" i="1" s="1"/>
  <c r="AM15" i="1" a="1"/>
  <c r="AM15" i="1" s="1"/>
  <c r="AO7" i="1" a="1"/>
  <c r="AO7" i="1" s="1"/>
  <c r="AQ7" i="1" a="1"/>
  <c r="AQ7" i="1" s="1"/>
  <c r="AP7" i="1" a="1"/>
  <c r="AP7" i="1" s="1"/>
  <c r="AT7" i="1" a="1"/>
  <c r="AT7" i="1" s="1"/>
  <c r="AN7" i="1" a="1"/>
  <c r="AN7" i="1" s="1"/>
  <c r="AU7" i="1" a="1"/>
  <c r="AU7" i="1" s="1"/>
  <c r="AS7" i="1" a="1"/>
  <c r="AS7" i="1" s="1"/>
  <c r="AV7" i="1" a="1"/>
  <c r="AV7" i="1" s="1"/>
  <c r="AM7" i="1" a="1"/>
  <c r="AM7" i="1" s="1"/>
  <c r="AR7" i="1" a="1"/>
  <c r="AR7" i="1" s="1"/>
  <c r="AO23" i="1" a="1"/>
  <c r="AO23" i="1" s="1"/>
  <c r="AQ23" i="1" a="1"/>
  <c r="AQ23" i="1" s="1"/>
  <c r="AP23" i="1" a="1"/>
  <c r="AP23" i="1" s="1"/>
  <c r="AT23" i="1" a="1"/>
  <c r="AT23" i="1" s="1"/>
  <c r="AS23" i="1" a="1"/>
  <c r="AS23" i="1" s="1"/>
  <c r="AV23" i="1" a="1"/>
  <c r="AV23" i="1" s="1"/>
  <c r="AN23" i="1" a="1"/>
  <c r="AN23" i="1" s="1"/>
  <c r="AR23" i="1" a="1"/>
  <c r="AR23" i="1" s="1"/>
  <c r="AM23" i="1" a="1"/>
  <c r="AM23" i="1" s="1"/>
  <c r="AU23" i="1" a="1"/>
  <c r="AU23" i="1" s="1"/>
  <c r="AD18" i="1" a="1"/>
  <c r="AD18" i="1" s="1"/>
  <c r="AR18" i="1" a="1"/>
  <c r="AR18" i="1" s="1"/>
  <c r="AS18" i="1" a="1"/>
  <c r="AS18" i="1" s="1"/>
  <c r="AT18" i="1" a="1"/>
  <c r="AT18" i="1" s="1"/>
  <c r="AP18" i="1" a="1"/>
  <c r="AP18" i="1" s="1"/>
  <c r="AN18" i="1" a="1"/>
  <c r="AN18" i="1" s="1"/>
  <c r="AQ18" i="1" a="1"/>
  <c r="AQ18" i="1" s="1"/>
  <c r="AM18" i="1" a="1"/>
  <c r="AM18" i="1" s="1"/>
  <c r="AU18" i="1" a="1"/>
  <c r="AU18" i="1" s="1"/>
  <c r="AO18" i="1" a="1"/>
  <c r="AO18" i="1" s="1"/>
  <c r="AV18" i="1" a="1"/>
  <c r="AV18" i="1" s="1"/>
  <c r="AK10" i="1" a="1"/>
  <c r="AK10" i="1" s="1"/>
  <c r="AS10" i="1" a="1"/>
  <c r="AS10" i="1" s="1"/>
  <c r="AR10" i="1" a="1"/>
  <c r="AR10" i="1" s="1"/>
  <c r="AT10" i="1" a="1"/>
  <c r="AT10" i="1" s="1"/>
  <c r="AP10" i="1" a="1"/>
  <c r="AP10" i="1" s="1"/>
  <c r="AV10" i="1" a="1"/>
  <c r="AV10" i="1" s="1"/>
  <c r="AN10" i="1" a="1"/>
  <c r="AN10" i="1" s="1"/>
  <c r="AQ10" i="1" a="1"/>
  <c r="AQ10" i="1" s="1"/>
  <c r="AO10" i="1" a="1"/>
  <c r="AO10" i="1" s="1"/>
  <c r="AU10" i="1" a="1"/>
  <c r="AU10" i="1" s="1"/>
  <c r="AM10" i="1" a="1"/>
  <c r="AM10" i="1" s="1"/>
  <c r="AC26" i="1" a="1"/>
  <c r="AC26" i="1" s="1"/>
  <c r="AP26" i="1" a="1"/>
  <c r="AP26" i="1" s="1"/>
  <c r="AQ26" i="1" a="1"/>
  <c r="AQ26" i="1" s="1"/>
  <c r="AR26" i="1" a="1"/>
  <c r="AR26" i="1" s="1"/>
  <c r="AS26" i="1" a="1"/>
  <c r="AS26" i="1" s="1"/>
  <c r="AT26" i="1" a="1"/>
  <c r="AT26" i="1" s="1"/>
  <c r="AU26" i="1" a="1"/>
  <c r="AU26" i="1" s="1"/>
  <c r="AO26" i="1" a="1"/>
  <c r="AO26" i="1" s="1"/>
  <c r="AV26" i="1" a="1"/>
  <c r="AV26" i="1" s="1"/>
  <c r="AM26" i="1" a="1"/>
  <c r="AM26" i="1" s="1"/>
  <c r="AN26" i="1" a="1"/>
  <c r="AN26" i="1" s="1"/>
  <c r="AF14" i="1" a="1"/>
  <c r="AF14" i="1" s="1"/>
  <c r="AS14" i="1" a="1"/>
  <c r="AS14" i="1" s="1"/>
  <c r="AR14" i="1" a="1"/>
  <c r="AR14" i="1" s="1"/>
  <c r="AP14" i="1" a="1"/>
  <c r="AP14" i="1" s="1"/>
  <c r="AT14" i="1" a="1"/>
  <c r="AT14" i="1" s="1"/>
  <c r="AN14" i="1" a="1"/>
  <c r="AN14" i="1" s="1"/>
  <c r="AQ14" i="1" a="1"/>
  <c r="AQ14" i="1" s="1"/>
  <c r="AO14" i="1" a="1"/>
  <c r="AO14" i="1" s="1"/>
  <c r="AU14" i="1" a="1"/>
  <c r="AU14" i="1" s="1"/>
  <c r="AM14" i="1" a="1"/>
  <c r="AM14" i="1" s="1"/>
  <c r="AV14" i="1" a="1"/>
  <c r="AV14" i="1" s="1"/>
  <c r="AE6" i="1" a="1"/>
  <c r="AE6" i="1" s="1"/>
  <c r="AP6" i="1" a="1"/>
  <c r="AP6" i="1" s="1"/>
  <c r="AS6" i="1" a="1"/>
  <c r="AS6" i="1" s="1"/>
  <c r="AR6" i="1" a="1"/>
  <c r="AR6" i="1" s="1"/>
  <c r="AT6" i="1" a="1"/>
  <c r="AT6" i="1" s="1"/>
  <c r="AV6" i="1" a="1"/>
  <c r="AV6" i="1" s="1"/>
  <c r="AN6" i="1" a="1"/>
  <c r="AN6" i="1" s="1"/>
  <c r="AQ6" i="1" a="1"/>
  <c r="AQ6" i="1" s="1"/>
  <c r="AO6" i="1" a="1"/>
  <c r="AO6" i="1" s="1"/>
  <c r="AU6" i="1" a="1"/>
  <c r="AU6" i="1" s="1"/>
  <c r="AM6" i="1" a="1"/>
  <c r="AM6" i="1" s="1"/>
  <c r="AK22" i="1" a="1"/>
  <c r="AK22" i="1" s="1"/>
  <c r="AP22" i="1" a="1"/>
  <c r="AP22" i="1" s="1"/>
  <c r="AS22" i="1" a="1"/>
  <c r="AS22" i="1" s="1"/>
  <c r="AR22" i="1" a="1"/>
  <c r="AR22" i="1" s="1"/>
  <c r="AT22" i="1" a="1"/>
  <c r="AT22" i="1" s="1"/>
  <c r="AQ22" i="1" a="1"/>
  <c r="AQ22" i="1" s="1"/>
  <c r="AO22" i="1" a="1"/>
  <c r="AO22" i="1" s="1"/>
  <c r="AU22" i="1" a="1"/>
  <c r="AU22" i="1" s="1"/>
  <c r="AM22" i="1" a="1"/>
  <c r="AM22" i="1" s="1"/>
  <c r="AV22" i="1" a="1"/>
  <c r="AV22" i="1" s="1"/>
  <c r="AN22" i="1" a="1"/>
  <c r="AN22" i="1" s="1"/>
  <c r="AE20" i="1" a="1"/>
  <c r="AE20" i="1" s="1"/>
  <c r="AQ20" i="1" a="1"/>
  <c r="AQ20" i="1" s="1"/>
  <c r="AS20" i="1" a="1"/>
  <c r="AS20" i="1" s="1"/>
  <c r="AR20" i="1" a="1"/>
  <c r="AR20" i="1" s="1"/>
  <c r="AO20" i="1" a="1"/>
  <c r="AO20" i="1" s="1"/>
  <c r="AN20" i="1" a="1"/>
  <c r="AN20" i="1" s="1"/>
  <c r="AU20" i="1" a="1"/>
  <c r="AU20" i="1" s="1"/>
  <c r="AV20" i="1" a="1"/>
  <c r="AV20" i="1" s="1"/>
  <c r="AM20" i="1" a="1"/>
  <c r="AM20" i="1" s="1"/>
  <c r="AP20" i="1" a="1"/>
  <c r="AP20" i="1" s="1"/>
  <c r="AT20" i="1" a="1"/>
  <c r="AT20" i="1" s="1"/>
  <c r="AE12" i="1" a="1"/>
  <c r="AE12" i="1" s="1"/>
  <c r="AQ12" i="1" a="1"/>
  <c r="AQ12" i="1" s="1"/>
  <c r="AS12" i="1" a="1"/>
  <c r="AS12" i="1" s="1"/>
  <c r="AR12" i="1" a="1"/>
  <c r="AR12" i="1" s="1"/>
  <c r="AO12" i="1" a="1"/>
  <c r="AO12" i="1" s="1"/>
  <c r="AT12" i="1" a="1"/>
  <c r="AT12" i="1" s="1"/>
  <c r="AN12" i="1" a="1"/>
  <c r="AN12" i="1" s="1"/>
  <c r="AU12" i="1" a="1"/>
  <c r="AU12" i="1" s="1"/>
  <c r="AM12" i="1" a="1"/>
  <c r="AM12" i="1" s="1"/>
  <c r="AV12" i="1" a="1"/>
  <c r="AV12" i="1" s="1"/>
  <c r="AP12" i="1" a="1"/>
  <c r="AP12" i="1" s="1"/>
  <c r="AF4" i="1" a="1"/>
  <c r="AF4" i="1" s="1"/>
  <c r="AQ4" i="1" a="1"/>
  <c r="AQ4" i="1" s="1"/>
  <c r="AS4" i="1" a="1"/>
  <c r="AS4" i="1" s="1"/>
  <c r="AR4" i="1" a="1"/>
  <c r="AR4" i="1" s="1"/>
  <c r="AO4" i="1" a="1"/>
  <c r="AO4" i="1" s="1"/>
  <c r="AP4" i="1" a="1"/>
  <c r="AP4" i="1" s="1"/>
  <c r="AV4" i="1" a="1"/>
  <c r="AV4" i="1" s="1"/>
  <c r="AT4" i="1" a="1"/>
  <c r="AT4" i="1" s="1"/>
  <c r="AN4" i="1" a="1"/>
  <c r="AN4" i="1" s="1"/>
  <c r="AM4" i="1" a="1"/>
  <c r="AM4" i="1" s="1"/>
  <c r="AU4" i="1" a="1"/>
  <c r="AU4" i="1" s="1"/>
  <c r="AJ19" i="1" a="1"/>
  <c r="AJ19" i="1" s="1"/>
  <c r="AP19" i="1" a="1"/>
  <c r="AP19" i="1" s="1"/>
  <c r="AQ19" i="1" a="1"/>
  <c r="AQ19" i="1" s="1"/>
  <c r="AT19" i="1" a="1"/>
  <c r="AT19" i="1" s="1"/>
  <c r="AO19" i="1" a="1"/>
  <c r="AO19" i="1" s="1"/>
  <c r="AU19" i="1" a="1"/>
  <c r="AU19" i="1" s="1"/>
  <c r="AS19" i="1" a="1"/>
  <c r="AS19" i="1" s="1"/>
  <c r="AV19" i="1" a="1"/>
  <c r="AV19" i="1" s="1"/>
  <c r="AN19" i="1" a="1"/>
  <c r="AN19" i="1" s="1"/>
  <c r="AM19" i="1" a="1"/>
  <c r="AM19" i="1" s="1"/>
  <c r="AR19" i="1" a="1"/>
  <c r="AR19" i="1" s="1"/>
  <c r="AB11" i="1" a="1"/>
  <c r="AB11" i="1" s="1"/>
  <c r="AP11" i="1" a="1"/>
  <c r="AP11" i="1" s="1"/>
  <c r="AQ11" i="1" a="1"/>
  <c r="AQ11" i="1" s="1"/>
  <c r="AO11" i="1" a="1"/>
  <c r="AO11" i="1" s="1"/>
  <c r="AT11" i="1" a="1"/>
  <c r="AT11" i="1" s="1"/>
  <c r="AU11" i="1" a="1"/>
  <c r="AU11" i="1" s="1"/>
  <c r="AN11" i="1" a="1"/>
  <c r="AN11" i="1" s="1"/>
  <c r="AM11" i="1" a="1"/>
  <c r="AM11" i="1" s="1"/>
  <c r="AS11" i="1" a="1"/>
  <c r="AS11" i="1" s="1"/>
  <c r="AV11" i="1" a="1"/>
  <c r="AV11" i="1" s="1"/>
  <c r="AR11" i="1" a="1"/>
  <c r="AR11" i="1" s="1"/>
  <c r="AE27" i="1" a="1"/>
  <c r="AE27" i="1" s="1"/>
  <c r="AQ27" i="1" a="1"/>
  <c r="AQ27" i="1" s="1"/>
  <c r="AO27" i="1" a="1"/>
  <c r="AO27" i="1" s="1"/>
  <c r="AT27" i="1" a="1"/>
  <c r="AT27" i="1" s="1"/>
  <c r="AS27" i="1" a="1"/>
  <c r="AS27" i="1" s="1"/>
  <c r="AV27" i="1" a="1"/>
  <c r="AV27" i="1" s="1"/>
  <c r="AP27" i="1" a="1"/>
  <c r="AP27" i="1" s="1"/>
  <c r="AN27" i="1" a="1"/>
  <c r="AN27" i="1" s="1"/>
  <c r="AR27" i="1" a="1"/>
  <c r="AR27" i="1" s="1"/>
  <c r="AM27" i="1" a="1"/>
  <c r="AM27" i="1" s="1"/>
  <c r="AU27" i="1" a="1"/>
  <c r="AU27" i="1" s="1"/>
  <c r="AO17" i="1" a="1"/>
  <c r="AO17" i="1" s="1"/>
  <c r="AP17" i="1" a="1"/>
  <c r="AP17" i="1" s="1"/>
  <c r="AV17" i="1" a="1"/>
  <c r="AV17" i="1" s="1"/>
  <c r="AN17" i="1" a="1"/>
  <c r="AN17" i="1" s="1"/>
  <c r="AS17" i="1" a="1"/>
  <c r="AS17" i="1" s="1"/>
  <c r="AQ17" i="1" a="1"/>
  <c r="AQ17" i="1" s="1"/>
  <c r="AR17" i="1" a="1"/>
  <c r="AR17" i="1" s="1"/>
  <c r="AU17" i="1" a="1"/>
  <c r="AU17" i="1" s="1"/>
  <c r="AT17" i="1" a="1"/>
  <c r="AT17" i="1" s="1"/>
  <c r="AM17" i="1" a="1"/>
  <c r="AM17" i="1" s="1"/>
  <c r="AO9" i="1" a="1"/>
  <c r="AO9" i="1" s="1"/>
  <c r="AP9" i="1" a="1"/>
  <c r="AP9" i="1" s="1"/>
  <c r="AU9" i="1" a="1"/>
  <c r="AU9" i="1" s="1"/>
  <c r="AM9" i="1" a="1"/>
  <c r="AM9" i="1" s="1"/>
  <c r="AT9" i="1" a="1"/>
  <c r="AT9" i="1" s="1"/>
  <c r="AN9" i="1" a="1"/>
  <c r="AN9" i="1" s="1"/>
  <c r="AV9" i="1" a="1"/>
  <c r="AV9" i="1" s="1"/>
  <c r="AS9" i="1" a="1"/>
  <c r="AS9" i="1" s="1"/>
  <c r="AQ9" i="1" a="1"/>
  <c r="AQ9" i="1" s="1"/>
  <c r="AR9" i="1" a="1"/>
  <c r="AR9" i="1" s="1"/>
  <c r="AC25" i="1" a="1"/>
  <c r="AC25" i="1" s="1"/>
  <c r="AQ25" i="1" a="1"/>
  <c r="AQ25" i="1" s="1"/>
  <c r="AO25" i="1" a="1"/>
  <c r="AO25" i="1" s="1"/>
  <c r="AP25" i="1" a="1"/>
  <c r="AP25" i="1" s="1"/>
  <c r="AS25" i="1" a="1"/>
  <c r="AS25" i="1" s="1"/>
  <c r="AR25" i="1" a="1"/>
  <c r="AR25" i="1" s="1"/>
  <c r="AU25" i="1" a="1"/>
  <c r="AU25" i="1" s="1"/>
  <c r="AT25" i="1" a="1"/>
  <c r="AT25" i="1" s="1"/>
  <c r="AV25" i="1" a="1"/>
  <c r="AV25" i="1" s="1"/>
  <c r="AM25" i="1" a="1"/>
  <c r="AM25" i="1" s="1"/>
  <c r="AN25" i="1" a="1"/>
  <c r="AN25" i="1" s="1"/>
  <c r="AG16" i="1" a="1"/>
  <c r="AG16" i="1" s="1"/>
  <c r="AO16" i="1" a="1"/>
  <c r="AO16" i="1" s="1"/>
  <c r="AQ16" i="1" a="1"/>
  <c r="AQ16" i="1" s="1"/>
  <c r="AS16" i="1" a="1"/>
  <c r="AS16" i="1" s="1"/>
  <c r="AR16" i="1" a="1"/>
  <c r="AR16" i="1" s="1"/>
  <c r="AP16" i="1" a="1"/>
  <c r="AP16" i="1" s="1"/>
  <c r="AN16" i="1" a="1"/>
  <c r="AN16" i="1" s="1"/>
  <c r="AU16" i="1" a="1"/>
  <c r="AU16" i="1" s="1"/>
  <c r="AV16" i="1" a="1"/>
  <c r="AV16" i="1" s="1"/>
  <c r="AM16" i="1" a="1"/>
  <c r="AM16" i="1" s="1"/>
  <c r="AT16" i="1" a="1"/>
  <c r="AT16" i="1" s="1"/>
  <c r="AE8" i="1" a="1"/>
  <c r="AE8" i="1" s="1"/>
  <c r="AO8" i="1" a="1"/>
  <c r="AO8" i="1" s="1"/>
  <c r="AQ8" i="1" a="1"/>
  <c r="AQ8" i="1" s="1"/>
  <c r="AS8" i="1" a="1"/>
  <c r="AS8" i="1" s="1"/>
  <c r="AR8" i="1" a="1"/>
  <c r="AR8" i="1" s="1"/>
  <c r="AP8" i="1" a="1"/>
  <c r="AP8" i="1" s="1"/>
  <c r="AT8" i="1" a="1"/>
  <c r="AT8" i="1" s="1"/>
  <c r="AN8" i="1" a="1"/>
  <c r="AN8" i="1" s="1"/>
  <c r="AU8" i="1" a="1"/>
  <c r="AU8" i="1" s="1"/>
  <c r="AM8" i="1" a="1"/>
  <c r="AM8" i="1" s="1"/>
  <c r="AV8" i="1" a="1"/>
  <c r="AV8" i="1" s="1"/>
  <c r="AH24" i="1" a="1"/>
  <c r="AH24" i="1" s="1"/>
  <c r="AO24" i="1" a="1"/>
  <c r="AO24" i="1" s="1"/>
  <c r="AQ24" i="1" a="1"/>
  <c r="AQ24" i="1" s="1"/>
  <c r="AS24" i="1" a="1"/>
  <c r="AS24" i="1" s="1"/>
  <c r="AR24" i="1" a="1"/>
  <c r="AR24" i="1" s="1"/>
  <c r="AU24" i="1" a="1"/>
  <c r="AU24" i="1" s="1"/>
  <c r="AV24" i="1" a="1"/>
  <c r="AV24" i="1" s="1"/>
  <c r="AM24" i="1" a="1"/>
  <c r="AM24" i="1" s="1"/>
  <c r="AT24" i="1" a="1"/>
  <c r="AT24" i="1" s="1"/>
  <c r="AP24" i="1" a="1"/>
  <c r="AP24" i="1" s="1"/>
  <c r="AN24" i="1" a="1"/>
  <c r="AN24" i="1" s="1"/>
  <c r="AJ16" i="1" a="1"/>
  <c r="AJ16" i="1" s="1"/>
  <c r="AK19" i="1" a="1"/>
  <c r="AK19" i="1" s="1"/>
  <c r="AK27" i="1" a="1"/>
  <c r="AK27" i="1" s="1"/>
  <c r="AF12" i="1" a="1"/>
  <c r="AF12" i="1" s="1"/>
  <c r="AD27" i="1" a="1"/>
  <c r="AD27" i="1" s="1"/>
  <c r="X6" i="1" a="1"/>
  <c r="X6" i="1" s="1"/>
  <c r="AJ24" i="1" a="1"/>
  <c r="AJ24" i="1" s="1"/>
  <c r="AE4" i="1" a="1"/>
  <c r="AE4" i="1" s="1"/>
  <c r="X13" i="1" a="1"/>
  <c r="X13" i="1" s="1"/>
  <c r="X18" i="1" a="1"/>
  <c r="X18" i="1" s="1"/>
  <c r="AE19" i="1" a="1"/>
  <c r="AE19" i="1" s="1"/>
  <c r="AF20" i="1" a="1"/>
  <c r="AF20" i="1" s="1"/>
  <c r="X14" i="1" a="1"/>
  <c r="X14" i="1" s="1"/>
  <c r="AE11" i="1" a="1"/>
  <c r="AE11" i="1" s="1"/>
  <c r="X11" i="1" a="1"/>
  <c r="X11" i="1" s="1"/>
  <c r="AK18" i="1" a="1"/>
  <c r="AK18" i="1" s="1"/>
  <c r="AK11" i="1" a="1"/>
  <c r="AK11" i="1" s="1"/>
  <c r="AB15" i="1" a="1"/>
  <c r="AB15" i="1" s="1"/>
  <c r="AJ15" i="1" a="1"/>
  <c r="AJ15" i="1" s="1"/>
  <c r="AB7" i="1" a="1"/>
  <c r="AB7" i="1" s="1"/>
  <c r="AJ7" i="1" a="1"/>
  <c r="AJ7" i="1" s="1"/>
  <c r="AB23" i="1" a="1"/>
  <c r="AB23" i="1" s="1"/>
  <c r="AJ23" i="1" a="1"/>
  <c r="AJ23" i="1" s="1"/>
  <c r="AA21" i="1" a="1"/>
  <c r="AA21" i="1" s="1"/>
  <c r="AB21" i="1" a="1"/>
  <c r="AB21" i="1" s="1"/>
  <c r="Z21" i="1" a="1"/>
  <c r="Z21" i="1" s="1"/>
  <c r="AJ21" i="1" a="1"/>
  <c r="AJ21" i="1" s="1"/>
  <c r="AI21" i="1" a="1"/>
  <c r="AI21" i="1" s="1"/>
  <c r="AH21" i="1" a="1"/>
  <c r="AH21" i="1" s="1"/>
  <c r="AJ13" i="1" a="1"/>
  <c r="AJ13" i="1" s="1"/>
  <c r="AB13" i="1" a="1"/>
  <c r="AB13" i="1" s="1"/>
  <c r="AI13" i="1" a="1"/>
  <c r="AI13" i="1" s="1"/>
  <c r="AA13" i="1" a="1"/>
  <c r="AA13" i="1" s="1"/>
  <c r="Z13" i="1" a="1"/>
  <c r="Z13" i="1" s="1"/>
  <c r="AH13" i="1" a="1"/>
  <c r="AH13" i="1" s="1"/>
  <c r="AA5" i="1" a="1"/>
  <c r="AA5" i="1" s="1"/>
  <c r="Z5" i="1" a="1"/>
  <c r="Z5" i="1" s="1"/>
  <c r="AB5" i="1" a="1"/>
  <c r="AB5" i="1" s="1"/>
  <c r="AJ5" i="1" a="1"/>
  <c r="AJ5" i="1" s="1"/>
  <c r="AI5" i="1" a="1"/>
  <c r="AI5" i="1" s="1"/>
  <c r="AH5" i="1" a="1"/>
  <c r="AH5" i="1" s="1"/>
  <c r="AD26" i="1" a="1"/>
  <c r="AD26" i="1" s="1"/>
  <c r="X17" i="1" a="1"/>
  <c r="X17" i="1" s="1"/>
  <c r="AF17" i="1" a="1"/>
  <c r="AF17" i="1" s="1"/>
  <c r="AG17" i="1" a="1"/>
  <c r="AG17" i="1" s="1"/>
  <c r="Y17" i="1" a="1"/>
  <c r="Y17" i="1" s="1"/>
  <c r="AE17" i="1" a="1"/>
  <c r="AE17" i="1" s="1"/>
  <c r="AD17" i="1" a="1"/>
  <c r="AD17" i="1" s="1"/>
  <c r="AE9" i="1" a="1"/>
  <c r="AE9" i="1" s="1"/>
  <c r="AG9" i="1" a="1"/>
  <c r="AG9" i="1" s="1"/>
  <c r="Y9" i="1" a="1"/>
  <c r="Y9" i="1" s="1"/>
  <c r="AF9" i="1" a="1"/>
  <c r="AF9" i="1" s="1"/>
  <c r="AD9" i="1" a="1"/>
  <c r="AD9" i="1" s="1"/>
  <c r="AG25" i="1" a="1"/>
  <c r="AG25" i="1" s="1"/>
  <c r="Y25" i="1" a="1"/>
  <c r="Y25" i="1" s="1"/>
  <c r="AF25" i="1" a="1"/>
  <c r="AF25" i="1" s="1"/>
  <c r="AE25" i="1" a="1"/>
  <c r="AE25" i="1" s="1"/>
  <c r="AD25" i="1" a="1"/>
  <c r="AD25" i="1" s="1"/>
  <c r="AK26" i="1" a="1"/>
  <c r="AK26" i="1" s="1"/>
  <c r="AG21" i="1" a="1"/>
  <c r="AG21" i="1" s="1"/>
  <c r="AC17" i="1" a="1"/>
  <c r="AC17" i="1" s="1"/>
  <c r="Y13" i="1" a="1"/>
  <c r="Y13" i="1" s="1"/>
  <c r="AI8" i="1" a="1"/>
  <c r="AI8" i="1" s="1"/>
  <c r="AG22" i="1" a="1"/>
  <c r="AG22" i="1" s="1"/>
  <c r="AD11" i="1" a="1"/>
  <c r="AD11" i="1" s="1"/>
  <c r="AB25" i="1" a="1"/>
  <c r="AB25" i="1" s="1"/>
  <c r="Y14" i="1" a="1"/>
  <c r="Y14" i="1" s="1"/>
  <c r="AJ18" i="1" a="1"/>
  <c r="AJ18" i="1" s="1"/>
  <c r="AG7" i="1" a="1"/>
  <c r="AG7" i="1" s="1"/>
  <c r="AE21" i="1" a="1"/>
  <c r="AE21" i="1" s="1"/>
  <c r="AB10" i="1" a="1"/>
  <c r="AB10" i="1" s="1"/>
  <c r="Z24" i="1" a="1"/>
  <c r="Z24" i="1" s="1"/>
  <c r="AF24" i="1" a="1"/>
  <c r="AF24" i="1" s="1"/>
  <c r="AC13" i="1" a="1"/>
  <c r="AC13" i="1" s="1"/>
  <c r="AC23" i="1" a="1"/>
  <c r="AC23" i="1" s="1"/>
  <c r="AI10" i="1" a="1"/>
  <c r="AI10" i="1" s="1"/>
  <c r="AG24" i="1" a="1"/>
  <c r="AG24" i="1" s="1"/>
  <c r="AD13" i="1" a="1"/>
  <c r="AD13" i="1" s="1"/>
  <c r="AB27" i="1" a="1"/>
  <c r="AB27" i="1" s="1"/>
  <c r="Y16" i="1" a="1"/>
  <c r="Y16" i="1" s="1"/>
  <c r="AE16" i="1" a="1"/>
  <c r="AE16" i="1" s="1"/>
  <c r="AK9" i="1" a="1"/>
  <c r="AK9" i="1" s="1"/>
  <c r="AH6" i="1" a="1"/>
  <c r="AH6" i="1" s="1"/>
  <c r="Y21" i="1" a="1"/>
  <c r="Y21" i="1" s="1"/>
  <c r="AI16" i="1" a="1"/>
  <c r="AI16" i="1" s="1"/>
  <c r="AF5" i="1" a="1"/>
  <c r="AF5" i="1" s="1"/>
  <c r="AD19" i="1" a="1"/>
  <c r="AD19" i="1" s="1"/>
  <c r="AA8" i="1" a="1"/>
  <c r="AA8" i="1" s="1"/>
  <c r="Y22" i="1" a="1"/>
  <c r="Y22" i="1" s="1"/>
  <c r="AJ26" i="1" a="1"/>
  <c r="AJ26" i="1" s="1"/>
  <c r="AG15" i="1" a="1"/>
  <c r="AG15" i="1" s="1"/>
  <c r="AD4" i="1" a="1"/>
  <c r="AD4" i="1" s="1"/>
  <c r="AB18" i="1" a="1"/>
  <c r="AB18" i="1" s="1"/>
  <c r="Y7" i="1" a="1"/>
  <c r="Y7" i="1" s="1"/>
  <c r="AE7" i="1" a="1"/>
  <c r="AE7" i="1" s="1"/>
  <c r="AC21" i="1" a="1"/>
  <c r="AC21" i="1" s="1"/>
  <c r="AK5" i="1" a="1"/>
  <c r="AK5" i="1" s="1"/>
  <c r="AI18" i="1" a="1"/>
  <c r="AI18" i="1" s="1"/>
  <c r="AF7" i="1" a="1"/>
  <c r="AF7" i="1" s="1"/>
  <c r="AD21" i="1" a="1"/>
  <c r="AD21" i="1" s="1"/>
  <c r="AA10" i="1" a="1"/>
  <c r="AA10" i="1" s="1"/>
  <c r="Y24" i="1" a="1"/>
  <c r="Y24" i="1" s="1"/>
  <c r="AE24" i="1" a="1"/>
  <c r="AE24" i="1" s="1"/>
  <c r="AK7" i="1" a="1"/>
  <c r="AK7" i="1" s="1"/>
  <c r="AK17" i="1" a="1"/>
  <c r="AK17" i="1" s="1"/>
  <c r="Z6" i="1" a="1"/>
  <c r="Z6" i="1" s="1"/>
  <c r="AA16" i="1" a="1"/>
  <c r="AA16" i="1" s="1"/>
  <c r="AI9" i="1" a="1"/>
  <c r="AI9" i="1" s="1"/>
  <c r="AG23" i="1" a="1"/>
  <c r="AG23" i="1" s="1"/>
  <c r="AD12" i="1" a="1"/>
  <c r="AD12" i="1" s="1"/>
  <c r="AB26" i="1" a="1"/>
  <c r="AB26" i="1" s="1"/>
  <c r="Y15" i="1" a="1"/>
  <c r="Y15" i="1" s="1"/>
  <c r="AE15" i="1" a="1"/>
  <c r="AE15" i="1" s="1"/>
  <c r="AK13" i="1" a="1"/>
  <c r="AK13" i="1" s="1"/>
  <c r="AI26" i="1" a="1"/>
  <c r="AI26" i="1" s="1"/>
  <c r="AF15" i="1" a="1"/>
  <c r="AF15" i="1" s="1"/>
  <c r="AC4" i="1" a="1"/>
  <c r="AC4" i="1" s="1"/>
  <c r="AA18" i="1" a="1"/>
  <c r="AA18" i="1" s="1"/>
  <c r="AK14" i="1" a="1"/>
  <c r="AK14" i="1" s="1"/>
  <c r="AD7" i="1" a="1"/>
  <c r="AD7" i="1" s="1"/>
  <c r="AK15" i="1" a="1"/>
  <c r="AK15" i="1" s="1"/>
  <c r="AK25" i="1" a="1"/>
  <c r="AK25" i="1" s="1"/>
  <c r="AG5" i="1" a="1"/>
  <c r="AG5" i="1" s="1"/>
  <c r="AH7" i="1" a="1"/>
  <c r="AH7" i="1" s="1"/>
  <c r="AF21" i="1" a="1"/>
  <c r="AF21" i="1" s="1"/>
  <c r="AC10" i="1" a="1"/>
  <c r="AC10" i="1" s="1"/>
  <c r="AA24" i="1" a="1"/>
  <c r="AA24" i="1" s="1"/>
  <c r="AK4" i="1" a="1"/>
  <c r="AK4" i="1" s="1"/>
  <c r="AI17" i="1" a="1"/>
  <c r="AI17" i="1" s="1"/>
  <c r="AF6" i="1" a="1"/>
  <c r="AF6" i="1" s="1"/>
  <c r="AD20" i="1" a="1"/>
  <c r="AD20" i="1" s="1"/>
  <c r="AA9" i="1" a="1"/>
  <c r="AA9" i="1" s="1"/>
  <c r="Y23" i="1" a="1"/>
  <c r="Y23" i="1" s="1"/>
  <c r="AE23" i="1" a="1"/>
  <c r="AE23" i="1" s="1"/>
  <c r="AD8" i="1" a="1"/>
  <c r="AD8" i="1" s="1"/>
  <c r="AK21" i="1" a="1"/>
  <c r="AK21" i="1" s="1"/>
  <c r="AH9" i="1" a="1"/>
  <c r="AH9" i="1" s="1"/>
  <c r="AF23" i="1" a="1"/>
  <c r="AF23" i="1" s="1"/>
  <c r="AC12" i="1" a="1"/>
  <c r="AC12" i="1" s="1"/>
  <c r="AA26" i="1" a="1"/>
  <c r="AA26" i="1" s="1"/>
  <c r="AC8" i="1" a="1"/>
  <c r="AC8" i="1" s="1"/>
  <c r="AD15" i="1" a="1"/>
  <c r="AD15" i="1" s="1"/>
  <c r="AK23" i="1" a="1"/>
  <c r="AK23" i="1" s="1"/>
  <c r="Y5" i="1" a="1"/>
  <c r="Y5" i="1" s="1"/>
  <c r="AB16" i="1" a="1"/>
  <c r="AB16" i="1" s="1"/>
  <c r="AB24" i="1" a="1"/>
  <c r="AB24" i="1" s="1"/>
  <c r="AC18" i="1" a="1"/>
  <c r="AC18" i="1" s="1"/>
  <c r="Z7" i="1" a="1"/>
  <c r="Z7" i="1" s="1"/>
  <c r="AK12" i="1" a="1"/>
  <c r="AK12" i="1" s="1"/>
  <c r="AI25" i="1" a="1"/>
  <c r="AI25" i="1" s="1"/>
  <c r="AA17" i="1" a="1"/>
  <c r="AA17" i="1" s="1"/>
  <c r="AD6" i="1" a="1"/>
  <c r="AD6" i="1" s="1"/>
  <c r="AD16" i="1" a="1"/>
  <c r="AD16" i="1" s="1"/>
  <c r="AH17" i="1" a="1"/>
  <c r="AH17" i="1" s="1"/>
  <c r="AC20" i="1" a="1"/>
  <c r="AC20" i="1" s="1"/>
  <c r="Z9" i="1" a="1"/>
  <c r="Z9" i="1" s="1"/>
  <c r="AC16" i="1" a="1"/>
  <c r="AC16" i="1" s="1"/>
  <c r="AD23" i="1" a="1"/>
  <c r="AD23" i="1" s="1"/>
  <c r="AK8" i="1" a="1"/>
  <c r="AK8" i="1" s="1"/>
  <c r="AJ8" i="1" a="1"/>
  <c r="AJ8" i="1" s="1"/>
  <c r="AA14" i="1" a="1"/>
  <c r="AA14" i="1" s="1"/>
  <c r="AB14" i="1" a="1"/>
  <c r="AB14" i="1" s="1"/>
  <c r="AJ14" i="1" a="1"/>
  <c r="AJ14" i="1" s="1"/>
  <c r="AI14" i="1" a="1"/>
  <c r="AI14" i="1" s="1"/>
  <c r="AA6" i="1" a="1"/>
  <c r="AA6" i="1" s="1"/>
  <c r="AB6" i="1" a="1"/>
  <c r="AB6" i="1" s="1"/>
  <c r="AJ6" i="1" a="1"/>
  <c r="AJ6" i="1" s="1"/>
  <c r="AI6" i="1" a="1"/>
  <c r="AI6" i="1" s="1"/>
  <c r="AB22" i="1" a="1"/>
  <c r="AB22" i="1" s="1"/>
  <c r="AI22" i="1" a="1"/>
  <c r="AI22" i="1" s="1"/>
  <c r="AA22" i="1" a="1"/>
  <c r="AA22" i="1" s="1"/>
  <c r="AA15" i="1" a="1"/>
  <c r="AA15" i="1" s="1"/>
  <c r="AH14" i="1" a="1"/>
  <c r="AH14" i="1" s="1"/>
  <c r="AA23" i="1" a="1"/>
  <c r="AA23" i="1" s="1"/>
  <c r="AJ9" i="1" a="1"/>
  <c r="AJ9" i="1" s="1"/>
  <c r="AH23" i="1" a="1"/>
  <c r="AH23" i="1" s="1"/>
  <c r="Z15" i="1" a="1"/>
  <c r="Z15" i="1" s="1"/>
  <c r="AK20" i="1" a="1"/>
  <c r="AK20" i="1" s="1"/>
  <c r="AH8" i="1" a="1"/>
  <c r="AH8" i="1" s="1"/>
  <c r="AF22" i="1" a="1"/>
  <c r="AF22" i="1" s="1"/>
  <c r="AC11" i="1" a="1"/>
  <c r="AC11" i="1" s="1"/>
  <c r="AA25" i="1" a="1"/>
  <c r="AA25" i="1" s="1"/>
  <c r="AD14" i="1" a="1"/>
  <c r="AD14" i="1" s="1"/>
  <c r="AD24" i="1" a="1"/>
  <c r="AD24" i="1" s="1"/>
  <c r="AJ11" i="1" a="1"/>
  <c r="AJ11" i="1" s="1"/>
  <c r="AH25" i="1" a="1"/>
  <c r="AH25" i="1" s="1"/>
  <c r="AE14" i="1" a="1"/>
  <c r="AE14" i="1" s="1"/>
  <c r="Z17" i="1" a="1"/>
  <c r="Z17" i="1" s="1"/>
  <c r="AC24" i="1" a="1"/>
  <c r="AC24" i="1" s="1"/>
  <c r="AC6" i="1" a="1"/>
  <c r="AC6" i="1" s="1"/>
  <c r="AK16" i="1" a="1"/>
  <c r="AK16" i="1" s="1"/>
  <c r="AB8" i="1" a="1"/>
  <c r="AB8" i="1" s="1"/>
  <c r="AD10" i="1" a="1"/>
  <c r="AD10" i="1" s="1"/>
  <c r="AI24" i="1" a="1"/>
  <c r="AI24" i="1" s="1"/>
  <c r="AI15" i="1" a="1"/>
  <c r="AI15" i="1" s="1"/>
  <c r="X16" i="1" a="1"/>
  <c r="X16" i="1" s="1"/>
  <c r="AH22" i="1" a="1"/>
  <c r="AH22" i="1" s="1"/>
  <c r="Z14" i="1" a="1"/>
  <c r="Z14" i="1" s="1"/>
  <c r="AJ17" i="1" a="1"/>
  <c r="AJ17" i="1" s="1"/>
  <c r="AG6" i="1" a="1"/>
  <c r="AG6" i="1" s="1"/>
  <c r="AB9" i="1" a="1"/>
  <c r="AB9" i="1" s="1"/>
  <c r="Z23" i="1" a="1"/>
  <c r="Z23" i="1" s="1"/>
  <c r="AH16" i="1" a="1"/>
  <c r="AH16" i="1" s="1"/>
  <c r="AE5" i="1" a="1"/>
  <c r="AE5" i="1" s="1"/>
  <c r="AC19" i="1" a="1"/>
  <c r="AC19" i="1" s="1"/>
  <c r="Z8" i="1" a="1"/>
  <c r="Z8" i="1" s="1"/>
  <c r="AF8" i="1" a="1"/>
  <c r="AF8" i="1" s="1"/>
  <c r="AD22" i="1" a="1"/>
  <c r="AD22" i="1" s="1"/>
  <c r="AC7" i="1" a="1"/>
  <c r="AC7" i="1" s="1"/>
  <c r="AG8" i="1" a="1"/>
  <c r="AG8" i="1" s="1"/>
  <c r="AE22" i="1" a="1"/>
  <c r="AE22" i="1" s="1"/>
  <c r="Z25" i="1" a="1"/>
  <c r="Z25" i="1" s="1"/>
  <c r="AK6" i="1" a="1"/>
  <c r="AK6" i="1" s="1"/>
  <c r="AC14" i="1" a="1"/>
  <c r="AC14" i="1" s="1"/>
  <c r="AK24" i="1" a="1"/>
  <c r="AK24" i="1" s="1"/>
  <c r="AI7" i="1" a="1"/>
  <c r="AI7" i="1" s="1"/>
  <c r="AI23" i="1" a="1"/>
  <c r="AI23" i="1" s="1"/>
  <c r="AH15" i="1" a="1"/>
  <c r="AH15" i="1" s="1"/>
  <c r="W20" i="1" a="1"/>
  <c r="W20" i="1" s="1"/>
  <c r="Y20" i="1" a="1"/>
  <c r="Y20" i="1" s="1"/>
  <c r="AA20" i="1" a="1"/>
  <c r="AA20" i="1" s="1"/>
  <c r="Z20" i="1" a="1"/>
  <c r="Z20" i="1" s="1"/>
  <c r="AJ20" i="1" a="1"/>
  <c r="AJ20" i="1" s="1"/>
  <c r="AB20" i="1" a="1"/>
  <c r="AB20" i="1" s="1"/>
  <c r="AH20" i="1" a="1"/>
  <c r="AH20" i="1" s="1"/>
  <c r="AG20" i="1" a="1"/>
  <c r="AG20" i="1" s="1"/>
  <c r="AI20" i="1" a="1"/>
  <c r="AI20" i="1" s="1"/>
  <c r="AJ12" i="1" a="1"/>
  <c r="AJ12" i="1" s="1"/>
  <c r="AA12" i="1" a="1"/>
  <c r="AA12" i="1" s="1"/>
  <c r="Y12" i="1" a="1"/>
  <c r="Y12" i="1" s="1"/>
  <c r="AG12" i="1" a="1"/>
  <c r="AG12" i="1" s="1"/>
  <c r="AH12" i="1" a="1"/>
  <c r="AH12" i="1" s="1"/>
  <c r="AB12" i="1" a="1"/>
  <c r="AB12" i="1" s="1"/>
  <c r="AI12" i="1" a="1"/>
  <c r="AI12" i="1" s="1"/>
  <c r="Z12" i="1" a="1"/>
  <c r="Z12" i="1" s="1"/>
  <c r="AI4" i="1" a="1"/>
  <c r="AI4" i="1" s="1"/>
  <c r="AJ4" i="1" a="1"/>
  <c r="AJ4" i="1" s="1"/>
  <c r="AB4" i="1" a="1"/>
  <c r="AB4" i="1" s="1"/>
  <c r="AA4" i="1" a="1"/>
  <c r="AA4" i="1" s="1"/>
  <c r="Z4" i="1" a="1"/>
  <c r="Z4" i="1" s="1"/>
  <c r="Y4" i="1" a="1"/>
  <c r="Y4" i="1" s="1"/>
  <c r="AH4" i="1" a="1"/>
  <c r="AH4" i="1" s="1"/>
  <c r="AG4" i="1" a="1"/>
  <c r="AG4" i="1" s="1"/>
  <c r="AG19" i="1" a="1"/>
  <c r="AG19" i="1" s="1"/>
  <c r="AH19" i="1" a="1"/>
  <c r="AH19" i="1" s="1"/>
  <c r="AI19" i="1" a="1"/>
  <c r="AI19" i="1" s="1"/>
  <c r="AA19" i="1" a="1"/>
  <c r="AA19" i="1" s="1"/>
  <c r="Z19" i="1" a="1"/>
  <c r="Z19" i="1" s="1"/>
  <c r="Y19" i="1" a="1"/>
  <c r="Y19" i="1" s="1"/>
  <c r="AF19" i="1" a="1"/>
  <c r="AF19" i="1" s="1"/>
  <c r="AA11" i="1" a="1"/>
  <c r="AA11" i="1" s="1"/>
  <c r="AG11" i="1" a="1"/>
  <c r="AG11" i="1" s="1"/>
  <c r="AH11" i="1" a="1"/>
  <c r="AH11" i="1" s="1"/>
  <c r="AI11" i="1" a="1"/>
  <c r="AI11" i="1" s="1"/>
  <c r="Z11" i="1" a="1"/>
  <c r="Z11" i="1" s="1"/>
  <c r="AF11" i="1" a="1"/>
  <c r="AF11" i="1" s="1"/>
  <c r="Y11" i="1" a="1"/>
  <c r="Y11" i="1" s="1"/>
  <c r="AH27" i="1" a="1"/>
  <c r="AH27" i="1" s="1"/>
  <c r="Z27" i="1" a="1"/>
  <c r="Z27" i="1" s="1"/>
  <c r="Y27" i="1" a="1"/>
  <c r="Y27" i="1" s="1"/>
  <c r="AI27" i="1" a="1"/>
  <c r="AI27" i="1" s="1"/>
  <c r="AA27" i="1" a="1"/>
  <c r="AA27" i="1" s="1"/>
  <c r="AF27" i="1" a="1"/>
  <c r="AF27" i="1" s="1"/>
  <c r="AG27" i="1" a="1"/>
  <c r="AG27" i="1" s="1"/>
  <c r="AH18" i="1" a="1"/>
  <c r="AH18" i="1" s="1"/>
  <c r="AE18" i="1" a="1"/>
  <c r="AE18" i="1" s="1"/>
  <c r="Z18" i="1" a="1"/>
  <c r="Z18" i="1" s="1"/>
  <c r="Y18" i="1" a="1"/>
  <c r="Y18" i="1" s="1"/>
  <c r="AF18" i="1" a="1"/>
  <c r="AF18" i="1" s="1"/>
  <c r="AG18" i="1" a="1"/>
  <c r="AG18" i="1" s="1"/>
  <c r="AH10" i="1" a="1"/>
  <c r="AH10" i="1" s="1"/>
  <c r="AE10" i="1" a="1"/>
  <c r="AE10" i="1" s="1"/>
  <c r="AF10" i="1" a="1"/>
  <c r="AF10" i="1" s="1"/>
  <c r="Y10" i="1" a="1"/>
  <c r="Y10" i="1" s="1"/>
  <c r="Z10" i="1" a="1"/>
  <c r="Z10" i="1" s="1"/>
  <c r="AG10" i="1" a="1"/>
  <c r="AG10" i="1" s="1"/>
  <c r="Z26" i="1" a="1"/>
  <c r="Z26" i="1" s="1"/>
  <c r="AH26" i="1" a="1"/>
  <c r="AH26" i="1" s="1"/>
  <c r="AG26" i="1" a="1"/>
  <c r="AG26" i="1" s="1"/>
  <c r="Y26" i="1" a="1"/>
  <c r="Y26" i="1" s="1"/>
  <c r="AE26" i="1" a="1"/>
  <c r="AE26" i="1" s="1"/>
  <c r="AF26" i="1" a="1"/>
  <c r="AF26" i="1" s="1"/>
  <c r="AG13" i="1" a="1"/>
  <c r="AG13" i="1" s="1"/>
  <c r="Z22" i="1" a="1"/>
  <c r="Z22" i="1" s="1"/>
  <c r="AJ25" i="1" a="1"/>
  <c r="AJ25" i="1" s="1"/>
  <c r="AG14" i="1" a="1"/>
  <c r="AG14" i="1" s="1"/>
  <c r="AB17" i="1" a="1"/>
  <c r="AB17" i="1" s="1"/>
  <c r="Y6" i="1" a="1"/>
  <c r="Y6" i="1" s="1"/>
  <c r="AJ10" i="1" a="1"/>
  <c r="AJ10" i="1" s="1"/>
  <c r="AE13" i="1" a="1"/>
  <c r="AE13" i="1" s="1"/>
  <c r="AC27" i="1" a="1"/>
  <c r="AC27" i="1" s="1"/>
  <c r="Z16" i="1" a="1"/>
  <c r="Z16" i="1" s="1"/>
  <c r="AF16" i="1" a="1"/>
  <c r="AF16" i="1" s="1"/>
  <c r="AC5" i="1" a="1"/>
  <c r="AC5" i="1" s="1"/>
  <c r="AC15" i="1" a="1"/>
  <c r="AC15" i="1" s="1"/>
  <c r="AJ27" i="1" a="1"/>
  <c r="AJ27" i="1" s="1"/>
  <c r="AD5" i="1" a="1"/>
  <c r="AD5" i="1" s="1"/>
  <c r="AB19" i="1" a="1"/>
  <c r="AB19" i="1" s="1"/>
  <c r="Y8" i="1" a="1"/>
  <c r="Y8" i="1" s="1"/>
  <c r="AC22" i="1" a="1"/>
  <c r="AC22" i="1" s="1"/>
  <c r="AA7" i="1" a="1"/>
  <c r="AA7" i="1" s="1"/>
  <c r="AC9" i="1" a="1"/>
  <c r="AC9" i="1" s="1"/>
  <c r="W21" i="1" a="1"/>
  <c r="W21" i="1" s="1"/>
  <c r="W13" i="1" a="1"/>
  <c r="W13" i="1" s="1"/>
  <c r="W6" i="1" a="1"/>
  <c r="W6" i="1" s="1"/>
  <c r="W22" i="1" a="1"/>
  <c r="W22" i="1" s="1"/>
  <c r="X5" i="1" a="1"/>
  <c r="X5" i="1" s="1"/>
  <c r="X10" i="1" a="1"/>
  <c r="X10" i="1" s="1"/>
  <c r="W19" i="1" a="1"/>
  <c r="W19" i="1" s="1"/>
  <c r="W5" i="1" a="1"/>
  <c r="W5" i="1" s="1"/>
  <c r="W27" i="1" a="1"/>
  <c r="W27" i="1" s="1"/>
  <c r="W15" i="1" a="1"/>
  <c r="W15" i="1" s="1"/>
  <c r="W11" i="1" a="1"/>
  <c r="W11" i="1" s="1"/>
  <c r="W14" i="1" a="1"/>
  <c r="W14" i="1" s="1"/>
  <c r="X21" i="1" a="1"/>
  <c r="X21" i="1" s="1"/>
  <c r="X7" i="1" a="1"/>
  <c r="X7" i="1" s="1"/>
  <c r="X27" i="1" a="1"/>
  <c r="X27" i="1" s="1"/>
  <c r="X19" i="1" a="1"/>
  <c r="X19" i="1" s="1"/>
  <c r="W17" i="1" a="1"/>
  <c r="W17" i="1" s="1"/>
  <c r="W9" i="1" a="1"/>
  <c r="W9" i="1" s="1"/>
  <c r="X9" i="1" a="1"/>
  <c r="X9" i="1" s="1"/>
  <c r="X25" i="1" a="1"/>
  <c r="X25" i="1" s="1"/>
  <c r="W25" i="1" a="1"/>
  <c r="W25" i="1" s="1"/>
  <c r="W16" i="1" a="1"/>
  <c r="W16" i="1" s="1"/>
  <c r="W8" i="1" a="1"/>
  <c r="W8" i="1" s="1"/>
  <c r="X24" i="1" a="1"/>
  <c r="X24" i="1" s="1"/>
  <c r="W24" i="1" a="1"/>
  <c r="W24" i="1" s="1"/>
  <c r="X12" i="1" a="1"/>
  <c r="X12" i="1" s="1"/>
  <c r="X15" i="1" a="1"/>
  <c r="X15" i="1" s="1"/>
  <c r="W12" i="1" a="1"/>
  <c r="W12" i="1" s="1"/>
  <c r="W4" i="1" a="1"/>
  <c r="W4" i="1" s="1"/>
  <c r="X4" i="1" a="1"/>
  <c r="X4" i="1" s="1"/>
  <c r="W18" i="1" a="1"/>
  <c r="W18" i="1" s="1"/>
  <c r="W10" i="1" a="1"/>
  <c r="W10" i="1" s="1"/>
  <c r="X26" i="1" a="1"/>
  <c r="X26" i="1" s="1"/>
  <c r="W7" i="1" a="1"/>
  <c r="W7" i="1" s="1"/>
  <c r="X23" i="1" a="1"/>
  <c r="X23" i="1" s="1"/>
  <c r="W23" i="1" a="1"/>
  <c r="W23" i="1" s="1"/>
  <c r="X20" i="1" a="1"/>
  <c r="X20" i="1" s="1"/>
  <c r="X8" i="1" a="1"/>
  <c r="X8" i="1" s="1"/>
  <c r="X22" i="1" a="1"/>
  <c r="X22" i="1" s="1"/>
  <c r="W26" i="1" a="1"/>
  <c r="W26" i="1" s="1"/>
  <c r="BC33" i="1" l="1"/>
  <c r="BC29" i="1"/>
  <c r="BC32" i="1"/>
  <c r="BC28" i="1"/>
  <c r="BC31" i="1"/>
  <c r="BC30" i="1"/>
  <c r="AZ29" i="1"/>
  <c r="AZ33" i="1"/>
  <c r="AZ30" i="1"/>
  <c r="AZ32" i="1"/>
  <c r="AZ31" i="1"/>
  <c r="AZ28" i="1"/>
  <c r="BO29" i="1"/>
  <c r="BO32" i="1"/>
  <c r="BO30" i="1"/>
  <c r="BO31" i="1"/>
  <c r="BO33" i="1"/>
  <c r="BO28" i="1"/>
  <c r="BA33" i="1"/>
  <c r="BA28" i="1"/>
  <c r="BA31" i="1"/>
  <c r="BA29" i="1"/>
  <c r="BA30" i="1"/>
  <c r="BA32" i="1"/>
  <c r="BB28" i="1"/>
  <c r="BB29" i="1"/>
  <c r="BB30" i="1"/>
  <c r="BB32" i="1"/>
  <c r="BB33" i="1"/>
  <c r="BB31" i="1"/>
  <c r="BK30" i="1"/>
  <c r="BK29" i="1"/>
  <c r="BK33" i="1"/>
  <c r="BK28" i="1"/>
  <c r="BK32" i="1"/>
  <c r="BK31" i="1"/>
  <c r="BL30" i="1"/>
  <c r="BL32" i="1"/>
  <c r="BL29" i="1"/>
  <c r="BL28" i="1"/>
  <c r="BL33" i="1"/>
  <c r="BL31" i="1"/>
  <c r="BE29" i="1"/>
  <c r="BE30" i="1"/>
  <c r="BE33" i="1"/>
  <c r="BE31" i="1"/>
  <c r="BE32" i="1"/>
  <c r="BE28" i="1"/>
  <c r="AY30" i="1"/>
  <c r="AY33" i="1"/>
  <c r="AY29" i="1"/>
  <c r="AY32" i="1"/>
  <c r="AY31" i="1"/>
  <c r="AY28" i="1"/>
  <c r="AX28" i="1"/>
  <c r="AX32" i="1"/>
  <c r="AX30" i="1"/>
  <c r="AX29" i="1"/>
  <c r="AX33" i="1"/>
  <c r="AX31" i="1"/>
  <c r="BF28" i="1"/>
  <c r="BF33" i="1"/>
  <c r="BF32" i="1"/>
  <c r="BF31" i="1"/>
  <c r="BF30" i="1"/>
  <c r="BF29" i="1"/>
  <c r="BN32" i="1"/>
  <c r="BN28" i="1"/>
  <c r="BN30" i="1"/>
  <c r="BN31" i="1"/>
  <c r="BN33" i="1"/>
  <c r="BN29" i="1"/>
  <c r="AW30" i="1"/>
  <c r="AW32" i="1"/>
  <c r="AW28" i="1"/>
  <c r="AW29" i="1"/>
  <c r="AW31" i="1"/>
  <c r="AW33" i="1"/>
  <c r="BI32" i="1"/>
  <c r="BI28" i="1"/>
  <c r="BI31" i="1"/>
  <c r="BI30" i="1"/>
  <c r="BI33" i="1"/>
  <c r="BI29" i="1"/>
  <c r="BP32" i="1"/>
  <c r="BP30" i="1"/>
  <c r="BP28" i="1"/>
  <c r="BP31" i="1"/>
  <c r="BP33" i="1"/>
  <c r="BP29" i="1"/>
  <c r="BM31" i="1"/>
  <c r="BM30" i="1"/>
  <c r="BM32" i="1"/>
  <c r="BM29" i="1"/>
  <c r="BM28" i="1"/>
  <c r="BM33" i="1"/>
  <c r="BH30" i="1"/>
  <c r="BH31" i="1"/>
  <c r="BH32" i="1"/>
  <c r="BH28" i="1"/>
  <c r="BH29" i="1"/>
  <c r="BH33" i="1"/>
  <c r="BJ30" i="1"/>
  <c r="BJ33" i="1"/>
  <c r="BJ28" i="1"/>
  <c r="BJ32" i="1"/>
  <c r="BJ31" i="1"/>
  <c r="BJ29" i="1"/>
  <c r="BD32" i="1"/>
  <c r="BD33" i="1"/>
  <c r="BD31" i="1"/>
  <c r="BD29" i="1"/>
  <c r="BD30" i="1"/>
  <c r="BD28" i="1"/>
  <c r="BG33" i="1"/>
  <c r="BG28" i="1"/>
  <c r="BG31" i="1"/>
  <c r="BG30" i="1"/>
  <c r="BG29" i="1"/>
  <c r="BG32" i="1"/>
  <c r="AP29" i="1"/>
  <c r="AR30" i="1"/>
  <c r="AS32" i="1"/>
  <c r="AQ33" i="1"/>
  <c r="AT31" i="1"/>
  <c r="AR32" i="1"/>
  <c r="AP33" i="1"/>
  <c r="AO33" i="1"/>
  <c r="AR28" i="1"/>
  <c r="AP32" i="1"/>
  <c r="AN31" i="1"/>
  <c r="AN32" i="1"/>
  <c r="AN33" i="1"/>
  <c r="AN29" i="1"/>
  <c r="AR33" i="1"/>
  <c r="AO32" i="1"/>
  <c r="AT30" i="1"/>
  <c r="AS28" i="1"/>
  <c r="AP28" i="1"/>
  <c r="AO31" i="1"/>
  <c r="AT29" i="1"/>
  <c r="AQ32" i="1"/>
  <c r="AS31" i="1"/>
  <c r="AP30" i="1"/>
  <c r="AV28" i="1"/>
  <c r="AV32" i="1"/>
  <c r="AV29" i="1"/>
  <c r="AV31" i="1"/>
  <c r="AR31" i="1"/>
  <c r="AO30" i="1"/>
  <c r="AT28" i="1"/>
  <c r="AQ28" i="1"/>
  <c r="AS30" i="1"/>
  <c r="AO29" i="1"/>
  <c r="AQ30" i="1"/>
  <c r="AS33" i="1"/>
  <c r="AP31" i="1"/>
  <c r="AR29" i="1"/>
  <c r="AO28" i="1"/>
  <c r="AQ29" i="1"/>
  <c r="AS29" i="1"/>
  <c r="AT33" i="1"/>
  <c r="AQ31" i="1"/>
  <c r="AU30" i="1"/>
  <c r="AU31" i="1"/>
  <c r="AU28" i="1"/>
  <c r="AU32" i="1"/>
  <c r="AU29" i="1"/>
  <c r="AU33" i="1"/>
  <c r="AT32" i="1"/>
  <c r="AV30" i="1"/>
  <c r="AV33" i="1"/>
  <c r="AM31" i="1"/>
  <c r="AM30" i="1"/>
  <c r="AM29" i="1"/>
  <c r="AM28" i="1"/>
  <c r="AM33" i="1"/>
  <c r="AM32" i="1"/>
  <c r="AN28" i="1"/>
  <c r="AN30" i="1"/>
  <c r="W32" i="1"/>
  <c r="F12" i="1" s="1"/>
  <c r="W31" i="1"/>
  <c r="E12" i="1" s="1"/>
  <c r="W33" i="1"/>
  <c r="G12" i="1" s="1"/>
  <c r="W29" i="1"/>
  <c r="W30" i="1"/>
  <c r="D12" i="1" s="1"/>
  <c r="W28" i="1"/>
  <c r="H12" i="1" s="1"/>
  <c r="AF33" i="1"/>
  <c r="G21" i="1" s="1"/>
  <c r="AA29" i="1"/>
  <c r="AI28" i="1"/>
  <c r="H24" i="1" s="1"/>
  <c r="AH31" i="1"/>
  <c r="E23" i="1" s="1"/>
  <c r="AE29" i="1"/>
  <c r="AD28" i="1"/>
  <c r="H19" i="1" s="1"/>
  <c r="AJ29" i="1"/>
  <c r="AE31" i="1"/>
  <c r="E20" i="1" s="1"/>
  <c r="AE32" i="1"/>
  <c r="F20" i="1" s="1"/>
  <c r="AA30" i="1"/>
  <c r="D16" i="1" s="1"/>
  <c r="AK28" i="1"/>
  <c r="H26" i="1" s="1"/>
  <c r="AH28" i="1"/>
  <c r="H23" i="1" s="1"/>
  <c r="AB28" i="1"/>
  <c r="H17" i="1" s="1"/>
  <c r="AF29" i="1"/>
  <c r="AH32" i="1"/>
  <c r="F23" i="1" s="1"/>
  <c r="AG28" i="1"/>
  <c r="H22" i="1" s="1"/>
  <c r="AA28" i="1"/>
  <c r="H16" i="1" s="1"/>
  <c r="AF32" i="1"/>
  <c r="F21" i="1" s="1"/>
  <c r="AJ30" i="1"/>
  <c r="D25" i="1" s="1"/>
  <c r="AF30" i="1"/>
  <c r="D21" i="1" s="1"/>
  <c r="AB31" i="1"/>
  <c r="E17" i="1" s="1"/>
  <c r="AB29" i="1"/>
  <c r="X30" i="1"/>
  <c r="D13" i="1" s="1"/>
  <c r="AK30" i="1"/>
  <c r="D26" i="1" s="1"/>
  <c r="AH30" i="1"/>
  <c r="D23" i="1" s="1"/>
  <c r="AI31" i="1"/>
  <c r="E24" i="1" s="1"/>
  <c r="AE28" i="1"/>
  <c r="H20" i="1" s="1"/>
  <c r="AE30" i="1"/>
  <c r="D20" i="1" s="1"/>
  <c r="X31" i="1"/>
  <c r="E13" i="1" s="1"/>
  <c r="AA33" i="1"/>
  <c r="G16" i="1" s="1"/>
  <c r="AD29" i="1"/>
  <c r="AH29" i="1"/>
  <c r="AH33" i="1"/>
  <c r="G23" i="1" s="1"/>
  <c r="X29" i="1"/>
  <c r="AD31" i="1"/>
  <c r="E19" i="1" s="1"/>
  <c r="AG33" i="1"/>
  <c r="G22" i="1" s="1"/>
  <c r="AA32" i="1"/>
  <c r="F16" i="1" s="1"/>
  <c r="AK31" i="1"/>
  <c r="E26" i="1" s="1"/>
  <c r="AB30" i="1"/>
  <c r="D17" i="1" s="1"/>
  <c r="AD30" i="1"/>
  <c r="D19" i="1" s="1"/>
  <c r="AF28" i="1"/>
  <c r="H21" i="1" s="1"/>
  <c r="AI29" i="1"/>
  <c r="AK32" i="1"/>
  <c r="F26" i="1" s="1"/>
  <c r="X28" i="1"/>
  <c r="H13" i="1" s="1"/>
  <c r="X32" i="1"/>
  <c r="F13" i="1" s="1"/>
  <c r="AD33" i="1"/>
  <c r="G19" i="1" s="1"/>
  <c r="AK33" i="1"/>
  <c r="G26" i="1" s="1"/>
  <c r="Z30" i="1"/>
  <c r="D15" i="1" s="1"/>
  <c r="Z33" i="1"/>
  <c r="G15" i="1" s="1"/>
  <c r="F7" i="1" s="1"/>
  <c r="Z31" i="1"/>
  <c r="E15" i="1" s="1"/>
  <c r="Z28" i="1"/>
  <c r="H15" i="1" s="1"/>
  <c r="Z29" i="1"/>
  <c r="Z32" i="1"/>
  <c r="F15" i="1" s="1"/>
  <c r="X33" i="1"/>
  <c r="G13" i="1" s="1"/>
  <c r="AB33" i="1"/>
  <c r="G17" i="1" s="1"/>
  <c r="AJ31" i="1"/>
  <c r="E25" i="1" s="1"/>
  <c r="AJ33" i="1"/>
  <c r="G25" i="1" s="1"/>
  <c r="AF31" i="1"/>
  <c r="E21" i="1" s="1"/>
  <c r="AB32" i="1"/>
  <c r="F17" i="1" s="1"/>
  <c r="AG31" i="1"/>
  <c r="E22" i="1" s="1"/>
  <c r="AJ32" i="1"/>
  <c r="F25" i="1" s="1"/>
  <c r="AC31" i="1"/>
  <c r="E18" i="1" s="1"/>
  <c r="AC32" i="1"/>
  <c r="F18" i="1" s="1"/>
  <c r="AC30" i="1"/>
  <c r="D18" i="1" s="1"/>
  <c r="AC29" i="1"/>
  <c r="AC33" i="1"/>
  <c r="G18" i="1" s="1"/>
  <c r="AC28" i="1"/>
  <c r="H18" i="1" s="1"/>
  <c r="AE33" i="1"/>
  <c r="G20" i="1" s="1"/>
  <c r="AJ28" i="1"/>
  <c r="H25" i="1" s="1"/>
  <c r="AG30" i="1"/>
  <c r="D22" i="1" s="1"/>
  <c r="AI33" i="1"/>
  <c r="G24" i="1" s="1"/>
  <c r="AA31" i="1"/>
  <c r="E16" i="1" s="1"/>
  <c r="AD32" i="1"/>
  <c r="F19" i="1" s="1"/>
  <c r="AG32" i="1"/>
  <c r="F22" i="1" s="1"/>
  <c r="AI30" i="1"/>
  <c r="D24" i="1" s="1"/>
  <c r="AK29" i="1"/>
  <c r="AG29" i="1"/>
  <c r="AI32" i="1"/>
  <c r="F24" i="1" s="1"/>
  <c r="Y30" i="1"/>
  <c r="D14" i="1" s="1"/>
  <c r="Y33" i="1"/>
  <c r="G14" i="1" s="1"/>
  <c r="Y28" i="1"/>
  <c r="H14" i="1" s="1"/>
  <c r="Y31" i="1"/>
  <c r="E14" i="1" s="1"/>
  <c r="Y32" i="1"/>
  <c r="F14" i="1" s="1"/>
  <c r="Y29" i="1"/>
  <c r="G63" i="1" l="1"/>
  <c r="G58" i="1"/>
  <c r="G67" i="1"/>
  <c r="G64" i="1"/>
  <c r="G62" i="1"/>
  <c r="G70" i="1"/>
  <c r="G66" i="1"/>
  <c r="G59" i="1"/>
  <c r="G71" i="1"/>
  <c r="G72" i="1"/>
  <c r="G61" i="1"/>
  <c r="G60" i="1"/>
  <c r="G51" i="1" s="1"/>
  <c r="G68" i="1"/>
  <c r="G69" i="1"/>
  <c r="G65" i="1"/>
  <c r="G4" i="1"/>
  <c r="F53" i="1"/>
  <c r="G53" i="1"/>
  <c r="G52" i="1"/>
  <c r="F6" i="1"/>
  <c r="F4" i="1"/>
  <c r="F5" i="1"/>
  <c r="F8" i="1"/>
  <c r="G8" i="1"/>
  <c r="G6" i="1"/>
  <c r="G5" i="1"/>
  <c r="G7" i="1"/>
  <c r="F51" i="1" l="1"/>
  <c r="F52" i="1"/>
  <c r="F50" i="1"/>
  <c r="G50" i="1"/>
  <c r="G54" i="1"/>
  <c r="F5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<sst xmlns="http://schemas.openxmlformats.org/spreadsheetml/2006/main" count="59" uniqueCount="39">
  <si>
    <t>Athlète</t>
  </si>
  <si>
    <t>Priorités</t>
  </si>
  <si>
    <t>Equipe</t>
  </si>
  <si>
    <t>Poste</t>
  </si>
  <si>
    <t>Taille</t>
  </si>
  <si>
    <t>Poids</t>
  </si>
  <si>
    <t>Rapport n°X</t>
  </si>
  <si>
    <t>XX-XX-202X</t>
  </si>
  <si>
    <t>date</t>
  </si>
  <si>
    <t>Perf</t>
  </si>
  <si>
    <t>Résultats individuels &amp; classement dans l'équipe</t>
  </si>
  <si>
    <t>Equipe -</t>
  </si>
  <si>
    <t xml:space="preserve">Equipe </t>
  </si>
  <si>
    <t>Equipe +</t>
  </si>
  <si>
    <t>Profil de l'athlète</t>
  </si>
  <si>
    <t>Test</t>
  </si>
  <si>
    <t>Prénom</t>
  </si>
  <si>
    <t>Nom</t>
  </si>
  <si>
    <t>Date</t>
  </si>
  <si>
    <t>Prénoms</t>
  </si>
  <si>
    <t>Noms</t>
  </si>
  <si>
    <t>Dates</t>
  </si>
  <si>
    <t>1er quartile</t>
  </si>
  <si>
    <t>2e quartile</t>
  </si>
  <si>
    <t>3e quartile</t>
  </si>
  <si>
    <t>4e quartile</t>
  </si>
  <si>
    <t>Moyenne</t>
  </si>
  <si>
    <t>Ecart type</t>
  </si>
  <si>
    <t>Nb joueurs</t>
  </si>
  <si>
    <t>Taille &amp; poids moyen</t>
  </si>
  <si>
    <t>Best</t>
  </si>
  <si>
    <t>Pré</t>
  </si>
  <si>
    <t>Post</t>
  </si>
  <si>
    <t>%</t>
  </si>
  <si>
    <t>Tests</t>
  </si>
  <si>
    <t>Distance (m)</t>
  </si>
  <si>
    <t>temps (s)</t>
  </si>
  <si>
    <t>Vitesse (km/h)</t>
  </si>
  <si>
    <t>Convertir un temps en vitesse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</si>
</sst>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/m;@"/>
    <numFmt numFmtId="165" formatCode="[$-40C]d\-mmm;@"/>
    <numFmt numFmtId="166" formatCode="0.0"/>
    <numFmt numFmtId="167" formatCode="0.0%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AEA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7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dashed">
        <color auto="1"/>
      </left>
      <right style="dashed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dashed">
        <color auto="1"/>
      </left>
      <right style="dashed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ck">
        <color auto="1"/>
      </bottom>
      <diagonal/>
    </border>
    <border>
      <left/>
      <right/>
      <top style="hair">
        <color auto="1"/>
      </top>
      <bottom style="thick">
        <color auto="1"/>
      </bottom>
      <diagonal/>
    </border>
    <border>
      <left style="dashed">
        <color auto="1"/>
      </left>
      <right style="dashed">
        <color auto="1"/>
      </right>
      <top style="hair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thick">
        <color auto="1"/>
      </top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thick">
        <color auto="1"/>
      </bottom>
      <diagonal/>
    </border>
    <border>
      <left style="thick">
        <color auto="1"/>
      </left>
      <right style="dashed">
        <color auto="1"/>
      </right>
      <top style="thick">
        <color auto="1"/>
      </top>
      <bottom style="medium">
        <color auto="1"/>
      </bottom>
      <diagonal/>
    </border>
    <border>
      <left style="dashed">
        <color auto="1"/>
      </left>
      <right style="dashed">
        <color auto="1"/>
      </right>
      <top style="thick">
        <color auto="1"/>
      </top>
      <bottom style="medium">
        <color auto="1"/>
      </bottom>
      <diagonal/>
    </border>
    <border>
      <left style="dashed">
        <color auto="1"/>
      </left>
      <right/>
      <top style="thick">
        <color auto="1"/>
      </top>
      <bottom style="medium">
        <color auto="1"/>
      </bottom>
      <diagonal/>
    </border>
    <border>
      <left style="dashed">
        <color auto="1"/>
      </left>
      <right/>
      <top/>
      <bottom/>
      <diagonal/>
    </border>
    <border>
      <left style="dashed">
        <color auto="1"/>
      </left>
      <right/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/>
      <bottom style="hair">
        <color auto="1"/>
      </bottom>
      <diagonal/>
    </border>
    <border>
      <left style="medium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/>
      <top style="hair">
        <color auto="1"/>
      </top>
      <bottom style="thick">
        <color auto="1"/>
      </bottom>
      <diagonal/>
    </border>
    <border>
      <left style="dashed">
        <color auto="1"/>
      </left>
      <right/>
      <top/>
      <bottom style="hair">
        <color auto="1"/>
      </bottom>
      <diagonal/>
    </border>
    <border>
      <left style="dashed">
        <color auto="1"/>
      </left>
      <right/>
      <top style="hair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4" borderId="0" xfId="0" applyFill="1"/>
    <xf numFmtId="0" fontId="0" fillId="3" borderId="24" xfId="0" applyFill="1" applyBorder="1" applyAlignment="1">
      <alignment horizontal="center"/>
    </xf>
    <xf numFmtId="0" fontId="0" fillId="3" borderId="33" xfId="0" applyFill="1" applyBorder="1"/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3" borderId="42" xfId="0" applyFill="1" applyBorder="1" applyAlignment="1">
      <alignment horizontal="center"/>
    </xf>
    <xf numFmtId="0" fontId="0" fillId="3" borderId="43" xfId="0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38" xfId="0" applyFill="1" applyBorder="1" applyAlignment="1" applyProtection="1">
      <alignment horizontal="center" vertical="center"/>
      <protection hidden="1"/>
    </xf>
    <xf numFmtId="0" fontId="0" fillId="4" borderId="0" xfId="0" applyFill="1" applyAlignment="1">
      <alignment horizontal="center" vertical="center"/>
    </xf>
    <xf numFmtId="0" fontId="0" fillId="4" borderId="18" xfId="0" applyFill="1" applyBorder="1" applyAlignment="1" applyProtection="1">
      <alignment horizontal="center" vertical="center"/>
      <protection hidden="1"/>
    </xf>
    <xf numFmtId="0" fontId="0" fillId="4" borderId="20" xfId="0" applyFill="1" applyBorder="1" applyAlignment="1" applyProtection="1">
      <alignment horizontal="center" vertical="center"/>
      <protection hidden="1"/>
    </xf>
    <xf numFmtId="164" fontId="0" fillId="4" borderId="27" xfId="0" applyNumberFormat="1" applyFill="1" applyBorder="1" applyAlignment="1" applyProtection="1">
      <alignment horizontal="center" vertical="center"/>
      <protection locked="0"/>
    </xf>
    <xf numFmtId="164" fontId="0" fillId="4" borderId="38" xfId="0" applyNumberForma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16" fontId="0" fillId="0" borderId="0" xfId="0" applyNumberForma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6" borderId="30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 vertical="center"/>
    </xf>
    <xf numFmtId="9" fontId="0" fillId="4" borderId="0" xfId="0" applyNumberFormat="1" applyFill="1" applyAlignment="1">
      <alignment horizontal="center"/>
    </xf>
    <xf numFmtId="0" fontId="7" fillId="4" borderId="0" xfId="0" applyFont="1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 applyProtection="1">
      <alignment horizontal="center"/>
      <protection hidden="1"/>
    </xf>
    <xf numFmtId="0" fontId="4" fillId="4" borderId="0" xfId="0" applyFont="1" applyFill="1" applyAlignment="1" applyProtection="1">
      <alignment horizontal="center"/>
      <protection locked="0"/>
    </xf>
    <xf numFmtId="0" fontId="4" fillId="4" borderId="0" xfId="0" applyFont="1" applyFill="1" applyAlignment="1">
      <alignment horizontal="center" vertical="center"/>
    </xf>
    <xf numFmtId="0" fontId="0" fillId="4" borderId="0" xfId="0" applyFill="1" applyProtection="1">
      <protection locked="0"/>
    </xf>
    <xf numFmtId="0" fontId="0" fillId="4" borderId="0" xfId="0" applyFill="1" applyAlignment="1" applyProtection="1">
      <alignment horizontal="center" vertical="center"/>
      <protection locked="0"/>
    </xf>
    <xf numFmtId="0" fontId="0" fillId="4" borderId="0" xfId="0" applyFill="1" applyAlignment="1">
      <alignment horizontal="center"/>
    </xf>
    <xf numFmtId="16" fontId="0" fillId="0" borderId="48" xfId="0" applyNumberFormat="1" applyBorder="1" applyAlignment="1" applyProtection="1">
      <alignment horizontal="center"/>
      <protection locked="0"/>
    </xf>
    <xf numFmtId="0" fontId="0" fillId="4" borderId="48" xfId="0" applyFill="1" applyBorder="1" applyProtection="1">
      <protection locked="0"/>
    </xf>
    <xf numFmtId="0" fontId="0" fillId="0" borderId="48" xfId="0" applyBorder="1" applyProtection="1">
      <protection locked="0"/>
    </xf>
    <xf numFmtId="16" fontId="0" fillId="4" borderId="48" xfId="0" applyNumberFormat="1" applyFill="1" applyBorder="1" applyAlignment="1" applyProtection="1">
      <alignment horizontal="center"/>
      <protection locked="0"/>
    </xf>
    <xf numFmtId="0" fontId="0" fillId="3" borderId="21" xfId="0" applyFill="1" applyBorder="1" applyAlignment="1" applyProtection="1">
      <alignment horizontal="center"/>
      <protection locked="0"/>
    </xf>
    <xf numFmtId="0" fontId="0" fillId="3" borderId="17" xfId="0" applyFill="1" applyBorder="1" applyAlignment="1" applyProtection="1">
      <alignment horizontal="center"/>
      <protection locked="0"/>
    </xf>
    <xf numFmtId="0" fontId="0" fillId="3" borderId="19" xfId="0" applyFill="1" applyBorder="1" applyAlignment="1" applyProtection="1">
      <alignment horizontal="center"/>
      <protection locked="0"/>
    </xf>
    <xf numFmtId="0" fontId="0" fillId="3" borderId="62" xfId="0" applyFill="1" applyBorder="1" applyAlignment="1" applyProtection="1">
      <alignment horizontal="center" vertical="center"/>
      <protection locked="0"/>
    </xf>
    <xf numFmtId="0" fontId="0" fillId="5" borderId="63" xfId="0" applyFill="1" applyBorder="1" applyAlignment="1">
      <alignment horizontal="center" vertical="center"/>
    </xf>
    <xf numFmtId="0" fontId="0" fillId="4" borderId="64" xfId="0" applyFill="1" applyBorder="1" applyAlignment="1" applyProtection="1">
      <alignment horizontal="center" vertical="center"/>
      <protection hidden="1"/>
    </xf>
    <xf numFmtId="0" fontId="0" fillId="4" borderId="27" xfId="0" applyFill="1" applyBorder="1" applyAlignment="1" applyProtection="1">
      <alignment horizontal="center" vertical="center"/>
      <protection hidden="1"/>
    </xf>
    <xf numFmtId="16" fontId="0" fillId="4" borderId="0" xfId="0" applyNumberFormat="1" applyFill="1" applyAlignment="1" applyProtection="1">
      <alignment horizontal="center" vertical="center"/>
      <protection locked="0"/>
    </xf>
    <xf numFmtId="0" fontId="0" fillId="7" borderId="29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9" fontId="0" fillId="4" borderId="45" xfId="0" applyNumberFormat="1" applyFill="1" applyBorder="1" applyAlignment="1" applyProtection="1">
      <alignment horizontal="center"/>
      <protection hidden="1"/>
    </xf>
    <xf numFmtId="9" fontId="0" fillId="4" borderId="22" xfId="0" applyNumberFormat="1" applyFill="1" applyBorder="1" applyAlignment="1" applyProtection="1">
      <alignment horizontal="center"/>
      <protection hidden="1"/>
    </xf>
    <xf numFmtId="9" fontId="0" fillId="4" borderId="23" xfId="0" applyNumberFormat="1" applyFill="1" applyBorder="1" applyAlignment="1" applyProtection="1">
      <alignment horizontal="center"/>
      <protection hidden="1"/>
    </xf>
    <xf numFmtId="9" fontId="0" fillId="4" borderId="18" xfId="0" applyNumberFormat="1" applyFill="1" applyBorder="1" applyAlignment="1" applyProtection="1">
      <alignment horizontal="center"/>
      <protection hidden="1"/>
    </xf>
    <xf numFmtId="9" fontId="0" fillId="4" borderId="46" xfId="0" applyNumberFormat="1" applyFill="1" applyBorder="1" applyAlignment="1" applyProtection="1">
      <alignment horizontal="center"/>
      <protection hidden="1"/>
    </xf>
    <xf numFmtId="9" fontId="0" fillId="4" borderId="20" xfId="0" applyNumberFormat="1" applyFill="1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55" xfId="0" applyBorder="1" applyAlignment="1" applyProtection="1">
      <alignment horizontal="center" vertical="center"/>
      <protection locked="0"/>
    </xf>
    <xf numFmtId="0" fontId="0" fillId="0" borderId="51" xfId="0" applyBorder="1" applyAlignment="1" applyProtection="1">
      <alignment horizontal="center" vertical="center"/>
      <protection locked="0"/>
    </xf>
    <xf numFmtId="0" fontId="0" fillId="0" borderId="56" xfId="0" applyBorder="1" applyAlignment="1" applyProtection="1">
      <alignment horizontal="center" vertical="center"/>
      <protection locked="0"/>
    </xf>
    <xf numFmtId="0" fontId="0" fillId="2" borderId="49" xfId="0" applyFill="1" applyBorder="1" applyAlignment="1" applyProtection="1">
      <alignment horizontal="center" vertical="center"/>
      <protection hidden="1"/>
    </xf>
    <xf numFmtId="0" fontId="0" fillId="0" borderId="44" xfId="0" applyBorder="1" applyAlignment="1" applyProtection="1">
      <alignment horizontal="center" vertical="center"/>
      <protection hidden="1"/>
    </xf>
    <xf numFmtId="2" fontId="0" fillId="0" borderId="34" xfId="0" applyNumberFormat="1" applyBorder="1" applyAlignment="1" applyProtection="1">
      <alignment horizontal="center" vertical="center"/>
      <protection hidden="1"/>
    </xf>
    <xf numFmtId="2" fontId="0" fillId="0" borderId="35" xfId="0" applyNumberFormat="1" applyBorder="1" applyAlignment="1" applyProtection="1">
      <alignment horizontal="center" vertical="center"/>
      <protection hidden="1"/>
    </xf>
    <xf numFmtId="0" fontId="0" fillId="4" borderId="0" xfId="0" applyFill="1" applyAlignment="1" applyProtection="1">
      <alignment horizontal="center" vertical="center"/>
      <protection hidden="1"/>
    </xf>
    <xf numFmtId="2" fontId="0" fillId="0" borderId="47" xfId="0" applyNumberFormat="1" applyBorder="1" applyAlignment="1" applyProtection="1">
      <alignment horizontal="center" vertical="center"/>
      <protection hidden="1"/>
    </xf>
    <xf numFmtId="2" fontId="0" fillId="0" borderId="57" xfId="0" applyNumberFormat="1" applyBorder="1" applyAlignment="1" applyProtection="1">
      <alignment horizontal="center" vertical="center"/>
      <protection hidden="1"/>
    </xf>
    <xf numFmtId="16" fontId="1" fillId="9" borderId="65" xfId="0" applyNumberFormat="1" applyFont="1" applyFill="1" applyBorder="1" applyAlignment="1" applyProtection="1">
      <alignment horizontal="center"/>
      <protection hidden="1"/>
    </xf>
    <xf numFmtId="16" fontId="1" fillId="9" borderId="66" xfId="0" applyNumberFormat="1" applyFont="1" applyFill="1" applyBorder="1" applyAlignment="1" applyProtection="1">
      <alignment horizontal="center"/>
      <protection hidden="1"/>
    </xf>
    <xf numFmtId="165" fontId="1" fillId="9" borderId="66" xfId="0" applyNumberFormat="1" applyFont="1" applyFill="1" applyBorder="1" applyAlignment="1" applyProtection="1">
      <alignment horizontal="center" vertical="center"/>
      <protection hidden="1"/>
    </xf>
    <xf numFmtId="165" fontId="1" fillId="9" borderId="67" xfId="0" applyNumberFormat="1" applyFont="1" applyFill="1" applyBorder="1" applyAlignment="1" applyProtection="1">
      <alignment horizontal="center" vertical="center"/>
      <protection hidden="1"/>
    </xf>
    <xf numFmtId="0" fontId="0" fillId="9" borderId="68" xfId="0" applyFill="1" applyBorder="1" applyProtection="1">
      <protection hidden="1"/>
    </xf>
    <xf numFmtId="0" fontId="0" fillId="9" borderId="0" xfId="0" applyFill="1" applyAlignment="1" applyProtection="1">
      <alignment horizontal="center"/>
      <protection hidden="1"/>
    </xf>
    <xf numFmtId="0" fontId="0" fillId="9" borderId="0" xfId="0" applyFill="1" applyAlignment="1" applyProtection="1">
      <alignment horizontal="center" vertical="center"/>
      <protection hidden="1"/>
    </xf>
    <xf numFmtId="0" fontId="0" fillId="9" borderId="69" xfId="0" applyFill="1" applyBorder="1" applyAlignment="1" applyProtection="1">
      <alignment horizontal="center" vertical="center"/>
      <protection hidden="1"/>
    </xf>
    <xf numFmtId="0" fontId="0" fillId="9" borderId="68" xfId="0" applyFill="1" applyBorder="1" applyAlignment="1" applyProtection="1">
      <alignment horizontal="center"/>
      <protection hidden="1"/>
    </xf>
    <xf numFmtId="0" fontId="0" fillId="9" borderId="68" xfId="0" applyFill="1" applyBorder="1" applyAlignment="1" applyProtection="1">
      <alignment horizontal="center" vertical="center"/>
      <protection hidden="1"/>
    </xf>
    <xf numFmtId="2" fontId="0" fillId="9" borderId="69" xfId="0" applyNumberFormat="1" applyFill="1" applyBorder="1" applyAlignment="1" applyProtection="1">
      <alignment horizontal="center" vertical="center"/>
      <protection hidden="1"/>
    </xf>
    <xf numFmtId="0" fontId="0" fillId="9" borderId="69" xfId="0" applyFill="1" applyBorder="1" applyAlignment="1" applyProtection="1">
      <alignment horizontal="center"/>
      <protection hidden="1"/>
    </xf>
    <xf numFmtId="0" fontId="0" fillId="9" borderId="70" xfId="0" applyFill="1" applyBorder="1" applyAlignment="1" applyProtection="1">
      <alignment horizontal="center"/>
      <protection hidden="1"/>
    </xf>
    <xf numFmtId="0" fontId="1" fillId="4" borderId="0" xfId="0" applyFont="1" applyFill="1" applyAlignment="1">
      <alignment horizontal="center" vertical="center"/>
    </xf>
    <xf numFmtId="16" fontId="1" fillId="4" borderId="0" xfId="0" applyNumberFormat="1" applyFont="1" applyFill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2" borderId="0" xfId="0" applyFill="1" applyAlignment="1" applyProtection="1">
      <alignment horizontal="center" vertical="center"/>
      <protection locked="0"/>
    </xf>
    <xf numFmtId="16" fontId="0" fillId="2" borderId="0" xfId="0" applyNumberFormat="1" applyFill="1" applyAlignment="1" applyProtection="1">
      <alignment horizontal="center" vertical="center"/>
      <protection locked="0"/>
    </xf>
    <xf numFmtId="16" fontId="0" fillId="4" borderId="0" xfId="0" applyNumberFormat="1" applyFill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0" fillId="3" borderId="50" xfId="0" applyFill="1" applyBorder="1" applyAlignment="1" applyProtection="1">
      <alignment horizontal="center" vertical="center"/>
      <protection locked="0"/>
    </xf>
    <xf numFmtId="0" fontId="0" fillId="3" borderId="25" xfId="0" applyFill="1" applyBorder="1" applyAlignment="1" applyProtection="1">
      <alignment horizontal="center" vertical="center"/>
      <protection locked="0"/>
    </xf>
    <xf numFmtId="0" fontId="0" fillId="3" borderId="55" xfId="0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16" fontId="0" fillId="3" borderId="48" xfId="0" applyNumberFormat="1" applyFill="1" applyBorder="1" applyAlignment="1" applyProtection="1">
      <alignment horizontal="center"/>
      <protection locked="0"/>
    </xf>
    <xf numFmtId="0" fontId="0" fillId="3" borderId="48" xfId="0" applyFill="1" applyBorder="1" applyProtection="1">
      <protection locked="0"/>
    </xf>
    <xf numFmtId="2" fontId="0" fillId="4" borderId="0" xfId="0" applyNumberFormat="1" applyFill="1" applyAlignment="1" applyProtection="1">
      <alignment horizontal="center" vertical="center"/>
      <protection hidden="1"/>
    </xf>
    <xf numFmtId="0" fontId="0" fillId="4" borderId="0" xfId="0" applyFill="1" applyAlignment="1" applyProtection="1">
      <alignment horizontal="center"/>
      <protection hidden="1"/>
    </xf>
    <xf numFmtId="164" fontId="1" fillId="10" borderId="65" xfId="0" applyNumberFormat="1" applyFont="1" applyFill="1" applyBorder="1" applyAlignment="1">
      <alignment horizontal="center" vertical="center"/>
    </xf>
    <xf numFmtId="16" fontId="1" fillId="10" borderId="66" xfId="0" applyNumberFormat="1" applyFont="1" applyFill="1" applyBorder="1" applyAlignment="1">
      <alignment horizontal="center"/>
    </xf>
    <xf numFmtId="164" fontId="1" fillId="10" borderId="66" xfId="0" applyNumberFormat="1" applyFont="1" applyFill="1" applyBorder="1" applyAlignment="1">
      <alignment horizontal="center" vertical="center"/>
    </xf>
    <xf numFmtId="164" fontId="1" fillId="10" borderId="67" xfId="0" applyNumberFormat="1" applyFont="1" applyFill="1" applyBorder="1" applyAlignment="1">
      <alignment horizontal="center" vertical="center"/>
    </xf>
    <xf numFmtId="0" fontId="0" fillId="10" borderId="68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69" xfId="0" applyFill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10" borderId="0" xfId="0" applyFill="1"/>
    <xf numFmtId="2" fontId="0" fillId="9" borderId="75" xfId="0" applyNumberFormat="1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0" fontId="0" fillId="9" borderId="76" xfId="0" applyFill="1" applyBorder="1" applyAlignment="1" applyProtection="1">
      <alignment horizontal="center"/>
      <protection hidden="1"/>
    </xf>
    <xf numFmtId="2" fontId="0" fillId="4" borderId="26" xfId="0" applyNumberFormat="1" applyFill="1" applyBorder="1" applyAlignment="1" applyProtection="1">
      <alignment horizontal="center" vertical="center"/>
      <protection hidden="1"/>
    </xf>
    <xf numFmtId="2" fontId="0" fillId="4" borderId="37" xfId="0" applyNumberFormat="1" applyFill="1" applyBorder="1" applyAlignment="1" applyProtection="1">
      <alignment horizontal="center" vertical="center"/>
      <protection hidden="1"/>
    </xf>
    <xf numFmtId="164" fontId="0" fillId="11" borderId="27" xfId="0" applyNumberFormat="1" applyFill="1" applyBorder="1" applyAlignment="1" applyProtection="1">
      <alignment horizontal="center" vertical="center"/>
      <protection locked="0"/>
    </xf>
    <xf numFmtId="164" fontId="0" fillId="11" borderId="38" xfId="0" applyNumberFormat="1" applyFill="1" applyBorder="1" applyAlignment="1" applyProtection="1">
      <alignment horizontal="center" vertical="center"/>
      <protection locked="0"/>
    </xf>
    <xf numFmtId="164" fontId="0" fillId="5" borderId="27" xfId="0" applyNumberFormat="1" applyFill="1" applyBorder="1" applyAlignment="1" applyProtection="1">
      <alignment horizontal="center" vertical="center"/>
      <protection locked="0"/>
    </xf>
    <xf numFmtId="164" fontId="0" fillId="5" borderId="38" xfId="0" applyNumberFormat="1" applyFill="1" applyBorder="1" applyAlignment="1" applyProtection="1">
      <alignment horizontal="center" vertical="center"/>
      <protection locked="0"/>
    </xf>
    <xf numFmtId="9" fontId="0" fillId="5" borderId="18" xfId="0" applyNumberFormat="1" applyFill="1" applyBorder="1" applyAlignment="1" applyProtection="1">
      <alignment horizontal="center"/>
      <protection hidden="1"/>
    </xf>
    <xf numFmtId="9" fontId="0" fillId="5" borderId="20" xfId="0" applyNumberFormat="1" applyFill="1" applyBorder="1" applyAlignment="1" applyProtection="1">
      <alignment horizontal="center"/>
      <protection hidden="1"/>
    </xf>
    <xf numFmtId="167" fontId="0" fillId="11" borderId="74" xfId="0" applyNumberFormat="1" applyFill="1" applyBorder="1" applyAlignment="1" applyProtection="1">
      <alignment horizontal="center"/>
      <protection hidden="1"/>
    </xf>
    <xf numFmtId="167" fontId="0" fillId="11" borderId="23" xfId="0" applyNumberFormat="1" applyFill="1" applyBorder="1" applyAlignment="1" applyProtection="1">
      <alignment horizontal="center"/>
      <protection hidden="1"/>
    </xf>
    <xf numFmtId="167" fontId="0" fillId="11" borderId="46" xfId="0" applyNumberFormat="1" applyFill="1" applyBorder="1" applyAlignment="1" applyProtection="1">
      <alignment horizontal="center"/>
      <protection hidden="1"/>
    </xf>
    <xf numFmtId="0" fontId="0" fillId="11" borderId="63" xfId="0" applyFill="1" applyBorder="1" applyAlignment="1" applyProtection="1">
      <alignment horizontal="center" vertical="center"/>
      <protection hidden="1"/>
    </xf>
    <xf numFmtId="0" fontId="0" fillId="11" borderId="71" xfId="0" applyFill="1" applyBorder="1" applyAlignment="1" applyProtection="1">
      <alignment horizontal="center" vertical="center"/>
      <protection hidden="1"/>
    </xf>
    <xf numFmtId="0" fontId="0" fillId="5" borderId="72" xfId="0" applyFill="1" applyBorder="1" applyAlignment="1" applyProtection="1">
      <alignment horizontal="center" vertical="center"/>
      <protection hidden="1"/>
    </xf>
    <xf numFmtId="0" fontId="0" fillId="5" borderId="73" xfId="0" applyFill="1" applyBorder="1" applyAlignment="1" applyProtection="1">
      <alignment horizontal="center" vertical="center"/>
      <protection hidden="1"/>
    </xf>
    <xf numFmtId="166" fontId="0" fillId="9" borderId="75" xfId="0" applyNumberFormat="1" applyFill="1" applyBorder="1" applyAlignment="1" applyProtection="1">
      <alignment horizontal="center" vertical="center"/>
      <protection hidden="1"/>
    </xf>
    <xf numFmtId="166" fontId="0" fillId="9" borderId="75" xfId="0" applyNumberFormat="1" applyFill="1" applyBorder="1" applyAlignment="1" applyProtection="1">
      <alignment horizontal="center"/>
      <protection hidden="1"/>
    </xf>
    <xf numFmtId="1" fontId="0" fillId="9" borderId="76" xfId="0" applyNumberFormat="1" applyFill="1" applyBorder="1" applyAlignment="1" applyProtection="1">
      <alignment horizontal="center"/>
      <protection hidden="1"/>
    </xf>
    <xf numFmtId="0" fontId="1" fillId="2" borderId="10" xfId="0" applyFont="1" applyFill="1" applyBorder="1" applyAlignment="1">
      <alignment horizontal="center" vertical="center"/>
    </xf>
    <xf numFmtId="0" fontId="1" fillId="2" borderId="52" xfId="0" applyFont="1" applyFill="1" applyBorder="1" applyAlignment="1">
      <alignment horizontal="center" vertical="center"/>
    </xf>
    <xf numFmtId="0" fontId="1" fillId="2" borderId="53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0" fillId="4" borderId="0" xfId="0" applyFill="1" applyAlignment="1">
      <alignment vertical="center"/>
    </xf>
    <xf numFmtId="0" fontId="4" fillId="3" borderId="34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58" xfId="0" applyFont="1" applyFill="1" applyBorder="1" applyAlignment="1">
      <alignment horizontal="center" vertical="center"/>
    </xf>
    <xf numFmtId="0" fontId="0" fillId="3" borderId="26" xfId="0" applyFill="1" applyBorder="1" applyAlignment="1" applyProtection="1">
      <alignment horizontal="center" vertical="center"/>
      <protection locked="0"/>
    </xf>
    <xf numFmtId="0" fontId="0" fillId="4" borderId="59" xfId="0" applyFill="1" applyBorder="1" applyAlignment="1" applyProtection="1">
      <alignment horizontal="center" vertical="center"/>
      <protection hidden="1"/>
    </xf>
    <xf numFmtId="0" fontId="0" fillId="4" borderId="60" xfId="0" applyFill="1" applyBorder="1" applyAlignment="1" applyProtection="1">
      <alignment horizontal="center" vertical="center"/>
      <protection hidden="1"/>
    </xf>
    <xf numFmtId="0" fontId="0" fillId="3" borderId="37" xfId="0" applyFill="1" applyBorder="1" applyAlignment="1" applyProtection="1">
      <alignment horizontal="center" vertical="center"/>
      <protection locked="0"/>
    </xf>
    <xf numFmtId="0" fontId="0" fillId="4" borderId="61" xfId="0" applyFill="1" applyBorder="1" applyAlignment="1" applyProtection="1">
      <alignment horizontal="center" vertical="center"/>
      <protection hidden="1"/>
    </xf>
    <xf numFmtId="0" fontId="0" fillId="3" borderId="33" xfId="0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0" fillId="8" borderId="59" xfId="0" applyFill="1" applyBorder="1" applyAlignment="1">
      <alignment horizontal="center" vertical="center"/>
    </xf>
    <xf numFmtId="0" fontId="0" fillId="8" borderId="60" xfId="0" applyFill="1" applyBorder="1" applyAlignment="1">
      <alignment horizontal="center" vertical="center"/>
    </xf>
    <xf numFmtId="0" fontId="0" fillId="8" borderId="6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6" xfId="0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center" vertical="center"/>
      <protection locked="0"/>
    </xf>
    <xf numFmtId="0" fontId="0" fillId="3" borderId="62" xfId="0" applyFill="1" applyBorder="1" applyAlignment="1" applyProtection="1">
      <alignment horizontal="center" vertical="center"/>
      <protection hidden="1"/>
    </xf>
    <xf numFmtId="2" fontId="0" fillId="4" borderId="7" xfId="0" applyNumberFormat="1" applyFill="1" applyBorder="1" applyAlignment="1" applyProtection="1">
      <alignment horizontal="center" vertical="center"/>
      <protection hidden="1"/>
    </xf>
    <xf numFmtId="2" fontId="0" fillId="4" borderId="8" xfId="0" applyNumberFormat="1" applyFill="1" applyBorder="1" applyAlignment="1" applyProtection="1">
      <alignment horizontal="center" vertical="center"/>
      <protection hidden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33" xfId="0" applyFill="1" applyBorder="1" applyAlignment="1" applyProtection="1">
      <alignment horizontal="center" vertical="center"/>
      <protection hidden="1"/>
    </xf>
    <xf numFmtId="0" fontId="0" fillId="2" borderId="34" xfId="0" applyFill="1" applyBorder="1" applyAlignment="1" applyProtection="1">
      <alignment horizontal="center" vertical="center"/>
      <protection hidden="1"/>
    </xf>
    <xf numFmtId="0" fontId="0" fillId="2" borderId="41" xfId="0" applyFill="1" applyBorder="1" applyAlignment="1" applyProtection="1">
      <alignment horizontal="center" vertical="center"/>
      <protection hidden="1"/>
    </xf>
    <xf numFmtId="0" fontId="0" fillId="2" borderId="47" xfId="0" applyFill="1" applyBorder="1" applyAlignment="1" applyProtection="1">
      <alignment horizontal="center" vertical="center"/>
      <protection hidden="1"/>
    </xf>
    <xf numFmtId="0" fontId="4" fillId="2" borderId="10" xfId="0" applyFont="1" applyFill="1" applyBorder="1" applyAlignment="1" applyProtection="1">
      <alignment horizontal="center" vertical="center"/>
      <protection locked="0"/>
    </xf>
    <xf numFmtId="0" fontId="4" fillId="2" borderId="11" xfId="0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15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center" vertical="center"/>
      <protection hidden="1"/>
    </xf>
    <xf numFmtId="0" fontId="4" fillId="2" borderId="11" xfId="0" applyFont="1" applyFill="1" applyBorder="1" applyAlignment="1" applyProtection="1">
      <alignment horizontal="center" vertical="center"/>
      <protection hidden="1"/>
    </xf>
    <xf numFmtId="0" fontId="4" fillId="2" borderId="12" xfId="0" applyFont="1" applyFill="1" applyBorder="1" applyAlignment="1" applyProtection="1">
      <alignment horizontal="center" vertical="center"/>
      <protection hidden="1"/>
    </xf>
    <xf numFmtId="0" fontId="4" fillId="2" borderId="13" xfId="0" applyFont="1" applyFill="1" applyBorder="1" applyAlignment="1" applyProtection="1">
      <alignment horizontal="center" vertical="center"/>
      <protection hidden="1"/>
    </xf>
    <xf numFmtId="0" fontId="4" fillId="2" borderId="14" xfId="0" applyFont="1" applyFill="1" applyBorder="1" applyAlignment="1" applyProtection="1">
      <alignment horizontal="center" vertical="center"/>
      <protection hidden="1"/>
    </xf>
    <xf numFmtId="0" fontId="4" fillId="2" borderId="15" xfId="0" applyFont="1" applyFill="1" applyBorder="1" applyAlignment="1" applyProtection="1">
      <alignment horizontal="center" vertical="center"/>
      <protection hidden="1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0" fillId="10" borderId="68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69" xfId="0" applyFill="1" applyBorder="1" applyAlignment="1">
      <alignment horizontal="center" vertical="center"/>
    </xf>
  </cellXfs>
  <cellStyles count="1">
    <cellStyle name="Normal" xfId="0" builtinId="0"/>
  </cellStyles>
  <dxfs count="131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AEA5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E2F0DB"/>
        </patternFill>
      </fill>
    </dxf>
    <dxf>
      <fill>
        <patternFill>
          <bgColor theme="9" tint="0.59996337778862885"/>
        </patternFill>
      </fill>
    </dxf>
    <dxf>
      <fill>
        <patternFill>
          <bgColor rgb="FFE2F0DB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9" tint="0.59996337778862885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9" tint="0.59996337778862885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E2F0DB"/>
        </patternFill>
      </fill>
    </dxf>
    <dxf>
      <fill>
        <patternFill>
          <bgColor theme="9" tint="0.59996337778862885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F3CC"/>
        </patternFill>
      </fill>
    </dxf>
    <dxf>
      <fill>
        <patternFill>
          <bgColor rgb="FFE2F0DB"/>
        </patternFill>
      </fill>
    </dxf>
    <dxf>
      <fill>
        <patternFill>
          <bgColor theme="9" tint="0.59996337778862885"/>
        </patternFill>
      </fill>
    </dxf>
    <dxf>
      <fill>
        <patternFill>
          <bgColor rgb="FFE2F0DB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theme="9" tint="0.59996337778862885"/>
        </patternFill>
      </fill>
    </dxf>
    <dxf>
      <fill>
        <patternFill>
          <bgColor rgb="FFFFAEA5"/>
        </patternFill>
      </fill>
    </dxf>
    <dxf>
      <fill>
        <patternFill>
          <bgColor rgb="FFE2F0DB"/>
        </patternFill>
      </fill>
    </dxf>
    <dxf>
      <fill>
        <patternFill>
          <bgColor rgb="FFFFAEA5"/>
        </patternFill>
      </fill>
    </dxf>
    <dxf>
      <fill>
        <patternFill>
          <bgColor theme="9" tint="0.59996337778862885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rgb="FFFFF3CC"/>
        </patternFill>
      </fill>
    </dxf>
    <dxf>
      <fill>
        <patternFill>
          <bgColor theme="9" tint="0.59996337778862885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theme="9" tint="0.59996337778862885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9" tint="0.59996337778862885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9" tint="0.59996337778862885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theme="9" tint="0.59996337778862885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theme="9" tint="0.59996337778862885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rgb="FFFFAEA5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rgb="FFFFF3CC"/>
        </patternFill>
      </fill>
    </dxf>
    <dxf>
      <fill>
        <patternFill>
          <bgColor rgb="FFE2F0DB"/>
        </patternFill>
      </fill>
    </dxf>
    <dxf>
      <fill>
        <patternFill>
          <bgColor rgb="FFE2F0DB"/>
        </patternFill>
      </fill>
    </dxf>
    <dxf>
      <fill>
        <patternFill>
          <bgColor theme="9" tint="0.59996337778862885"/>
        </patternFill>
      </fill>
    </dxf>
    <dxf>
      <fill>
        <patternFill>
          <bgColor rgb="FFFFAEA5"/>
        </patternFill>
      </fill>
    </dxf>
    <dxf>
      <fill>
        <patternFill>
          <bgColor rgb="FFFFF3CC"/>
        </patternFill>
      </fill>
    </dxf>
    <dxf>
      <fill>
        <patternFill>
          <bgColor rgb="FFFFF3CC"/>
        </patternFill>
      </fill>
    </dxf>
    <dxf>
      <fill>
        <patternFill>
          <bgColor rgb="FFFFAEA5"/>
        </patternFill>
      </fill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21" formatCode="dd\-mmm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FFAEA5"/>
      <color rgb="FFFFF3CC"/>
      <color rgb="FFE2F0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strRef>
              <c:f>'Rapport d''évaluation'!$G$3</c:f>
              <c:strCache>
                <c:ptCount val="1"/>
                <c:pt idx="0">
                  <c:v>Equipe</c:v>
                </c:pt>
              </c:strCache>
            </c:strRef>
          </c:tx>
          <c:spPr>
            <a:ln w="317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A675-8141-854A-83E599A0B5C8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A675-8141-854A-83E599A0B5C8}"/>
              </c:ext>
            </c:extLst>
          </c:dPt>
          <c:dPt>
            <c:idx val="2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A675-8141-854A-83E599A0B5C8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6-A675-8141-854A-83E599A0B5C8}"/>
              </c:ext>
            </c:extLst>
          </c:dPt>
          <c:dLbls>
            <c:delete val="1"/>
          </c:dLbls>
          <c:cat>
            <c:numRef>
              <c:f>'Rapport d''évaluation'!$E$4:$E$8</c:f>
              <c:numCache>
                <c:formatCode>General</c:formatCode>
                <c:ptCount val="5"/>
              </c:numCache>
            </c:numRef>
          </c:cat>
          <c:val>
            <c:numRef>
              <c:f>'Rapport d''évaluation'!$G$4:$G$8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6-A443-B073-F0FCBB97BF55}"/>
            </c:ext>
          </c:extLst>
        </c:ser>
        <c:ser>
          <c:idx val="1"/>
          <c:order val="1"/>
          <c:tx>
            <c:strRef>
              <c:f>'Rapport d''évaluation'!$F$3</c:f>
              <c:strCache>
                <c:ptCount val="1"/>
              </c:strCache>
            </c:strRef>
          </c:tx>
          <c:spPr>
            <a:ln w="317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circle"/>
            <c:size val="6"/>
            <c:spPr>
              <a:solidFill>
                <a:srgbClr val="FF0000"/>
              </a:solidFill>
              <a:ln w="25400">
                <a:solidFill>
                  <a:srgbClr val="FF0000"/>
                </a:solidFill>
                <a:round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FF0000"/>
                </a:solidFill>
                <a:ln w="25400">
                  <a:solidFill>
                    <a:srgbClr val="FF0000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675-8141-854A-83E599A0B5C8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FF0000"/>
                </a:solidFill>
                <a:ln w="25400">
                  <a:solidFill>
                    <a:srgbClr val="FF0000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675-8141-854A-83E599A0B5C8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FF0000"/>
                </a:solidFill>
                <a:ln w="25400">
                  <a:solidFill>
                    <a:srgbClr val="FF0000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A675-8141-854A-83E599A0B5C8}"/>
              </c:ext>
            </c:extLst>
          </c:dPt>
          <c:dLbls>
            <c:delete val="1"/>
          </c:dLbls>
          <c:cat>
            <c:numRef>
              <c:f>'Rapport d''évaluation'!$E$4:$E$8</c:f>
              <c:numCache>
                <c:formatCode>General</c:formatCode>
                <c:ptCount val="5"/>
              </c:numCache>
            </c:numRef>
          </c:cat>
          <c:val>
            <c:numRef>
              <c:f>'Rapport d''évaluation'!$F$4:$F$8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675-8141-854A-83E599A0B5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25086271"/>
        <c:axId val="1824567567"/>
      </c:radarChart>
      <c:catAx>
        <c:axId val="182508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567567"/>
        <c:crosses val="autoZero"/>
        <c:auto val="1"/>
        <c:lblAlgn val="ctr"/>
        <c:lblOffset val="100"/>
        <c:noMultiLvlLbl val="0"/>
      </c:catAx>
      <c:valAx>
        <c:axId val="1824567567"/>
        <c:scaling>
          <c:orientation val="minMax"/>
          <c:min val="0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%" sourceLinked="1"/>
        <c:majorTickMark val="none"/>
        <c:minorTickMark val="none"/>
        <c:tickLblPos val="nextTo"/>
        <c:crossAx val="1825086271"/>
        <c:crosses val="autoZero"/>
        <c:crossBetween val="between"/>
        <c:majorUnit val="0.1"/>
        <c:min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marker"/>
        <c:varyColors val="0"/>
        <c:ser>
          <c:idx val="1"/>
          <c:order val="0"/>
          <c:tx>
            <c:strRef>
              <c:f>'Rapport d''évaluation'!$F$49</c:f>
              <c:strCache>
                <c:ptCount val="1"/>
                <c:pt idx="0">
                  <c:v>Pré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'Rapport d''évaluation'!$E$50:$E$54</c:f>
              <c:numCache>
                <c:formatCode>General</c:formatCode>
                <c:ptCount val="5"/>
              </c:numCache>
            </c:numRef>
          </c:cat>
          <c:val>
            <c:numRef>
              <c:f>'Rapport d''évaluation'!$F$50:$F$54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07D-694B-BA39-0E9039C9D419}"/>
            </c:ext>
          </c:extLst>
        </c:ser>
        <c:ser>
          <c:idx val="0"/>
          <c:order val="1"/>
          <c:tx>
            <c:strRef>
              <c:f>'Rapport d''évaluation'!$G$49</c:f>
              <c:strCache>
                <c:ptCount val="1"/>
                <c:pt idx="0">
                  <c:v>Post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'Rapport d''évaluation'!$E$50:$E$54</c:f>
              <c:numCache>
                <c:formatCode>General</c:formatCode>
                <c:ptCount val="5"/>
              </c:numCache>
            </c:numRef>
          </c:cat>
          <c:val>
            <c:numRef>
              <c:f>'Rapport d''évaluation'!$G$50:$G$54</c:f>
              <c:numCache>
                <c:formatCode>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7D-694B-BA39-0E9039C9D4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825086271"/>
        <c:axId val="1824567567"/>
      </c:radarChart>
      <c:catAx>
        <c:axId val="182508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567567"/>
        <c:crosses val="autoZero"/>
        <c:auto val="1"/>
        <c:lblAlgn val="ctr"/>
        <c:lblOffset val="100"/>
        <c:noMultiLvlLbl val="0"/>
      </c:catAx>
      <c:valAx>
        <c:axId val="1824567567"/>
        <c:scaling>
          <c:orientation val="minMax"/>
          <c:min val="0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Titre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%" sourceLinked="1"/>
        <c:majorTickMark val="none"/>
        <c:minorTickMark val="none"/>
        <c:tickLblPos val="nextTo"/>
        <c:crossAx val="1825086271"/>
        <c:crosses val="autoZero"/>
        <c:crossBetween val="between"/>
        <c:majorUnit val="0.1"/>
        <c:minorUnit val="0.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94593</xdr:colOff>
      <xdr:row>28</xdr:row>
      <xdr:rowOff>12700</xdr:rowOff>
    </xdr:from>
    <xdr:to>
      <xdr:col>6</xdr:col>
      <xdr:colOff>700689</xdr:colOff>
      <xdr:row>46</xdr:row>
      <xdr:rowOff>165100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CA62743-84F6-ED22-9FCA-1AEDE48CE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101600</xdr:colOff>
      <xdr:row>2</xdr:row>
      <xdr:rowOff>237066</xdr:rowOff>
    </xdr:from>
    <xdr:to>
      <xdr:col>0</xdr:col>
      <xdr:colOff>948266</xdr:colOff>
      <xdr:row>8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FC705B24-2F0A-C8AA-0666-1F80EDA0F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00" y="728133"/>
          <a:ext cx="846666" cy="1083733"/>
        </a:xfrm>
        <a:prstGeom prst="rect">
          <a:avLst/>
        </a:prstGeom>
      </xdr:spPr>
    </xdr:pic>
    <xdr:clientData/>
  </xdr:twoCellAnchor>
  <xdr:twoCellAnchor>
    <xdr:from>
      <xdr:col>0</xdr:col>
      <xdr:colOff>94593</xdr:colOff>
      <xdr:row>74</xdr:row>
      <xdr:rowOff>12700</xdr:rowOff>
    </xdr:from>
    <xdr:to>
      <xdr:col>6</xdr:col>
      <xdr:colOff>700689</xdr:colOff>
      <xdr:row>92</xdr:row>
      <xdr:rowOff>165100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799F4DE-E892-134F-B8D7-83E88910C1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101600</xdr:colOff>
      <xdr:row>48</xdr:row>
      <xdr:rowOff>237066</xdr:rowOff>
    </xdr:from>
    <xdr:ext cx="846666" cy="1079500"/>
    <xdr:pic>
      <xdr:nvPicPr>
        <xdr:cNvPr id="5" name="Image 4">
          <a:extLst>
            <a:ext uri="{FF2B5EF4-FFF2-40B4-BE49-F238E27FC236}">
              <a16:creationId xmlns:a16="http://schemas.microsoft.com/office/drawing/2014/main" id="{24145538-8758-7349-9952-BDC7D7F69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00" y="719666"/>
          <a:ext cx="846666" cy="1079500"/>
        </a:xfrm>
        <a:prstGeom prst="rect">
          <a:avLst/>
        </a:prstGeom>
      </xdr:spPr>
    </xdr:pic>
    <xdr:clientData/>
  </xdr:oneCellAnchor>
  <xdr:twoCellAnchor editAs="oneCell">
    <xdr:from>
      <xdr:col>20</xdr:col>
      <xdr:colOff>63501</xdr:colOff>
      <xdr:row>46</xdr:row>
      <xdr:rowOff>63500</xdr:rowOff>
    </xdr:from>
    <xdr:to>
      <xdr:col>21</xdr:col>
      <xdr:colOff>105833</xdr:colOff>
      <xdr:row>50</xdr:row>
      <xdr:rowOff>165100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B22BB223-C15E-634C-8E80-03653605F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00084" y="9884833"/>
          <a:ext cx="846666" cy="1075267"/>
        </a:xfrm>
        <a:prstGeom prst="rect">
          <a:avLst/>
        </a:prstGeom>
      </xdr:spPr>
    </xdr:pic>
    <xdr:clientData/>
  </xdr:twoCellAnchor>
  <xdr:twoCellAnchor editAs="oneCell">
    <xdr:from>
      <xdr:col>21</xdr:col>
      <xdr:colOff>173567</xdr:colOff>
      <xdr:row>46</xdr:row>
      <xdr:rowOff>67733</xdr:rowOff>
    </xdr:from>
    <xdr:to>
      <xdr:col>22</xdr:col>
      <xdr:colOff>194733</xdr:colOff>
      <xdr:row>50</xdr:row>
      <xdr:rowOff>169333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9B5C700C-0E2B-394B-9DC8-70EE92800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14484" y="9889066"/>
          <a:ext cx="846666" cy="1075267"/>
        </a:xfrm>
        <a:prstGeom prst="rect">
          <a:avLst/>
        </a:prstGeom>
      </xdr:spPr>
    </xdr:pic>
    <xdr:clientData/>
  </xdr:twoCellAnchor>
  <xdr:twoCellAnchor editAs="oneCell">
    <xdr:from>
      <xdr:col>22</xdr:col>
      <xdr:colOff>241300</xdr:colOff>
      <xdr:row>46</xdr:row>
      <xdr:rowOff>61383</xdr:rowOff>
    </xdr:from>
    <xdr:to>
      <xdr:col>23</xdr:col>
      <xdr:colOff>262466</xdr:colOff>
      <xdr:row>50</xdr:row>
      <xdr:rowOff>162983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FE98D27B-3970-FC4E-B800-90D20FBF2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407717" y="9882716"/>
          <a:ext cx="846666" cy="1075267"/>
        </a:xfrm>
        <a:prstGeom prst="rect">
          <a:avLst/>
        </a:prstGeom>
      </xdr:spPr>
    </xdr:pic>
    <xdr:clientData/>
  </xdr:twoCellAnchor>
  <xdr:twoCellAnchor editAs="oneCell">
    <xdr:from>
      <xdr:col>23</xdr:col>
      <xdr:colOff>338667</xdr:colOff>
      <xdr:row>46</xdr:row>
      <xdr:rowOff>63501</xdr:rowOff>
    </xdr:from>
    <xdr:to>
      <xdr:col>24</xdr:col>
      <xdr:colOff>359833</xdr:colOff>
      <xdr:row>50</xdr:row>
      <xdr:rowOff>165101</xdr:rowOff>
    </xdr:to>
    <xdr:pic>
      <xdr:nvPicPr>
        <xdr:cNvPr id="9" name="Image 8">
          <a:extLst>
            <a:ext uri="{FF2B5EF4-FFF2-40B4-BE49-F238E27FC236}">
              <a16:creationId xmlns:a16="http://schemas.microsoft.com/office/drawing/2014/main" id="{10AEEB01-3E06-C446-9942-5C724008D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30584" y="9884834"/>
          <a:ext cx="846666" cy="107526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12E774-E2A8-634E-89CC-ECD75E978543}" name="TableauDatas" displayName="TableauDatas" ref="I1:L1118" totalsRowShown="0" headerRowDxfId="130" dataDxfId="129">
  <autoFilter ref="I1:L1118" xr:uid="{4312E774-E2A8-634E-89CC-ECD75E978543}"/>
  <tableColumns count="4">
    <tableColumn id="1" xr3:uid="{0E67C6AC-3499-294D-B939-6654C1B66647}" name="Prénom" dataDxfId="128"/>
    <tableColumn id="6" xr3:uid="{5A8684E6-33BE-E24F-9CFB-AA048C402E24}" name="Date" dataDxfId="127"/>
    <tableColumn id="7" xr3:uid="{1C5E3117-B90F-1048-B2FE-8D02F200F8A2}" name="Test" dataDxfId="126"/>
    <tableColumn id="8" xr3:uid="{1D29A4C0-F08E-5D4B-83D5-AF4655104F2D}" name="Perf" dataDxfId="12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EBF4-30AF-3A47-B8E3-E3EC985FAAE8}">
  <dimension ref="A1:JC1427"/>
  <sheetViews>
    <sheetView tabSelected="1" showWhiteSpace="0" view="pageLayout" zoomScale="120" zoomScaleNormal="100" zoomScalePageLayoutView="120" workbookViewId="0">
      <selection activeCell="D6" sqref="D6"/>
    </sheetView>
  </sheetViews>
  <sheetFormatPr baseColWidth="10" defaultRowHeight="15.75" x14ac:dyDescent="0.25"/>
  <cols>
    <col min="1" max="1" width="13.875" customWidth="1"/>
    <col min="2" max="7" width="10.375" customWidth="1"/>
    <col min="8" max="8" width="6.875" style="1" customWidth="1"/>
    <col min="9" max="9" width="17.875" style="29" customWidth="1"/>
    <col min="10" max="11" width="16" style="27" customWidth="1"/>
    <col min="12" max="12" width="18.875" style="27" customWidth="1"/>
    <col min="13" max="13" width="3.625" style="44" customWidth="1"/>
    <col min="20" max="20" width="10.5" style="48" customWidth="1"/>
    <col min="21" max="21" width="10.5" style="43" customWidth="1"/>
    <col min="24" max="32" width="10.875" customWidth="1"/>
    <col min="33" max="33" width="10.5" customWidth="1"/>
    <col min="34" max="34" width="10.875" customWidth="1"/>
    <col min="38" max="254" width="10.875" style="1"/>
  </cols>
  <sheetData>
    <row r="1" spans="1:263" ht="20.25" thickTop="1" thickBot="1" x14ac:dyDescent="0.35">
      <c r="A1" s="181" t="s">
        <v>6</v>
      </c>
      <c r="B1" s="182"/>
      <c r="C1" s="183"/>
      <c r="D1" s="149"/>
      <c r="E1" s="193" t="s">
        <v>7</v>
      </c>
      <c r="F1" s="194"/>
      <c r="G1" s="195"/>
      <c r="H1" s="41"/>
      <c r="I1" s="27" t="s">
        <v>16</v>
      </c>
      <c r="J1" s="27" t="s">
        <v>18</v>
      </c>
      <c r="K1" s="27" t="s">
        <v>15</v>
      </c>
      <c r="L1" s="27" t="s">
        <v>9</v>
      </c>
      <c r="N1" s="144" t="s">
        <v>34</v>
      </c>
      <c r="O1" s="145" t="s">
        <v>19</v>
      </c>
      <c r="P1" s="146" t="s">
        <v>20</v>
      </c>
      <c r="Q1" s="146" t="s">
        <v>3</v>
      </c>
      <c r="R1" s="146" t="s">
        <v>4</v>
      </c>
      <c r="S1" s="147" t="s">
        <v>5</v>
      </c>
      <c r="T1" s="148" t="s">
        <v>21</v>
      </c>
      <c r="U1" s="104"/>
      <c r="V1" s="80"/>
      <c r="W1" s="81">
        <f>B12</f>
        <v>0</v>
      </c>
      <c r="X1" s="82">
        <f>B13</f>
        <v>0</v>
      </c>
      <c r="Y1" s="82">
        <f>B14</f>
        <v>0</v>
      </c>
      <c r="Z1" s="82">
        <f>B15</f>
        <v>0</v>
      </c>
      <c r="AA1" s="82">
        <f>B16</f>
        <v>0</v>
      </c>
      <c r="AB1" s="82">
        <f>B17</f>
        <v>0</v>
      </c>
      <c r="AC1" s="82">
        <f>B18</f>
        <v>0</v>
      </c>
      <c r="AD1" s="82">
        <f>B19</f>
        <v>0</v>
      </c>
      <c r="AE1" s="82">
        <f>B20</f>
        <v>0</v>
      </c>
      <c r="AF1" s="82">
        <f>B21</f>
        <v>0</v>
      </c>
      <c r="AG1" s="82">
        <f>B22</f>
        <v>0</v>
      </c>
      <c r="AH1" s="82">
        <f>B23</f>
        <v>0</v>
      </c>
      <c r="AI1" s="82">
        <f>B24</f>
        <v>0</v>
      </c>
      <c r="AJ1" s="82">
        <f>B25</f>
        <v>0</v>
      </c>
      <c r="AK1" s="83">
        <f>B26</f>
        <v>0</v>
      </c>
      <c r="AL1" s="93"/>
      <c r="AM1" s="113">
        <f>B58</f>
        <v>0</v>
      </c>
      <c r="AN1" s="114">
        <f>C58</f>
        <v>0</v>
      </c>
      <c r="AO1" s="115">
        <f>B59</f>
        <v>0</v>
      </c>
      <c r="AP1" s="115">
        <f>C59</f>
        <v>0</v>
      </c>
      <c r="AQ1" s="115">
        <f>B60</f>
        <v>0</v>
      </c>
      <c r="AR1" s="115">
        <f>C60</f>
        <v>0</v>
      </c>
      <c r="AS1" s="115">
        <f>B61</f>
        <v>0</v>
      </c>
      <c r="AT1" s="115">
        <f>C61</f>
        <v>0</v>
      </c>
      <c r="AU1" s="115">
        <f>B62</f>
        <v>0</v>
      </c>
      <c r="AV1" s="115">
        <f>C62</f>
        <v>0</v>
      </c>
      <c r="AW1" s="115">
        <f>B63</f>
        <v>0</v>
      </c>
      <c r="AX1" s="115">
        <f>C63</f>
        <v>0</v>
      </c>
      <c r="AY1" s="115">
        <f>B64</f>
        <v>0</v>
      </c>
      <c r="AZ1" s="115">
        <f>C64</f>
        <v>0</v>
      </c>
      <c r="BA1" s="115">
        <f>B65</f>
        <v>0</v>
      </c>
      <c r="BB1" s="115">
        <f>C65</f>
        <v>0</v>
      </c>
      <c r="BC1" s="115">
        <f>B66</f>
        <v>0</v>
      </c>
      <c r="BD1" s="114">
        <f>C66</f>
        <v>0</v>
      </c>
      <c r="BE1" s="115">
        <f>B67</f>
        <v>0</v>
      </c>
      <c r="BF1" s="115">
        <f>C67</f>
        <v>0</v>
      </c>
      <c r="BG1" s="115">
        <f>B68</f>
        <v>0</v>
      </c>
      <c r="BH1" s="115">
        <f>C68</f>
        <v>0</v>
      </c>
      <c r="BI1" s="115">
        <f>B69</f>
        <v>0</v>
      </c>
      <c r="BJ1" s="115">
        <f>C69</f>
        <v>0</v>
      </c>
      <c r="BK1" s="115">
        <f>B70</f>
        <v>0</v>
      </c>
      <c r="BL1" s="115">
        <f>C70</f>
        <v>0</v>
      </c>
      <c r="BM1" s="115">
        <f>B71</f>
        <v>0</v>
      </c>
      <c r="BN1" s="115">
        <f>C71</f>
        <v>0</v>
      </c>
      <c r="BO1" s="115">
        <f>B72</f>
        <v>0</v>
      </c>
      <c r="BP1" s="116">
        <f>C72</f>
        <v>0</v>
      </c>
      <c r="BQ1" s="93"/>
      <c r="BR1" s="93"/>
      <c r="BS1" s="93"/>
      <c r="BT1" s="94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3"/>
      <c r="CI1" s="93"/>
      <c r="CJ1" s="95"/>
      <c r="CK1" s="93"/>
      <c r="CL1" s="93"/>
      <c r="CM1" s="93"/>
      <c r="CN1" s="93"/>
      <c r="CO1" s="93"/>
      <c r="CP1" s="93"/>
      <c r="CQ1" s="93"/>
      <c r="CR1" s="93"/>
      <c r="CS1" s="93"/>
      <c r="CT1" s="93"/>
      <c r="CU1" s="93"/>
      <c r="CV1" s="93"/>
      <c r="CW1" s="93"/>
      <c r="CX1" s="93"/>
      <c r="CY1" s="93"/>
      <c r="CZ1" s="95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5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5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5"/>
      <c r="EW1" s="96"/>
      <c r="EX1" s="96"/>
      <c r="EY1" s="96"/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/>
      <c r="FK1" s="96"/>
      <c r="FL1" s="95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5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5"/>
      <c r="GS1" s="96"/>
      <c r="GT1" s="96"/>
      <c r="GU1" s="96"/>
      <c r="GV1" s="96"/>
      <c r="GW1" s="96"/>
      <c r="GX1" s="96"/>
      <c r="GY1" s="96"/>
      <c r="GZ1" s="96"/>
      <c r="HA1" s="96"/>
      <c r="HB1" s="96"/>
      <c r="HC1" s="96"/>
      <c r="HD1" s="96"/>
      <c r="HE1" s="96"/>
      <c r="HF1" s="96"/>
      <c r="HG1" s="96"/>
      <c r="HH1" s="95"/>
      <c r="HI1" s="96"/>
      <c r="HJ1" s="96"/>
      <c r="HK1" s="96"/>
      <c r="HL1" s="96"/>
      <c r="HM1" s="96"/>
      <c r="HN1" s="96"/>
      <c r="HO1" s="96"/>
      <c r="HP1" s="96"/>
      <c r="HQ1" s="96"/>
      <c r="HR1" s="96"/>
      <c r="HS1" s="96"/>
      <c r="HT1" s="96"/>
      <c r="HU1" s="96"/>
      <c r="HV1" s="96"/>
      <c r="HW1" s="96"/>
      <c r="HX1" s="95"/>
      <c r="HY1" s="96"/>
      <c r="HZ1" s="96"/>
      <c r="IA1" s="96"/>
      <c r="IB1" s="96"/>
      <c r="IC1" s="96"/>
      <c r="ID1" s="96"/>
      <c r="IE1" s="96"/>
      <c r="IF1" s="96"/>
      <c r="IG1" s="96"/>
      <c r="IH1" s="96"/>
      <c r="II1" s="96"/>
      <c r="IJ1" s="96"/>
      <c r="IK1" s="96"/>
      <c r="IL1" s="96"/>
      <c r="IM1" s="96"/>
      <c r="IN1" s="95"/>
      <c r="IO1" s="96"/>
      <c r="IP1" s="96"/>
      <c r="IQ1" s="96"/>
      <c r="IR1" s="96"/>
      <c r="IS1" s="96"/>
      <c r="IT1" s="96"/>
      <c r="IU1" s="23"/>
      <c r="IV1" s="23"/>
      <c r="IW1" s="23"/>
      <c r="IX1" s="23"/>
      <c r="IY1" s="23"/>
      <c r="IZ1" s="23"/>
      <c r="JA1" s="23"/>
      <c r="JB1" s="23"/>
      <c r="JC1" s="23"/>
    </row>
    <row r="2" spans="1:263" ht="16.5" thickBot="1" x14ac:dyDescent="0.3">
      <c r="A2" s="1"/>
      <c r="B2" s="1"/>
      <c r="C2" s="1"/>
      <c r="D2" s="1"/>
      <c r="E2" s="1"/>
      <c r="F2" s="1"/>
      <c r="G2" s="1"/>
      <c r="I2" s="27"/>
      <c r="J2" s="28"/>
      <c r="N2" s="66"/>
      <c r="O2" s="68"/>
      <c r="P2" s="69"/>
      <c r="Q2" s="69"/>
      <c r="R2" s="69"/>
      <c r="S2" s="70"/>
      <c r="T2" s="46"/>
      <c r="U2" s="103"/>
      <c r="V2" s="84"/>
      <c r="W2" s="85">
        <f>A12</f>
        <v>0</v>
      </c>
      <c r="X2" s="86">
        <f>A13</f>
        <v>0</v>
      </c>
      <c r="Y2" s="86">
        <f>A14</f>
        <v>0</v>
      </c>
      <c r="Z2" s="86">
        <f>A15</f>
        <v>0</v>
      </c>
      <c r="AA2" s="86">
        <f>A16</f>
        <v>0</v>
      </c>
      <c r="AB2" s="86">
        <f>A17</f>
        <v>0</v>
      </c>
      <c r="AC2" s="86">
        <f>A18</f>
        <v>0</v>
      </c>
      <c r="AD2" s="86">
        <f>A19</f>
        <v>0</v>
      </c>
      <c r="AE2" s="86">
        <f>A20</f>
        <v>0</v>
      </c>
      <c r="AF2" s="86">
        <f>A21</f>
        <v>0</v>
      </c>
      <c r="AG2" s="86">
        <f>A22</f>
        <v>0</v>
      </c>
      <c r="AH2" s="86">
        <f>A23</f>
        <v>0</v>
      </c>
      <c r="AI2" s="86">
        <f>A24</f>
        <v>0</v>
      </c>
      <c r="AJ2" s="86">
        <f>A25</f>
        <v>0</v>
      </c>
      <c r="AK2" s="87">
        <f>A26</f>
        <v>0</v>
      </c>
      <c r="AL2" s="18"/>
      <c r="AM2" s="205">
        <f>A58</f>
        <v>0</v>
      </c>
      <c r="AN2" s="206"/>
      <c r="AO2" s="206">
        <f>A59</f>
        <v>0</v>
      </c>
      <c r="AP2" s="206"/>
      <c r="AQ2" s="206">
        <f>A60</f>
        <v>0</v>
      </c>
      <c r="AR2" s="206"/>
      <c r="AS2" s="206">
        <f>A61</f>
        <v>0</v>
      </c>
      <c r="AT2" s="206"/>
      <c r="AU2" s="206">
        <f>A62</f>
        <v>0</v>
      </c>
      <c r="AV2" s="206"/>
      <c r="AW2" s="206">
        <f>A63</f>
        <v>0</v>
      </c>
      <c r="AX2" s="206"/>
      <c r="AY2" s="206">
        <f>A64</f>
        <v>0</v>
      </c>
      <c r="AZ2" s="206"/>
      <c r="BA2" s="206">
        <f>A65</f>
        <v>0</v>
      </c>
      <c r="BB2" s="206"/>
      <c r="BC2" s="206">
        <f>A66</f>
        <v>0</v>
      </c>
      <c r="BD2" s="206"/>
      <c r="BE2" s="206">
        <f>A67</f>
        <v>0</v>
      </c>
      <c r="BF2" s="206"/>
      <c r="BG2" s="206">
        <f>A68</f>
        <v>0</v>
      </c>
      <c r="BH2" s="206"/>
      <c r="BI2" s="206">
        <f>A69</f>
        <v>0</v>
      </c>
      <c r="BJ2" s="206"/>
      <c r="BK2" s="206">
        <f>A70</f>
        <v>0</v>
      </c>
      <c r="BL2" s="206"/>
      <c r="BM2" s="206">
        <f>A71</f>
        <v>0</v>
      </c>
      <c r="BN2" s="206"/>
      <c r="BO2" s="206">
        <f>A72</f>
        <v>0</v>
      </c>
      <c r="BP2" s="207"/>
      <c r="BQ2" s="18"/>
      <c r="BR2" s="18"/>
      <c r="BS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DA2" s="97"/>
      <c r="DB2" s="97"/>
      <c r="DC2" s="97"/>
      <c r="DD2" s="97"/>
      <c r="DE2" s="97"/>
      <c r="DF2" s="97"/>
      <c r="DG2" s="97"/>
      <c r="DH2" s="97"/>
      <c r="DI2" s="97"/>
      <c r="DJ2" s="97"/>
      <c r="DK2" s="97"/>
      <c r="DL2" s="97"/>
      <c r="DM2" s="97"/>
      <c r="DN2" s="97"/>
      <c r="DO2" s="97"/>
      <c r="DQ2" s="97"/>
      <c r="DR2" s="97"/>
      <c r="DS2" s="97"/>
      <c r="DT2" s="97"/>
      <c r="DU2" s="97"/>
      <c r="DV2" s="97"/>
      <c r="DW2" s="97"/>
      <c r="DX2" s="97"/>
      <c r="DY2" s="97"/>
      <c r="DZ2" s="97"/>
      <c r="EA2" s="97"/>
      <c r="EB2" s="97"/>
      <c r="EC2" s="97"/>
      <c r="ED2" s="97"/>
      <c r="EE2" s="97"/>
      <c r="EG2" s="97"/>
      <c r="EH2" s="97"/>
      <c r="EI2" s="97"/>
      <c r="EJ2" s="97"/>
      <c r="EK2" s="97"/>
      <c r="EL2" s="97"/>
      <c r="EM2" s="97"/>
      <c r="EN2" s="97"/>
      <c r="EO2" s="97"/>
      <c r="EP2" s="97"/>
      <c r="EQ2" s="97"/>
      <c r="ER2" s="97"/>
      <c r="ES2" s="97"/>
      <c r="ET2" s="97"/>
      <c r="EU2" s="97"/>
      <c r="EW2" s="97"/>
      <c r="EX2" s="97"/>
      <c r="EY2" s="97"/>
      <c r="EZ2" s="97"/>
      <c r="FA2" s="97"/>
      <c r="FB2" s="97"/>
      <c r="FC2" s="97"/>
      <c r="FD2" s="97"/>
      <c r="FE2" s="97"/>
      <c r="FF2" s="97"/>
      <c r="FG2" s="97"/>
      <c r="FH2" s="97"/>
      <c r="FI2" s="97"/>
      <c r="FJ2" s="97"/>
      <c r="FK2" s="97"/>
      <c r="FM2" s="97"/>
      <c r="FN2" s="97"/>
      <c r="FO2" s="97"/>
      <c r="FP2" s="97"/>
      <c r="FQ2" s="97"/>
      <c r="FR2" s="97"/>
      <c r="FS2" s="97"/>
      <c r="FT2" s="97"/>
      <c r="FU2" s="97"/>
      <c r="FV2" s="97"/>
      <c r="FW2" s="97"/>
      <c r="FX2" s="97"/>
      <c r="FY2" s="97"/>
      <c r="FZ2" s="97"/>
      <c r="GA2" s="97"/>
      <c r="GC2" s="97"/>
      <c r="GD2" s="97"/>
      <c r="GE2" s="97"/>
      <c r="GF2" s="97"/>
      <c r="GG2" s="97"/>
      <c r="GH2" s="97"/>
      <c r="GI2" s="97"/>
      <c r="GJ2" s="97"/>
      <c r="GK2" s="97"/>
      <c r="GL2" s="97"/>
      <c r="GM2" s="97"/>
      <c r="GN2" s="97"/>
      <c r="GO2" s="97"/>
      <c r="GP2" s="97"/>
      <c r="GQ2" s="97"/>
      <c r="GS2" s="97"/>
      <c r="GT2" s="97"/>
      <c r="GU2" s="97"/>
      <c r="GV2" s="97"/>
      <c r="GW2" s="97"/>
      <c r="GX2" s="97"/>
      <c r="GY2" s="97"/>
      <c r="GZ2" s="97"/>
      <c r="HA2" s="97"/>
      <c r="HB2" s="97"/>
      <c r="HC2" s="97"/>
      <c r="HD2" s="97"/>
      <c r="HE2" s="97"/>
      <c r="HF2" s="97"/>
      <c r="HG2" s="97"/>
      <c r="HI2" s="97"/>
      <c r="HJ2" s="97"/>
      <c r="HK2" s="97"/>
      <c r="HL2" s="97"/>
      <c r="HM2" s="97"/>
      <c r="HN2" s="97"/>
      <c r="HO2" s="97"/>
      <c r="HP2" s="97"/>
      <c r="HQ2" s="97"/>
      <c r="HR2" s="97"/>
      <c r="HS2" s="97"/>
      <c r="HT2" s="97"/>
      <c r="HU2" s="97"/>
      <c r="HV2" s="97"/>
      <c r="HW2" s="97"/>
      <c r="HY2" s="97"/>
      <c r="HZ2" s="97"/>
      <c r="IA2" s="97"/>
      <c r="IB2" s="97"/>
      <c r="IC2" s="97"/>
      <c r="ID2" s="97"/>
      <c r="IE2" s="97"/>
      <c r="IF2" s="97"/>
      <c r="IG2" s="97"/>
      <c r="IH2" s="97"/>
      <c r="II2" s="97"/>
      <c r="IJ2" s="97"/>
      <c r="IK2" s="97"/>
      <c r="IL2" s="97"/>
      <c r="IM2" s="97"/>
      <c r="IO2" s="97"/>
      <c r="IP2" s="97"/>
      <c r="IQ2" s="97"/>
      <c r="IR2" s="97"/>
      <c r="IS2" s="97"/>
      <c r="IT2" s="97"/>
      <c r="IU2" s="24"/>
      <c r="IV2" s="24"/>
      <c r="IW2" s="24"/>
      <c r="IX2" s="24"/>
      <c r="IY2" s="24"/>
      <c r="IZ2" s="24"/>
      <c r="JA2" s="24"/>
      <c r="JB2" s="24"/>
      <c r="JC2" s="24"/>
    </row>
    <row r="3" spans="1:263" ht="20.25" thickTop="1" thickBot="1" x14ac:dyDescent="0.3">
      <c r="A3" s="190" t="s">
        <v>0</v>
      </c>
      <c r="B3" s="191"/>
      <c r="C3" s="192"/>
      <c r="D3" s="149"/>
      <c r="E3" s="16" t="s">
        <v>1</v>
      </c>
      <c r="F3" s="14" t="str">
        <f>IF(C4=0,"",C4)</f>
        <v/>
      </c>
      <c r="G3" s="15" t="s">
        <v>2</v>
      </c>
      <c r="H3" s="42"/>
      <c r="I3" s="27"/>
      <c r="J3" s="28"/>
      <c r="N3" s="108"/>
      <c r="O3" s="105"/>
      <c r="P3" s="106"/>
      <c r="Q3" s="106"/>
      <c r="R3" s="106"/>
      <c r="S3" s="107"/>
      <c r="T3" s="109"/>
      <c r="U3" s="103"/>
      <c r="V3" s="88">
        <f t="shared" ref="V3:V27" si="0">O2</f>
        <v>0</v>
      </c>
      <c r="W3" s="86" t="str" cm="1">
        <f t="array" ref="W3">IF(SUMPRODUCT((TableauDatas[[Test]:[Test]]=$W$2)*(TableauDatas[[Prénom]:[Prénom]]=V3)*(TableauDatas[[Date]:[Date]]=$W$1)*(TableauDatas[[Perf]:[Perf]]))=0,"",SUMPRODUCT((TableauDatas[[Test]:[Test]]=$W$2)*(TableauDatas[[Prénom]:[Prénom]]=V3)*(TableauDatas[[Date]:[Date]]=$W$1)*(TableauDatas[[Perf]:[Perf]])))</f>
        <v/>
      </c>
      <c r="X3" s="86" t="str" cm="1">
        <f t="array" ref="X3">IF(SUMPRODUCT((TableauDatas[[Test]:[Test]]=$X$2)*(TableauDatas[[Prénom]:[Prénom]]=V3)*(TableauDatas[[Date]:[Date]]=$X$1)*(TableauDatas[[Perf]:[Perf]]))=0,"",SUMPRODUCT((TableauDatas[[Test]:[Test]]=$X$2)*(TableauDatas[[Prénom]:[Prénom]]=V3)*(TableauDatas[[Date]:[Date]]=$X$1)*(TableauDatas[[Perf]:[Perf]])))</f>
        <v/>
      </c>
      <c r="Y3" s="86" t="str" cm="1">
        <f t="array" ref="Y3">IF(SUMPRODUCT((TableauDatas[[Test]:[Test]]=$Y$2)*(TableauDatas[[Prénom]:[Prénom]]=V3)*(TableauDatas[[Date]:[Date]]=$Y$1)*(TableauDatas[[Perf]:[Perf]]))=0,"",SUMPRODUCT((TableauDatas[[Test]:[Test]]=$Y$2)*(TableauDatas[[Prénom]:[Prénom]]=V3)*(TableauDatas[[Date]:[Date]]=$Y$1)*(TableauDatas[[Perf]:[Perf]])))</f>
        <v/>
      </c>
      <c r="Z3" s="86" t="str" cm="1">
        <f t="array" ref="Z3">IF(SUMPRODUCT((TableauDatas[[Test]:[Test]]=$Z$2)*(TableauDatas[[Prénom]:[Prénom]]=V3)*(TableauDatas[[Date]:[Date]]=$Z$1)*(TableauDatas[[Perf]:[Perf]]))=0,"",SUMPRODUCT((TableauDatas[[Test]:[Test]]=$Z$2)*(TableauDatas[[Prénom]:[Prénom]]=V3)*(TableauDatas[[Date]:[Date]]=$Z$1)*(TableauDatas[[Perf]:[Perf]])))</f>
        <v/>
      </c>
      <c r="AA3" s="86" t="str" cm="1">
        <f t="array" ref="AA3">IF(SUMPRODUCT((TableauDatas[[Test]:[Test]]=$AA$2)*(TableauDatas[[Prénom]:[Prénom]]=V3)*(TableauDatas[[Date]:[Date]]=$AA$1)*(TableauDatas[[Perf]:[Perf]]))=0,"",SUMPRODUCT((TableauDatas[[Test]:[Test]]=$AA$2)*(TableauDatas[[Prénom]:[Prénom]]=V3)*(TableauDatas[[Date]:[Date]]=$AA$1)*(TableauDatas[[Perf]:[Perf]])))</f>
        <v/>
      </c>
      <c r="AB3" s="86" t="str" cm="1">
        <f t="array" ref="AB3">IF(SUMPRODUCT((TableauDatas[[Test]:[Test]]=$AB$2)*(TableauDatas[[Prénom]:[Prénom]]=V3)*(TableauDatas[[Date]:[Date]]=$AB$1)*(TableauDatas[[Perf]:[Perf]]))=0,"",SUMPRODUCT((TableauDatas[[Test]:[Test]]=$AB$2)*(TableauDatas[[Prénom]:[Prénom]]=V3)*(TableauDatas[[Date]:[Date]]=$AB$1)*(TableauDatas[[Perf]:[Perf]])))</f>
        <v/>
      </c>
      <c r="AC3" s="86" t="str" cm="1">
        <f t="array" ref="AC3">IF(SUMPRODUCT((TableauDatas[[Test]:[Test]]=$AC$2)*(TableauDatas[[Prénom]:[Prénom]]=V3)*(TableauDatas[[Date]:[Date]]=$AC$1)*(TableauDatas[[Perf]:[Perf]]))=0,"",SUMPRODUCT((TableauDatas[[Test]:[Test]]=$AC$2)*(TableauDatas[[Prénom]:[Prénom]]=V3)*(TableauDatas[[Date]:[Date]]=$AC$1)*(TableauDatas[[Perf]:[Perf]])))</f>
        <v/>
      </c>
      <c r="AD3" s="86" t="str" cm="1">
        <f t="array" ref="AD3">IF(SUMPRODUCT((TableauDatas[[Test]:[Test]]=$AD$2)*(TableauDatas[[Prénom]:[Prénom]]=V3)*(TableauDatas[[Date]:[Date]]=$AD$1)*(TableauDatas[[Perf]:[Perf]]))=0,"",SUMPRODUCT((TableauDatas[[Test]:[Test]]=$AD$2)*(TableauDatas[[Prénom]:[Prénom]]=V3)*(TableauDatas[[Date]:[Date]]=$AD$1)*(TableauDatas[[Perf]:[Perf]])))</f>
        <v/>
      </c>
      <c r="AE3" s="86" t="str" cm="1">
        <f t="array" ref="AE3">IF(SUMPRODUCT((TableauDatas[[Test]:[Test]]=$AE$2)*(TableauDatas[[Prénom]:[Prénom]]=V3)*(TableauDatas[[Date]:[Date]]=$AE$1)*(TableauDatas[[Perf]:[Perf]]))=0,"",SUMPRODUCT((TableauDatas[[Test]:[Test]]=$AE$2)*(TableauDatas[[Prénom]:[Prénom]]=V3)*(TableauDatas[[Date]:[Date]]=$AE$1)*(TableauDatas[[Perf]:[Perf]])))</f>
        <v/>
      </c>
      <c r="AF3" s="86" t="str" cm="1">
        <f t="array" ref="AF3">IF(SUMPRODUCT((TableauDatas[[Test]:[Test]]=$AF$2)*(TableauDatas[[Prénom]:[Prénom]]=V3)*(TableauDatas[[Date]:[Date]]=$AF$1)*(TableauDatas[[Perf]:[Perf]]))=0,"",SUMPRODUCT((TableauDatas[[Test]:[Test]]=$AF$2)*(TableauDatas[[Prénom]:[Prénom]]=V3)*(TableauDatas[[Date]:[Date]]=$AF$1)*(TableauDatas[[Perf]:[Perf]])))</f>
        <v/>
      </c>
      <c r="AG3" s="86" t="str" cm="1">
        <f t="array" ref="AG3">IF(SUMPRODUCT((TableauDatas[[Test]:[Test]]=$AG$2)*(TableauDatas[[Prénom]:[Prénom]]=V3)*(TableauDatas[[Date]:[Date]]=$AG$1)*(TableauDatas[[Perf]:[Perf]]))=0,"",SUMPRODUCT((TableauDatas[[Test]:[Test]]=$AG$2)*(TableauDatas[[Prénom]:[Prénom]]=V3)*(TableauDatas[[Date]:[Date]]=$AG$1)*(TableauDatas[[Perf]:[Perf]])))</f>
        <v/>
      </c>
      <c r="AH3" s="86" t="str" cm="1">
        <f t="array" ref="AH3">IF(SUMPRODUCT((TableauDatas[[Test]:[Test]]=$AH$2)*(TableauDatas[[Prénom]:[Prénom]]=V3)*(TableauDatas[[Date]:[Date]]=$AH$1)*(TableauDatas[[Perf]:[Perf]]))=0,"",SUMPRODUCT((TableauDatas[[Test]:[Test]]=$AH$2)*(TableauDatas[[Prénom]:[Prénom]]=V3)*(TableauDatas[[Date]:[Date]]=$AH$1)*(TableauDatas[[Perf]:[Perf]])))</f>
        <v/>
      </c>
      <c r="AI3" s="86" t="str" cm="1">
        <f t="array" ref="AI3">IF(SUMPRODUCT((TableauDatas[[Test]:[Test]]=$AI$2)*(TableauDatas[[Prénom]:[Prénom]]=V3)*(TableauDatas[[Date]:[Date]]=$AI$1)*(TableauDatas[[Perf]:[Perf]]))=0,"",SUMPRODUCT((TableauDatas[[Test]:[Test]]=$AI$2)*(TableauDatas[[Prénom]:[Prénom]]=V3)*(TableauDatas[[Date]:[Date]]=$AI$1)*(TableauDatas[[Perf]:[Perf]])))</f>
        <v/>
      </c>
      <c r="AJ3" s="86" t="str" cm="1">
        <f t="array" ref="AJ3">IF(SUMPRODUCT((TableauDatas[[Test]:[Test]]=$AJ$2)*(TableauDatas[[Prénom]:[Prénom]]=V3)*(TableauDatas[[Date]:[Date]]=$AJ$1)*(TableauDatas[[Perf]:[Perf]]))=0,"",SUMPRODUCT((TableauDatas[[Test]:[Test]]=$AJ$2)*(TableauDatas[[Prénom]:[Prénom]]=V3)*(TableauDatas[[Date]:[Date]]=$AJ$1)*(TableauDatas[[Perf]:[Perf]])))</f>
        <v/>
      </c>
      <c r="AK3" s="87" t="str" cm="1">
        <f t="array" ref="AK3">IF(SUMPRODUCT((TableauDatas[[Test]:[Test]]=$AK$2)*(TableauDatas[[Prénom]:[Prénom]]=V3)*(TableauDatas[[Date]:[Date]]=$AK$1)*(TableauDatas[[Perf]:[Perf]]))=0,"",SUMPRODUCT((TableauDatas[[Test]:[Test]]=$AK$2)*(TableauDatas[[Prénom]:[Prénom]]=V3)*(TableauDatas[[Date]:[Date]]=$AK$1)*(TableauDatas[[Perf]:[Perf]])))</f>
        <v/>
      </c>
      <c r="AL3" s="18"/>
      <c r="AM3" s="117" t="str" cm="1">
        <f t="array" ref="AM3">IF(SUMPRODUCT((TableauDatas[[Test]:[Test]]=$AM$2)*(TableauDatas[[Prénom]:[Prénom]]=V3)*(TableauDatas[[Date]:[Date]]=$AM$1)*(TableauDatas[[Perf]:[Perf]]))=0,"",SUMPRODUCT((TableauDatas[[Test]:[Test]]=$AM$2)*(TableauDatas[[Prénom]:[Prénom]]=V3)*(TableauDatas[[Date]:[Date]]=$AM$1)*(TableauDatas[[Perf]:[Perf]])))</f>
        <v/>
      </c>
      <c r="AN3" s="120" t="str" cm="1">
        <f t="array" ref="AN3">IF(SUMPRODUCT((TableauDatas[[Test]:[Test]]=$AM$2)*(TableauDatas[[Prénom]:[Prénom]]=V3)*(TableauDatas[[Date]:[Date]]=$AN$1)*(TableauDatas[[Perf]:[Perf]]))=0,"",SUMPRODUCT((TableauDatas[[Test]:[Test]]=$AM$2)*(TableauDatas[[Prénom]:[Prénom]]=V3)*(TableauDatas[[Date]:[Date]]=$AN$1)*(TableauDatas[[Perf]:[Perf]])))</f>
        <v/>
      </c>
      <c r="AO3" s="118" t="str" cm="1">
        <f t="array" ref="AO3">IF(SUMPRODUCT((TableauDatas[[Test]:[Test]]=$AO$2)*(TableauDatas[[Prénom]:[Prénom]]=V3)*(TableauDatas[[Date]:[Date]]=$AO$1)*(TableauDatas[[Perf]:[Perf]]))=0,"",SUMPRODUCT((TableauDatas[[Test]:[Test]]=$AO$2)*(TableauDatas[[Prénom]:[Prénom]]=V3)*(TableauDatas[[Date]:[Date]]=$AO$1)*(TableauDatas[[Perf]:[Perf]])))</f>
        <v/>
      </c>
      <c r="AP3" s="118" t="str" cm="1">
        <f t="array" ref="AP3">IF(SUMPRODUCT((TableauDatas[[Test]:[Test]]=$AO$2)*(TableauDatas[[Prénom]:[Prénom]]=V3)*(TableauDatas[[Date]:[Date]]=$AP$1)*(TableauDatas[[Perf]:[Perf]]))=0,"",SUMPRODUCT((TableauDatas[[Test]:[Test]]=$AO$2)*(TableauDatas[[Prénom]:[Prénom]]=V3)*(TableauDatas[[Date]:[Date]]=$AP$1)*(TableauDatas[[Perf]:[Perf]])))</f>
        <v/>
      </c>
      <c r="AQ3" s="118" t="str" cm="1">
        <f t="array" ref="AQ3">IF(SUMPRODUCT((TableauDatas[[Test]:[Test]]=$AQ$2)*(TableauDatas[[Prénom]:[Prénom]]=V3)*(TableauDatas[[Date]:[Date]]=$AQ$1)*(TableauDatas[[Perf]:[Perf]]))=0,"",SUMPRODUCT((TableauDatas[[Test]:[Test]]=$AQ$2)*(TableauDatas[[Prénom]:[Prénom]]=V3)*(TableauDatas[[Date]:[Date]]=$AQ$1)*(TableauDatas[[Perf]:[Perf]])))</f>
        <v/>
      </c>
      <c r="AR3" s="118" t="str" cm="1">
        <f t="array" ref="AR3">IF(SUMPRODUCT((TableauDatas[[Test]:[Test]]=$AQ$2)*(TableauDatas[[Prénom]:[Prénom]]=V3)*(TableauDatas[[Date]:[Date]]=$AR$1)*(TableauDatas[[Perf]:[Perf]]))=0,"",SUMPRODUCT((TableauDatas[[Test]:[Test]]=$AQ$2)*(TableauDatas[[Prénom]:[Prénom]]=V3)*(TableauDatas[[Date]:[Date]]=$AR$1)*(TableauDatas[[Perf]:[Perf]])))</f>
        <v/>
      </c>
      <c r="AS3" s="118" t="str" cm="1">
        <f t="array" ref="AS3">IF(SUMPRODUCT((TableauDatas[[Test]:[Test]]=$AS$2)*(TableauDatas[[Prénom]:[Prénom]]=V3)*(TableauDatas[[Date]:[Date]]=$AS$1)*(TableauDatas[[Perf]:[Perf]]))=0,"",SUMPRODUCT((TableauDatas[[Test]:[Test]]=$AS$2)*(TableauDatas[[Prénom]:[Prénom]]=V3)*(TableauDatas[[Date]:[Date]]=$AS$1)*(TableauDatas[[Perf]:[Perf]])))</f>
        <v/>
      </c>
      <c r="AT3" s="118" t="str" cm="1">
        <f t="array" ref="AT3">IF(SUMPRODUCT((TableauDatas[[Test]:[Test]]=$AS$2)*(TableauDatas[[Prénom]:[Prénom]]=V3)*(TableauDatas[[Date]:[Date]]=$AT$1)*(TableauDatas[[Perf]:[Perf]]))=0,"",SUMPRODUCT((TableauDatas[[Test]:[Test]]=$AS$2)*(TableauDatas[[Prénom]:[Prénom]]=V3)*(TableauDatas[[Date]:[Date]]=$AT$1)*(TableauDatas[[Perf]:[Perf]])))</f>
        <v/>
      </c>
      <c r="AU3" s="118" t="str" cm="1">
        <f t="array" ref="AU3">IF(SUMPRODUCT((TableauDatas[[Test]:[Test]]=$AU$2)*(TableauDatas[[Prénom]:[Prénom]]=V3)*(TableauDatas[[Date]:[Date]]=$AU$1)*(TableauDatas[[Perf]:[Perf]]))=0,"",SUMPRODUCT((TableauDatas[[Test]:[Test]]=$AU$2)*(TableauDatas[[Prénom]:[Prénom]]=V3)*(TableauDatas[[Date]:[Date]]=$AU$1)*(TableauDatas[[Perf]:[Perf]])))</f>
        <v/>
      </c>
      <c r="AV3" s="118" t="str" cm="1">
        <f t="array" ref="AV3">IF(SUMPRODUCT((TableauDatas[[Test]:[Test]]=$AU$2)*(TableauDatas[[Prénom]:[Prénom]]=V3)*(TableauDatas[[Date]:[Date]]=$AV$1)*(TableauDatas[[Perf]:[Perf]]))=0,"",SUMPRODUCT((TableauDatas[[Test]:[Test]]=$AU$2)*(TableauDatas[[Prénom]:[Prénom]]=V3)*(TableauDatas[[Date]:[Date]]=$AV$1)*(TableauDatas[[Perf]:[Perf]])))</f>
        <v/>
      </c>
      <c r="AW3" s="118" t="str" cm="1">
        <f t="array" ref="AW3">IF(SUMPRODUCT((TableauDatas[[Test]:[Test]]=$AW$2)*(TableauDatas[[Prénom]:[Prénom]]=V3)*(TableauDatas[[Date]:[Date]]=$AW$1)*(TableauDatas[[Perf]:[Perf]]))=0,"",SUMPRODUCT((TableauDatas[[Test]:[Test]]=$AW$2)*(TableauDatas[[Prénom]:[Prénom]]=V3)*(TableauDatas[[Date]:[Date]]=$AW$1)*(TableauDatas[[Perf]:[Perf]])))</f>
        <v/>
      </c>
      <c r="AX3" s="118" t="str" cm="1">
        <f t="array" ref="AX3">IF(SUMPRODUCT((TableauDatas[[Test]:[Test]]=$AW$2)*(TableauDatas[[Prénom]:[Prénom]]=V3)*(TableauDatas[[Date]:[Date]]=$AX$1)*(TableauDatas[[Perf]:[Perf]]))=0,"",SUMPRODUCT((TableauDatas[[Test]:[Test]]=$AW$2)*(TableauDatas[[Prénom]:[Prénom]]=V3)*(TableauDatas[[Date]:[Date]]=$AX$1)*(TableauDatas[[Perf]:[Perf]])))</f>
        <v/>
      </c>
      <c r="AY3" s="118" t="str" cm="1">
        <f t="array" ref="AY3">IF(SUMPRODUCT((TableauDatas[[Test]:[Test]]=$AY$2)*(TableauDatas[[Prénom]:[Prénom]]=V3)*(TableauDatas[[Date]:[Date]]=$AY$1)*(TableauDatas[[Perf]:[Perf]]))=0,"",SUMPRODUCT((TableauDatas[[Test]:[Test]]=$AY$2)*(TableauDatas[[Prénom]:[Prénom]]=V3)*(TableauDatas[[Date]:[Date]]=$AY$1)*(TableauDatas[[Perf]:[Perf]])))</f>
        <v/>
      </c>
      <c r="AZ3" s="118" t="str" cm="1">
        <f t="array" ref="AZ3">IF(SUMPRODUCT((TableauDatas[[Test]:[Test]]=$AY$2)*(TableauDatas[[Prénom]:[Prénom]]=V3)*(TableauDatas[[Date]:[Date]]=$AZ$1)*(TableauDatas[[Perf]:[Perf]]))=0,"",SUMPRODUCT((TableauDatas[[Test]:[Test]]=$AY$2)*(TableauDatas[[Prénom]:[Prénom]]=V3)*(TableauDatas[[Date]:[Date]]=$AZ$1)*(TableauDatas[[Perf]:[Perf]])))</f>
        <v/>
      </c>
      <c r="BA3" s="118" t="str" cm="1">
        <f t="array" ref="BA3">IF(SUMPRODUCT((TableauDatas[[Test]:[Test]]=$BA$2)*(TableauDatas[[Prénom]:[Prénom]]=V3)*(TableauDatas[[Date]:[Date]]=$BA$1)*(TableauDatas[[Perf]:[Perf]]))=0,"",SUMPRODUCT((TableauDatas[[Test]:[Test]]=$BA$2)*(TableauDatas[[Prénom]:[Prénom]]=V3)*(TableauDatas[[Date]:[Date]]=$BA$1)*(TableauDatas[[Perf]:[Perf]])))</f>
        <v/>
      </c>
      <c r="BB3" s="118" t="str" cm="1">
        <f t="array" ref="BB3">IF(SUMPRODUCT((TableauDatas[[Test]:[Test]]=$BA$2)*(TableauDatas[[Prénom]:[Prénom]]=V3)*(TableauDatas[[Date]:[Date]]=$BB$1)*(TableauDatas[[Perf]:[Perf]]))=0,"",SUMPRODUCT((TableauDatas[[Test]:[Test]]=$BA$2)*(TableauDatas[[Prénom]:[Prénom]]=V3)*(TableauDatas[[Date]:[Date]]=$BB$1)*(TableauDatas[[Perf]:[Perf]])))</f>
        <v/>
      </c>
      <c r="BC3" s="118" t="str" cm="1">
        <f t="array" ref="BC3">IF(SUMPRODUCT((TableauDatas[[Test]:[Test]]=$BC$2)*(TableauDatas[[Prénom]:[Prénom]]=V3)*(TableauDatas[[Date]:[Date]]=$BC$1)*(TableauDatas[[Perf]:[Perf]]))=0,"",SUMPRODUCT((TableauDatas[[Test]:[Test]]=$BC$2)*(TableauDatas[[Prénom]:[Prénom]]=V3)*(TableauDatas[[Date]:[Date]]=$BC$1)*(TableauDatas[[Perf]:[Perf]])))</f>
        <v/>
      </c>
      <c r="BD3" s="121" t="str" cm="1">
        <f t="array" ref="BD3">IF(SUMPRODUCT((TableauDatas[[Test]:[Test]]=$BC$2)*(TableauDatas[[Prénom]:[Prénom]]=V3)*(TableauDatas[[Date]:[Date]]=$BD$1)*(TableauDatas[[Perf]:[Perf]]))=0,"",SUMPRODUCT((TableauDatas[[Test]:[Test]]=$BC$2)*(TableauDatas[[Prénom]:[Prénom]]=V3)*(TableauDatas[[Date]:[Date]]=$BD$1)*(TableauDatas[[Perf]:[Perf]])))</f>
        <v/>
      </c>
      <c r="BE3" s="118" t="str" cm="1">
        <f t="array" ref="BE3">IF(SUMPRODUCT((TableauDatas[[Test]:[Test]]=$BE$2)*(TableauDatas[[Prénom]:[Prénom]]=V3)*(TableauDatas[[Date]:[Date]]=$BE$1)*(TableauDatas[[Perf]:[Perf]]))=0,"",SUMPRODUCT((TableauDatas[[Test]:[Test]]=$BE$2)*(TableauDatas[[Prénom]:[Prénom]]=V3)*(TableauDatas[[Date]:[Date]]=$BE$1)*(TableauDatas[[Perf]:[Perf]])))</f>
        <v/>
      </c>
      <c r="BF3" s="118" t="str" cm="1">
        <f t="array" ref="BF3">IF(SUMPRODUCT((TableauDatas[[Test]:[Test]]=$BE$2)*(TableauDatas[[Prénom]:[Prénom]]=V3)*(TableauDatas[[Date]:[Date]]=$BF$1)*(TableauDatas[[Perf]:[Perf]]))=0,"",SUMPRODUCT((TableauDatas[[Test]:[Test]]=$BE$2)*(TableauDatas[[Prénom]:[Prénom]]=V3)*(TableauDatas[[Date]:[Date]]=$BF$1)*(TableauDatas[[Perf]:[Perf]])))</f>
        <v/>
      </c>
      <c r="BG3" s="118" t="str" cm="1">
        <f t="array" ref="BG3">IF(SUMPRODUCT((TableauDatas[[Test]:[Test]]=$BG$2)*(TableauDatas[[Prénom]:[Prénom]]=V3)*(TableauDatas[[Date]:[Date]]=$BG$1)*(TableauDatas[[Perf]:[Perf]]))=0,"",SUMPRODUCT((TableauDatas[[Test]:[Test]]=$BG$2)*(TableauDatas[[Prénom]:[Prénom]]=V3)*(TableauDatas[[Date]:[Date]]=$BG$1)*(TableauDatas[[Perf]:[Perf]])))</f>
        <v/>
      </c>
      <c r="BH3" s="118" t="str" cm="1">
        <f t="array" ref="BH3">IF(SUMPRODUCT((TableauDatas[[Test]:[Test]]=$BG$2)*(TableauDatas[[Prénom]:[Prénom]]=V3)*(TableauDatas[[Date]:[Date]]=$BH$1)*(TableauDatas[[Perf]:[Perf]]))=0,"",SUMPRODUCT((TableauDatas[[Test]:[Test]]=$BG$2)*(TableauDatas[[Prénom]:[Prénom]]=V3)*(TableauDatas[[Date]:[Date]]=$BH$1)*(TableauDatas[[Perf]:[Perf]])))</f>
        <v/>
      </c>
      <c r="BI3" s="118" t="str" cm="1">
        <f t="array" ref="BI3">IF(SUMPRODUCT((TableauDatas[[Test]:[Test]]=$BI$2)*(TableauDatas[[Prénom]:[Prénom]]=V3)*(TableauDatas[[Date]:[Date]]=$BI$1)*(TableauDatas[[Perf]:[Perf]]))=0,"",SUMPRODUCT((TableauDatas[[Test]:[Test]]=$BI$2)*(TableauDatas[[Prénom]:[Prénom]]=V3)*(TableauDatas[[Date]:[Date]]=$BI$1)*(TableauDatas[[Perf]:[Perf]])))</f>
        <v/>
      </c>
      <c r="BJ3" s="118" t="str" cm="1">
        <f t="array" ref="BJ3">IF(SUMPRODUCT((TableauDatas[[Test]:[Test]]=$BI$2)*(TableauDatas[[Prénom]:[Prénom]]=V3)*(TableauDatas[[Date]:[Date]]=$BJ$1)*(TableauDatas[[Perf]:[Perf]]))=0,"",SUMPRODUCT((TableauDatas[[Test]:[Test]]=$BI$2)*(TableauDatas[[Prénom]:[Prénom]]=V3)*(TableauDatas[[Date]:[Date]]=$BJ$1)*(TableauDatas[[Perf]:[Perf]])))</f>
        <v/>
      </c>
      <c r="BK3" s="118" t="str" cm="1">
        <f t="array" ref="BK3">IF(SUMPRODUCT((TableauDatas[[Test]:[Test]]=$BK$2)*(TableauDatas[[Prénom]:[Prénom]]=V3)*(TableauDatas[[Date]:[Date]]=$BK$1)*(TableauDatas[[Perf]:[Perf]]))=0,"",SUMPRODUCT((TableauDatas[[Test]:[Test]]=$BK$2)*(TableauDatas[[Prénom]:[Prénom]]=V3)*(TableauDatas[[Date]:[Date]]=$BK$1)*(TableauDatas[[Perf]:[Perf]])))</f>
        <v/>
      </c>
      <c r="BL3" s="118" t="str" cm="1">
        <f t="array" ref="BL3">IF(SUMPRODUCT((TableauDatas[[Test]:[Test]]=$BK$2)*(TableauDatas[[Prénom]:[Prénom]]=V3)*(TableauDatas[[Date]:[Date]]=$BL$1)*(TableauDatas[[Perf]:[Perf]]))=0,"",SUMPRODUCT((TableauDatas[[Test]:[Test]]=$BK$2)*(TableauDatas[[Prénom]:[Prénom]]=V3)*(TableauDatas[[Date]:[Date]]=$BL$1)*(TableauDatas[[Perf]:[Perf]])))</f>
        <v/>
      </c>
      <c r="BM3" s="118" t="str" cm="1">
        <f t="array" ref="BM3">IF(SUMPRODUCT((TableauDatas[[Test]:[Test]]=$BM$2)*(TableauDatas[[Prénom]:[Prénom]]=V3)*(TableauDatas[[Date]:[Date]]=$BM$1)*(TableauDatas[[Perf]:[Perf]]))=0,"",SUMPRODUCT((TableauDatas[[Test]:[Test]]=$BM$2)*(TableauDatas[[Prénom]:[Prénom]]=V3)*(TableauDatas[[Date]:[Date]]=$BM$1)*(TableauDatas[[Perf]:[Perf]])))</f>
        <v/>
      </c>
      <c r="BN3" s="118" t="str" cm="1">
        <f t="array" ref="BN3">IF(SUMPRODUCT((TableauDatas[[Test]:[Test]]=$BM$2)*(TableauDatas[[Prénom]:[Prénom]]=V3)*(TableauDatas[[Date]:[Date]]=$BN$1)*(TableauDatas[[Perf]:[Perf]]))=0,"",SUMPRODUCT((TableauDatas[[Test]:[Test]]=$BM$2)*(TableauDatas[[Prénom]:[Prénom]]=V3)*(TableauDatas[[Date]:[Date]]=$BN$1)*(TableauDatas[[Perf]:[Perf]])))</f>
        <v/>
      </c>
      <c r="BO3" s="118" t="str" cm="1">
        <f t="array" ref="BO3">IF(SUMPRODUCT((TableauDatas[[Test]:[Test]]=$BO$2)*(TableauDatas[[Prénom]:[Prénom]]=V3)*(TableauDatas[[Date]:[Date]]=$BO$1)*(TableauDatas[[Perf]:[Perf]]))=0,"",SUMPRODUCT((TableauDatas[[Test]:[Test]]=$BO$2)*(TableauDatas[[Prénom]:[Prénom]]=V3)*(TableauDatas[[Date]:[Date]]=$BO$1)*(TableauDatas[[Perf]:[Perf]])))</f>
        <v/>
      </c>
      <c r="BP3" s="119" t="str" cm="1">
        <f t="array" ref="BP3">IF(SUMPRODUCT((TableauDatas[[Test]:[Test]]=$BO$2)*(TableauDatas[[Prénom]:[Prénom]]=V3)*(TableauDatas[[Date]:[Date]]=$BP$1)*(TableauDatas[[Perf]:[Perf]]))=0,"",SUMPRODUCT((TableauDatas[[Test]:[Test]]=$BO$2)*(TableauDatas[[Prénom]:[Prénom]]=V3)*(TableauDatas[[Date]:[Date]]=$BP$1)*(TableauDatas[[Perf]:[Perf]])))</f>
        <v/>
      </c>
      <c r="BQ3" s="18"/>
      <c r="BR3" s="18"/>
      <c r="BS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DA3" s="97"/>
      <c r="DB3" s="97"/>
      <c r="DC3" s="97"/>
      <c r="DD3" s="97"/>
      <c r="DE3" s="97"/>
      <c r="DF3" s="97"/>
      <c r="DG3" s="97"/>
      <c r="DH3" s="97"/>
      <c r="DI3" s="97"/>
      <c r="DJ3" s="97"/>
      <c r="DK3" s="97"/>
      <c r="DL3" s="97"/>
      <c r="DM3" s="97"/>
      <c r="DN3" s="97"/>
      <c r="DO3" s="97"/>
      <c r="DQ3" s="97"/>
      <c r="DR3" s="97"/>
      <c r="DS3" s="97"/>
      <c r="DT3" s="97"/>
      <c r="DU3" s="97"/>
      <c r="DV3" s="97"/>
      <c r="DW3" s="97"/>
      <c r="DX3" s="97"/>
      <c r="DY3" s="97"/>
      <c r="DZ3" s="97"/>
      <c r="EA3" s="97"/>
      <c r="EB3" s="97"/>
      <c r="EC3" s="97"/>
      <c r="ED3" s="97"/>
      <c r="EE3" s="97"/>
      <c r="EG3" s="97"/>
      <c r="EH3" s="97"/>
      <c r="EI3" s="97"/>
      <c r="EJ3" s="97"/>
      <c r="EK3" s="97"/>
      <c r="EL3" s="97"/>
      <c r="EM3" s="97"/>
      <c r="EN3" s="97"/>
      <c r="EO3" s="97"/>
      <c r="EP3" s="97"/>
      <c r="EQ3" s="97"/>
      <c r="ER3" s="97"/>
      <c r="ES3" s="97"/>
      <c r="ET3" s="97"/>
      <c r="EU3" s="97"/>
      <c r="EW3" s="97"/>
      <c r="EX3" s="97"/>
      <c r="EY3" s="97"/>
      <c r="EZ3" s="97"/>
      <c r="FA3" s="97"/>
      <c r="FB3" s="97"/>
      <c r="FC3" s="97"/>
      <c r="FD3" s="97"/>
      <c r="FE3" s="97"/>
      <c r="FF3" s="97"/>
      <c r="FG3" s="97"/>
      <c r="FH3" s="97"/>
      <c r="FI3" s="97"/>
      <c r="FJ3" s="97"/>
      <c r="FK3" s="97"/>
      <c r="FM3" s="97"/>
      <c r="FN3" s="97"/>
      <c r="FO3" s="97"/>
      <c r="FP3" s="97"/>
      <c r="FQ3" s="97"/>
      <c r="FR3" s="97"/>
      <c r="FS3" s="97"/>
      <c r="FT3" s="97"/>
      <c r="FU3" s="97"/>
      <c r="FV3" s="97"/>
      <c r="FW3" s="97"/>
      <c r="FX3" s="97"/>
      <c r="FY3" s="97"/>
      <c r="FZ3" s="97"/>
      <c r="GA3" s="97"/>
      <c r="GC3" s="97"/>
      <c r="GD3" s="97"/>
      <c r="GE3" s="97"/>
      <c r="GF3" s="97"/>
      <c r="GG3" s="97"/>
      <c r="GH3" s="97"/>
      <c r="GI3" s="97"/>
      <c r="GJ3" s="97"/>
      <c r="GK3" s="97"/>
      <c r="GL3" s="97"/>
      <c r="GM3" s="97"/>
      <c r="GN3" s="97"/>
      <c r="GO3" s="97"/>
      <c r="GP3" s="97"/>
      <c r="GQ3" s="97"/>
      <c r="GS3" s="97"/>
      <c r="GT3" s="97"/>
      <c r="GU3" s="97"/>
      <c r="GV3" s="97"/>
      <c r="GW3" s="97"/>
      <c r="GX3" s="97"/>
      <c r="GY3" s="97"/>
      <c r="GZ3" s="97"/>
      <c r="HA3" s="97"/>
      <c r="HB3" s="97"/>
      <c r="HC3" s="97"/>
      <c r="HD3" s="97"/>
      <c r="HE3" s="97"/>
      <c r="HF3" s="97"/>
      <c r="HG3" s="97"/>
      <c r="HI3" s="97"/>
      <c r="HJ3" s="97"/>
      <c r="HK3" s="97"/>
      <c r="HL3" s="97"/>
      <c r="HM3" s="97"/>
      <c r="HN3" s="97"/>
      <c r="HO3" s="97"/>
      <c r="HP3" s="97"/>
      <c r="HQ3" s="97"/>
      <c r="HR3" s="97"/>
      <c r="HS3" s="97"/>
      <c r="HT3" s="97"/>
      <c r="HU3" s="97"/>
      <c r="HV3" s="97"/>
      <c r="HW3" s="97"/>
      <c r="HY3" s="97"/>
      <c r="HZ3" s="97"/>
      <c r="IA3" s="97"/>
      <c r="IB3" s="97"/>
      <c r="IC3" s="97"/>
      <c r="ID3" s="97"/>
      <c r="IE3" s="97"/>
      <c r="IF3" s="97"/>
      <c r="IG3" s="97"/>
      <c r="IH3" s="97"/>
      <c r="II3" s="97"/>
      <c r="IJ3" s="97"/>
      <c r="IK3" s="97"/>
      <c r="IL3" s="97"/>
      <c r="IM3" s="97"/>
      <c r="IO3" s="97"/>
      <c r="IP3" s="97"/>
      <c r="IQ3" s="97"/>
      <c r="IR3" s="97"/>
      <c r="IS3" s="97"/>
      <c r="IT3" s="97"/>
      <c r="IU3" s="24"/>
      <c r="IV3" s="24"/>
      <c r="IW3" s="24"/>
      <c r="IX3" s="24"/>
      <c r="IY3" s="24"/>
      <c r="IZ3" s="24"/>
      <c r="JA3" s="24"/>
      <c r="JB3" s="24"/>
      <c r="JC3" s="24"/>
    </row>
    <row r="4" spans="1:263" ht="17.25" thickTop="1" thickBot="1" x14ac:dyDescent="0.3">
      <c r="A4" s="187"/>
      <c r="B4" s="12" t="s">
        <v>16</v>
      </c>
      <c r="C4" s="53"/>
      <c r="D4" s="1"/>
      <c r="E4" s="50"/>
      <c r="F4" s="60" t="str">
        <f>IFERROR(VLOOKUP(E4,A12:H26,3,FALSE)*100/VLOOKUP(E4,A12:H26,7,FALSE)/100,"")</f>
        <v/>
      </c>
      <c r="G4" s="61" t="str">
        <f>IFERROR(VLOOKUP(E4,A12:H26,8,FALSE)*100/VLOOKUP(E4,A12:H26,7,FALSE)/100,"")</f>
        <v/>
      </c>
      <c r="H4" s="37"/>
      <c r="I4" s="27"/>
      <c r="J4" s="28"/>
      <c r="N4" s="66"/>
      <c r="O4" s="68"/>
      <c r="P4" s="69"/>
      <c r="Q4" s="69"/>
      <c r="R4" s="69"/>
      <c r="S4" s="70"/>
      <c r="T4" s="49"/>
      <c r="U4" s="103"/>
      <c r="V4" s="89">
        <f t="shared" si="0"/>
        <v>0</v>
      </c>
      <c r="W4" s="86" t="str" cm="1">
        <f t="array" ref="W4">IF(SUMPRODUCT((TableauDatas[[Test]:[Test]]=$W$2)*(TableauDatas[[Prénom]:[Prénom]]=V4)*(TableauDatas[[Date]:[Date]]=$W$1)*(TableauDatas[[Perf]:[Perf]]))=0,"",SUMPRODUCT((TableauDatas[[Test]:[Test]]=$W$2)*(TableauDatas[[Prénom]:[Prénom]]=V4)*(TableauDatas[[Date]:[Date]]=$W$1)*(TableauDatas[[Perf]:[Perf]])))</f>
        <v/>
      </c>
      <c r="X4" s="86" t="str" cm="1">
        <f t="array" ref="X4">IF(SUMPRODUCT((TableauDatas[[Test]:[Test]]=$X$2)*(TableauDatas[[Prénom]:[Prénom]]=V4)*(TableauDatas[[Date]:[Date]]=$X$1)*(TableauDatas[[Perf]:[Perf]]))=0,"",SUMPRODUCT((TableauDatas[[Test]:[Test]]=$X$2)*(TableauDatas[[Prénom]:[Prénom]]=V4)*(TableauDatas[[Date]:[Date]]=$X$1)*(TableauDatas[[Perf]:[Perf]])))</f>
        <v/>
      </c>
      <c r="Y4" s="86" t="str" cm="1">
        <f t="array" ref="Y4">IF(SUMPRODUCT((TableauDatas[[Test]:[Test]]=$Y$2)*(TableauDatas[[Prénom]:[Prénom]]=V4)*(TableauDatas[[Date]:[Date]]=$Y$1)*(TableauDatas[[Perf]:[Perf]]))=0,"",SUMPRODUCT((TableauDatas[[Test]:[Test]]=$Y$2)*(TableauDatas[[Prénom]:[Prénom]]=V4)*(TableauDatas[[Date]:[Date]]=$Y$1)*(TableauDatas[[Perf]:[Perf]])))</f>
        <v/>
      </c>
      <c r="Z4" s="86" t="str" cm="1">
        <f t="array" ref="Z4">IF(SUMPRODUCT((TableauDatas[[Test]:[Test]]=$Z$2)*(TableauDatas[[Prénom]:[Prénom]]=V4)*(TableauDatas[[Date]:[Date]]=$Z$1)*(TableauDatas[[Perf]:[Perf]]))=0,"",SUMPRODUCT((TableauDatas[[Test]:[Test]]=$Z$2)*(TableauDatas[[Prénom]:[Prénom]]=V4)*(TableauDatas[[Date]:[Date]]=$Z$1)*(TableauDatas[[Perf]:[Perf]])))</f>
        <v/>
      </c>
      <c r="AA4" s="86" t="str" cm="1">
        <f t="array" ref="AA4">IF(SUMPRODUCT((TableauDatas[[Test]:[Test]]=$AA$2)*(TableauDatas[[Prénom]:[Prénom]]=V4)*(TableauDatas[[Date]:[Date]]=$AA$1)*(TableauDatas[[Perf]:[Perf]]))=0,"",SUMPRODUCT((TableauDatas[[Test]:[Test]]=$AA$2)*(TableauDatas[[Prénom]:[Prénom]]=V4)*(TableauDatas[[Date]:[Date]]=$AA$1)*(TableauDatas[[Perf]:[Perf]])))</f>
        <v/>
      </c>
      <c r="AB4" s="86" t="str" cm="1">
        <f t="array" ref="AB4">IF(SUMPRODUCT((TableauDatas[[Test]:[Test]]=$AB$2)*(TableauDatas[[Prénom]:[Prénom]]=V4)*(TableauDatas[[Date]:[Date]]=$AB$1)*(TableauDatas[[Perf]:[Perf]]))=0,"",SUMPRODUCT((TableauDatas[[Test]:[Test]]=$AB$2)*(TableauDatas[[Prénom]:[Prénom]]=V4)*(TableauDatas[[Date]:[Date]]=$AB$1)*(TableauDatas[[Perf]:[Perf]])))</f>
        <v/>
      </c>
      <c r="AC4" s="86" t="str" cm="1">
        <f t="array" ref="AC4">IF(SUMPRODUCT((TableauDatas[[Test]:[Test]]=$AC$2)*(TableauDatas[[Prénom]:[Prénom]]=V4)*(TableauDatas[[Date]:[Date]]=$AC$1)*(TableauDatas[[Perf]:[Perf]]))=0,"",SUMPRODUCT((TableauDatas[[Test]:[Test]]=$AC$2)*(TableauDatas[[Prénom]:[Prénom]]=V4)*(TableauDatas[[Date]:[Date]]=$AC$1)*(TableauDatas[[Perf]:[Perf]])))</f>
        <v/>
      </c>
      <c r="AD4" s="86" t="str" cm="1">
        <f t="array" ref="AD4">IF(SUMPRODUCT((TableauDatas[[Test]:[Test]]=$AD$2)*(TableauDatas[[Prénom]:[Prénom]]=V4)*(TableauDatas[[Date]:[Date]]=$AD$1)*(TableauDatas[[Perf]:[Perf]]))=0,"",SUMPRODUCT((TableauDatas[[Test]:[Test]]=$AD$2)*(TableauDatas[[Prénom]:[Prénom]]=V4)*(TableauDatas[[Date]:[Date]]=$AD$1)*(TableauDatas[[Perf]:[Perf]])))</f>
        <v/>
      </c>
      <c r="AE4" s="86" t="str" cm="1">
        <f t="array" ref="AE4">IF(SUMPRODUCT((TableauDatas[[Test]:[Test]]=$AE$2)*(TableauDatas[[Prénom]:[Prénom]]=V4)*(TableauDatas[[Date]:[Date]]=$AE$1)*(TableauDatas[[Perf]:[Perf]]))=0,"",SUMPRODUCT((TableauDatas[[Test]:[Test]]=$AE$2)*(TableauDatas[[Prénom]:[Prénom]]=V4)*(TableauDatas[[Date]:[Date]]=$AE$1)*(TableauDatas[[Perf]:[Perf]])))</f>
        <v/>
      </c>
      <c r="AF4" s="86" t="str" cm="1">
        <f t="array" ref="AF4">IF(SUMPRODUCT((TableauDatas[[Test]:[Test]]=$AF$2)*(TableauDatas[[Prénom]:[Prénom]]=V4)*(TableauDatas[[Date]:[Date]]=$AF$1)*(TableauDatas[[Perf]:[Perf]]))=0,"",SUMPRODUCT((TableauDatas[[Test]:[Test]]=$AF$2)*(TableauDatas[[Prénom]:[Prénom]]=V4)*(TableauDatas[[Date]:[Date]]=$AF$1)*(TableauDatas[[Perf]:[Perf]])))</f>
        <v/>
      </c>
      <c r="AG4" s="86" t="str" cm="1">
        <f t="array" ref="AG4">IF(SUMPRODUCT((TableauDatas[[Test]:[Test]]=$AG$2)*(TableauDatas[[Prénom]:[Prénom]]=V4)*(TableauDatas[[Date]:[Date]]=$AG$1)*(TableauDatas[[Perf]:[Perf]]))=0,"",SUMPRODUCT((TableauDatas[[Test]:[Test]]=$AG$2)*(TableauDatas[[Prénom]:[Prénom]]=V4)*(TableauDatas[[Date]:[Date]]=$AG$1)*(TableauDatas[[Perf]:[Perf]])))</f>
        <v/>
      </c>
      <c r="AH4" s="86" t="str" cm="1">
        <f t="array" ref="AH4">IF(SUMPRODUCT((TableauDatas[[Test]:[Test]]=$AH$2)*(TableauDatas[[Prénom]:[Prénom]]=V4)*(TableauDatas[[Date]:[Date]]=$AH$1)*(TableauDatas[[Perf]:[Perf]]))=0,"",SUMPRODUCT((TableauDatas[[Test]:[Test]]=$AH$2)*(TableauDatas[[Prénom]:[Prénom]]=V4)*(TableauDatas[[Date]:[Date]]=$AH$1)*(TableauDatas[[Perf]:[Perf]])))</f>
        <v/>
      </c>
      <c r="AI4" s="86" t="str" cm="1">
        <f t="array" ref="AI4">IF(SUMPRODUCT((TableauDatas[[Test]:[Test]]=$AI$2)*(TableauDatas[[Prénom]:[Prénom]]=V4)*(TableauDatas[[Date]:[Date]]=$AI$1)*(TableauDatas[[Perf]:[Perf]]))=0,"",SUMPRODUCT((TableauDatas[[Test]:[Test]]=$AI$2)*(TableauDatas[[Prénom]:[Prénom]]=V4)*(TableauDatas[[Date]:[Date]]=$AI$1)*(TableauDatas[[Perf]:[Perf]])))</f>
        <v/>
      </c>
      <c r="AJ4" s="86" t="str" cm="1">
        <f t="array" ref="AJ4">IF(SUMPRODUCT((TableauDatas[[Test]:[Test]]=$AJ$2)*(TableauDatas[[Prénom]:[Prénom]]=V4)*(TableauDatas[[Date]:[Date]]=$AJ$1)*(TableauDatas[[Perf]:[Perf]]))=0,"",SUMPRODUCT((TableauDatas[[Test]:[Test]]=$AJ$2)*(TableauDatas[[Prénom]:[Prénom]]=V4)*(TableauDatas[[Date]:[Date]]=$AJ$1)*(TableauDatas[[Perf]:[Perf]])))</f>
        <v/>
      </c>
      <c r="AK4" s="87" t="str" cm="1">
        <f t="array" ref="AK4">IF(SUMPRODUCT((TableauDatas[[Test]:[Test]]=$AK$2)*(TableauDatas[[Prénom]:[Prénom]]=V4)*(TableauDatas[[Date]:[Date]]=$AK$1)*(TableauDatas[[Perf]:[Perf]]))=0,"",SUMPRODUCT((TableauDatas[[Test]:[Test]]=$AK$2)*(TableauDatas[[Prénom]:[Prénom]]=V4)*(TableauDatas[[Date]:[Date]]=$AK$1)*(TableauDatas[[Perf]:[Perf]])))</f>
        <v/>
      </c>
      <c r="AL4" s="18"/>
      <c r="AM4" s="117" t="str" cm="1">
        <f t="array" ref="AM4">IF(SUMPRODUCT((TableauDatas[[Test]:[Test]]=$AM$2)*(TableauDatas[[Prénom]:[Prénom]]=V4)*(TableauDatas[[Date]:[Date]]=$AM$1)*(TableauDatas[[Perf]:[Perf]]))=0,"",SUMPRODUCT((TableauDatas[[Test]:[Test]]=$AM$2)*(TableauDatas[[Prénom]:[Prénom]]=V4)*(TableauDatas[[Date]:[Date]]=$AM$1)*(TableauDatas[[Perf]:[Perf]])))</f>
        <v/>
      </c>
      <c r="AN4" s="120" t="str" cm="1">
        <f t="array" ref="AN4">IF(SUMPRODUCT((TableauDatas[[Test]:[Test]]=$AM$2)*(TableauDatas[[Prénom]:[Prénom]]=V4)*(TableauDatas[[Date]:[Date]]=$AN$1)*(TableauDatas[[Perf]:[Perf]]))=0,"",SUMPRODUCT((TableauDatas[[Test]:[Test]]=$AM$2)*(TableauDatas[[Prénom]:[Prénom]]=V4)*(TableauDatas[[Date]:[Date]]=$AN$1)*(TableauDatas[[Perf]:[Perf]])))</f>
        <v/>
      </c>
      <c r="AO4" s="118" t="str" cm="1">
        <f t="array" ref="AO4">IF(SUMPRODUCT((TableauDatas[[Test]:[Test]]=$AO$2)*(TableauDatas[[Prénom]:[Prénom]]=V4)*(TableauDatas[[Date]:[Date]]=$AO$1)*(TableauDatas[[Perf]:[Perf]]))=0,"",SUMPRODUCT((TableauDatas[[Test]:[Test]]=$AO$2)*(TableauDatas[[Prénom]:[Prénom]]=V4)*(TableauDatas[[Date]:[Date]]=$AO$1)*(TableauDatas[[Perf]:[Perf]])))</f>
        <v/>
      </c>
      <c r="AP4" s="118" t="str" cm="1">
        <f t="array" ref="AP4">IF(SUMPRODUCT((TableauDatas[[Test]:[Test]]=$AO$2)*(TableauDatas[[Prénom]:[Prénom]]=V4)*(TableauDatas[[Date]:[Date]]=$AP$1)*(TableauDatas[[Perf]:[Perf]]))=0,"",SUMPRODUCT((TableauDatas[[Test]:[Test]]=$AO$2)*(TableauDatas[[Prénom]:[Prénom]]=V4)*(TableauDatas[[Date]:[Date]]=$AP$1)*(TableauDatas[[Perf]:[Perf]])))</f>
        <v/>
      </c>
      <c r="AQ4" s="118" t="str" cm="1">
        <f t="array" ref="AQ4">IF(SUMPRODUCT((TableauDatas[[Test]:[Test]]=$AQ$2)*(TableauDatas[[Prénom]:[Prénom]]=V4)*(TableauDatas[[Date]:[Date]]=$AQ$1)*(TableauDatas[[Perf]:[Perf]]))=0,"",SUMPRODUCT((TableauDatas[[Test]:[Test]]=$AQ$2)*(TableauDatas[[Prénom]:[Prénom]]=V4)*(TableauDatas[[Date]:[Date]]=$AQ$1)*(TableauDatas[[Perf]:[Perf]])))</f>
        <v/>
      </c>
      <c r="AR4" s="118" t="str" cm="1">
        <f t="array" ref="AR4">IF(SUMPRODUCT((TableauDatas[[Test]:[Test]]=$AQ$2)*(TableauDatas[[Prénom]:[Prénom]]=V4)*(TableauDatas[[Date]:[Date]]=$AR$1)*(TableauDatas[[Perf]:[Perf]]))=0,"",SUMPRODUCT((TableauDatas[[Test]:[Test]]=$AQ$2)*(TableauDatas[[Prénom]:[Prénom]]=V4)*(TableauDatas[[Date]:[Date]]=$AR$1)*(TableauDatas[[Perf]:[Perf]])))</f>
        <v/>
      </c>
      <c r="AS4" s="118" t="str" cm="1">
        <f t="array" ref="AS4">IF(SUMPRODUCT((TableauDatas[[Test]:[Test]]=$AS$2)*(TableauDatas[[Prénom]:[Prénom]]=V4)*(TableauDatas[[Date]:[Date]]=$AS$1)*(TableauDatas[[Perf]:[Perf]]))=0,"",SUMPRODUCT((TableauDatas[[Test]:[Test]]=$AS$2)*(TableauDatas[[Prénom]:[Prénom]]=V4)*(TableauDatas[[Date]:[Date]]=$AS$1)*(TableauDatas[[Perf]:[Perf]])))</f>
        <v/>
      </c>
      <c r="AT4" s="118" t="str" cm="1">
        <f t="array" ref="AT4">IF(SUMPRODUCT((TableauDatas[[Test]:[Test]]=$AS$2)*(TableauDatas[[Prénom]:[Prénom]]=V4)*(TableauDatas[[Date]:[Date]]=$AT$1)*(TableauDatas[[Perf]:[Perf]]))=0,"",SUMPRODUCT((TableauDatas[[Test]:[Test]]=$AS$2)*(TableauDatas[[Prénom]:[Prénom]]=V4)*(TableauDatas[[Date]:[Date]]=$AT$1)*(TableauDatas[[Perf]:[Perf]])))</f>
        <v/>
      </c>
      <c r="AU4" s="118" t="str" cm="1">
        <f t="array" ref="AU4">IF(SUMPRODUCT((TableauDatas[[Test]:[Test]]=$AU$2)*(TableauDatas[[Prénom]:[Prénom]]=V4)*(TableauDatas[[Date]:[Date]]=$AU$1)*(TableauDatas[[Perf]:[Perf]]))=0,"",SUMPRODUCT((TableauDatas[[Test]:[Test]]=$AU$2)*(TableauDatas[[Prénom]:[Prénom]]=V4)*(TableauDatas[[Date]:[Date]]=$AU$1)*(TableauDatas[[Perf]:[Perf]])))</f>
        <v/>
      </c>
      <c r="AV4" s="118" t="str" cm="1">
        <f t="array" ref="AV4">IF(SUMPRODUCT((TableauDatas[[Test]:[Test]]=$AU$2)*(TableauDatas[[Prénom]:[Prénom]]=V4)*(TableauDatas[[Date]:[Date]]=$AV$1)*(TableauDatas[[Perf]:[Perf]]))=0,"",SUMPRODUCT((TableauDatas[[Test]:[Test]]=$AU$2)*(TableauDatas[[Prénom]:[Prénom]]=V4)*(TableauDatas[[Date]:[Date]]=$AV$1)*(TableauDatas[[Perf]:[Perf]])))</f>
        <v/>
      </c>
      <c r="AW4" s="118" t="str" cm="1">
        <f t="array" ref="AW4">IF(SUMPRODUCT((TableauDatas[[Test]:[Test]]=$AW$2)*(TableauDatas[[Prénom]:[Prénom]]=V4)*(TableauDatas[[Date]:[Date]]=$AW$1)*(TableauDatas[[Perf]:[Perf]]))=0,"",SUMPRODUCT((TableauDatas[[Test]:[Test]]=$AW$2)*(TableauDatas[[Prénom]:[Prénom]]=V4)*(TableauDatas[[Date]:[Date]]=$AW$1)*(TableauDatas[[Perf]:[Perf]])))</f>
        <v/>
      </c>
      <c r="AX4" s="118" t="str" cm="1">
        <f t="array" ref="AX4">IF(SUMPRODUCT((TableauDatas[[Test]:[Test]]=$AW$2)*(TableauDatas[[Prénom]:[Prénom]]=V4)*(TableauDatas[[Date]:[Date]]=$AX$1)*(TableauDatas[[Perf]:[Perf]]))=0,"",SUMPRODUCT((TableauDatas[[Test]:[Test]]=$AW$2)*(TableauDatas[[Prénom]:[Prénom]]=V4)*(TableauDatas[[Date]:[Date]]=$AX$1)*(TableauDatas[[Perf]:[Perf]])))</f>
        <v/>
      </c>
      <c r="AY4" s="118" t="str" cm="1">
        <f t="array" ref="AY4">IF(SUMPRODUCT((TableauDatas[[Test]:[Test]]=$AY$2)*(TableauDatas[[Prénom]:[Prénom]]=V4)*(TableauDatas[[Date]:[Date]]=$AY$1)*(TableauDatas[[Perf]:[Perf]]))=0,"",SUMPRODUCT((TableauDatas[[Test]:[Test]]=$AY$2)*(TableauDatas[[Prénom]:[Prénom]]=V4)*(TableauDatas[[Date]:[Date]]=$AY$1)*(TableauDatas[[Perf]:[Perf]])))</f>
        <v/>
      </c>
      <c r="AZ4" s="118" t="str" cm="1">
        <f t="array" ref="AZ4">IF(SUMPRODUCT((TableauDatas[[Test]:[Test]]=$AY$2)*(TableauDatas[[Prénom]:[Prénom]]=V4)*(TableauDatas[[Date]:[Date]]=$AZ$1)*(TableauDatas[[Perf]:[Perf]]))=0,"",SUMPRODUCT((TableauDatas[[Test]:[Test]]=$AY$2)*(TableauDatas[[Prénom]:[Prénom]]=V4)*(TableauDatas[[Date]:[Date]]=$AZ$1)*(TableauDatas[[Perf]:[Perf]])))</f>
        <v/>
      </c>
      <c r="BA4" s="118" t="str" cm="1">
        <f t="array" ref="BA4">IF(SUMPRODUCT((TableauDatas[[Test]:[Test]]=$BA$2)*(TableauDatas[[Prénom]:[Prénom]]=V4)*(TableauDatas[[Date]:[Date]]=$BA$1)*(TableauDatas[[Perf]:[Perf]]))=0,"",SUMPRODUCT((TableauDatas[[Test]:[Test]]=$BA$2)*(TableauDatas[[Prénom]:[Prénom]]=V4)*(TableauDatas[[Date]:[Date]]=$BA$1)*(TableauDatas[[Perf]:[Perf]])))</f>
        <v/>
      </c>
      <c r="BB4" s="118" t="str" cm="1">
        <f t="array" ref="BB4">IF(SUMPRODUCT((TableauDatas[[Test]:[Test]]=$BA$2)*(TableauDatas[[Prénom]:[Prénom]]=V4)*(TableauDatas[[Date]:[Date]]=$BB$1)*(TableauDatas[[Perf]:[Perf]]))=0,"",SUMPRODUCT((TableauDatas[[Test]:[Test]]=$BA$2)*(TableauDatas[[Prénom]:[Prénom]]=V4)*(TableauDatas[[Date]:[Date]]=$BB$1)*(TableauDatas[[Perf]:[Perf]])))</f>
        <v/>
      </c>
      <c r="BC4" s="118" t="str" cm="1">
        <f t="array" ref="BC4">IF(SUMPRODUCT((TableauDatas[[Test]:[Test]]=$BC$2)*(TableauDatas[[Prénom]:[Prénom]]=V4)*(TableauDatas[[Date]:[Date]]=$BC$1)*(TableauDatas[[Perf]:[Perf]]))=0,"",SUMPRODUCT((TableauDatas[[Test]:[Test]]=$BC$2)*(TableauDatas[[Prénom]:[Prénom]]=V4)*(TableauDatas[[Date]:[Date]]=$BC$1)*(TableauDatas[[Perf]:[Perf]])))</f>
        <v/>
      </c>
      <c r="BD4" s="121" t="str" cm="1">
        <f t="array" ref="BD4">IF(SUMPRODUCT((TableauDatas[[Test]:[Test]]=$BC$2)*(TableauDatas[[Prénom]:[Prénom]]=V4)*(TableauDatas[[Date]:[Date]]=$BD$1)*(TableauDatas[[Perf]:[Perf]]))=0,"",SUMPRODUCT((TableauDatas[[Test]:[Test]]=$BC$2)*(TableauDatas[[Prénom]:[Prénom]]=V4)*(TableauDatas[[Date]:[Date]]=$BD$1)*(TableauDatas[[Perf]:[Perf]])))</f>
        <v/>
      </c>
      <c r="BE4" s="118" t="str" cm="1">
        <f t="array" ref="BE4">IF(SUMPRODUCT((TableauDatas[[Test]:[Test]]=$BE$2)*(TableauDatas[[Prénom]:[Prénom]]=V4)*(TableauDatas[[Date]:[Date]]=$BE$1)*(TableauDatas[[Perf]:[Perf]]))=0,"",SUMPRODUCT((TableauDatas[[Test]:[Test]]=$BE$2)*(TableauDatas[[Prénom]:[Prénom]]=V4)*(TableauDatas[[Date]:[Date]]=$BE$1)*(TableauDatas[[Perf]:[Perf]])))</f>
        <v/>
      </c>
      <c r="BF4" s="118" t="str" cm="1">
        <f t="array" ref="BF4">IF(SUMPRODUCT((TableauDatas[[Test]:[Test]]=$BE$2)*(TableauDatas[[Prénom]:[Prénom]]=V4)*(TableauDatas[[Date]:[Date]]=$BF$1)*(TableauDatas[[Perf]:[Perf]]))=0,"",SUMPRODUCT((TableauDatas[[Test]:[Test]]=$BE$2)*(TableauDatas[[Prénom]:[Prénom]]=V4)*(TableauDatas[[Date]:[Date]]=$BF$1)*(TableauDatas[[Perf]:[Perf]])))</f>
        <v/>
      </c>
      <c r="BG4" s="118" t="str" cm="1">
        <f t="array" ref="BG4">IF(SUMPRODUCT((TableauDatas[[Test]:[Test]]=$BG$2)*(TableauDatas[[Prénom]:[Prénom]]=V4)*(TableauDatas[[Date]:[Date]]=$BG$1)*(TableauDatas[[Perf]:[Perf]]))=0,"",SUMPRODUCT((TableauDatas[[Test]:[Test]]=$BG$2)*(TableauDatas[[Prénom]:[Prénom]]=V4)*(TableauDatas[[Date]:[Date]]=$BG$1)*(TableauDatas[[Perf]:[Perf]])))</f>
        <v/>
      </c>
      <c r="BH4" s="118" t="str" cm="1">
        <f t="array" ref="BH4">IF(SUMPRODUCT((TableauDatas[[Test]:[Test]]=$BG$2)*(TableauDatas[[Prénom]:[Prénom]]=V4)*(TableauDatas[[Date]:[Date]]=$BH$1)*(TableauDatas[[Perf]:[Perf]]))=0,"",SUMPRODUCT((TableauDatas[[Test]:[Test]]=$BG$2)*(TableauDatas[[Prénom]:[Prénom]]=V4)*(TableauDatas[[Date]:[Date]]=$BH$1)*(TableauDatas[[Perf]:[Perf]])))</f>
        <v/>
      </c>
      <c r="BI4" s="118" t="str" cm="1">
        <f t="array" ref="BI4">IF(SUMPRODUCT((TableauDatas[[Test]:[Test]]=$BI$2)*(TableauDatas[[Prénom]:[Prénom]]=V4)*(TableauDatas[[Date]:[Date]]=$BI$1)*(TableauDatas[[Perf]:[Perf]]))=0,"",SUMPRODUCT((TableauDatas[[Test]:[Test]]=$BI$2)*(TableauDatas[[Prénom]:[Prénom]]=V4)*(TableauDatas[[Date]:[Date]]=$BI$1)*(TableauDatas[[Perf]:[Perf]])))</f>
        <v/>
      </c>
      <c r="BJ4" s="118" t="str" cm="1">
        <f t="array" ref="BJ4">IF(SUMPRODUCT((TableauDatas[[Test]:[Test]]=$BI$2)*(TableauDatas[[Prénom]:[Prénom]]=V4)*(TableauDatas[[Date]:[Date]]=$BJ$1)*(TableauDatas[[Perf]:[Perf]]))=0,"",SUMPRODUCT((TableauDatas[[Test]:[Test]]=$BI$2)*(TableauDatas[[Prénom]:[Prénom]]=V4)*(TableauDatas[[Date]:[Date]]=$BJ$1)*(TableauDatas[[Perf]:[Perf]])))</f>
        <v/>
      </c>
      <c r="BK4" s="118" t="str" cm="1">
        <f t="array" ref="BK4">IF(SUMPRODUCT((TableauDatas[[Test]:[Test]]=$BK$2)*(TableauDatas[[Prénom]:[Prénom]]=V4)*(TableauDatas[[Date]:[Date]]=$BK$1)*(TableauDatas[[Perf]:[Perf]]))=0,"",SUMPRODUCT((TableauDatas[[Test]:[Test]]=$BK$2)*(TableauDatas[[Prénom]:[Prénom]]=V4)*(TableauDatas[[Date]:[Date]]=$BK$1)*(TableauDatas[[Perf]:[Perf]])))</f>
        <v/>
      </c>
      <c r="BL4" s="118" t="str" cm="1">
        <f t="array" ref="BL4">IF(SUMPRODUCT((TableauDatas[[Test]:[Test]]=$BK$2)*(TableauDatas[[Prénom]:[Prénom]]=V4)*(TableauDatas[[Date]:[Date]]=$BL$1)*(TableauDatas[[Perf]:[Perf]]))=0,"",SUMPRODUCT((TableauDatas[[Test]:[Test]]=$BK$2)*(TableauDatas[[Prénom]:[Prénom]]=V4)*(TableauDatas[[Date]:[Date]]=$BL$1)*(TableauDatas[[Perf]:[Perf]])))</f>
        <v/>
      </c>
      <c r="BM4" s="118" t="str" cm="1">
        <f t="array" ref="BM4">IF(SUMPRODUCT((TableauDatas[[Test]:[Test]]=$BM$2)*(TableauDatas[[Prénom]:[Prénom]]=V4)*(TableauDatas[[Date]:[Date]]=$BM$1)*(TableauDatas[[Perf]:[Perf]]))=0,"",SUMPRODUCT((TableauDatas[[Test]:[Test]]=$BM$2)*(TableauDatas[[Prénom]:[Prénom]]=V4)*(TableauDatas[[Date]:[Date]]=$BM$1)*(TableauDatas[[Perf]:[Perf]])))</f>
        <v/>
      </c>
      <c r="BN4" s="118" t="str" cm="1">
        <f t="array" ref="BN4">IF(SUMPRODUCT((TableauDatas[[Test]:[Test]]=$BM$2)*(TableauDatas[[Prénom]:[Prénom]]=V4)*(TableauDatas[[Date]:[Date]]=$BN$1)*(TableauDatas[[Perf]:[Perf]]))=0,"",SUMPRODUCT((TableauDatas[[Test]:[Test]]=$BM$2)*(TableauDatas[[Prénom]:[Prénom]]=V4)*(TableauDatas[[Date]:[Date]]=$BN$1)*(TableauDatas[[Perf]:[Perf]])))</f>
        <v/>
      </c>
      <c r="BO4" s="118" t="str" cm="1">
        <f t="array" ref="BO4">IF(SUMPRODUCT((TableauDatas[[Test]:[Test]]=$BO$2)*(TableauDatas[[Prénom]:[Prénom]]=V4)*(TableauDatas[[Date]:[Date]]=$BO$1)*(TableauDatas[[Perf]:[Perf]]))=0,"",SUMPRODUCT((TableauDatas[[Test]:[Test]]=$BO$2)*(TableauDatas[[Prénom]:[Prénom]]=V4)*(TableauDatas[[Date]:[Date]]=$BO$1)*(TableauDatas[[Perf]:[Perf]])))</f>
        <v/>
      </c>
      <c r="BP4" s="119" t="str" cm="1">
        <f t="array" ref="BP4">IF(SUMPRODUCT((TableauDatas[[Test]:[Test]]=$BO$2)*(TableauDatas[[Prénom]:[Prénom]]=V4)*(TableauDatas[[Date]:[Date]]=$BP$1)*(TableauDatas[[Perf]:[Perf]]))=0,"",SUMPRODUCT((TableauDatas[[Test]:[Test]]=$BO$2)*(TableauDatas[[Prénom]:[Prénom]]=V4)*(TableauDatas[[Date]:[Date]]=$BP$1)*(TableauDatas[[Perf]:[Perf]])))</f>
        <v/>
      </c>
      <c r="BQ4" s="18"/>
      <c r="BR4" s="18"/>
      <c r="BS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DA4" s="97"/>
      <c r="DB4" s="97"/>
      <c r="DC4" s="97"/>
      <c r="DD4" s="97"/>
      <c r="DE4" s="97"/>
      <c r="DF4" s="97"/>
      <c r="DG4" s="97"/>
      <c r="DH4" s="97"/>
      <c r="DI4" s="97"/>
      <c r="DJ4" s="97"/>
      <c r="DK4" s="97"/>
      <c r="DL4" s="97"/>
      <c r="DM4" s="97"/>
      <c r="DN4" s="97"/>
      <c r="DO4" s="97"/>
      <c r="DQ4" s="97"/>
      <c r="DR4" s="97"/>
      <c r="DS4" s="97"/>
      <c r="DT4" s="97"/>
      <c r="DU4" s="97"/>
      <c r="DV4" s="97"/>
      <c r="DW4" s="97"/>
      <c r="DX4" s="97"/>
      <c r="DY4" s="97"/>
      <c r="DZ4" s="97"/>
      <c r="EA4" s="97"/>
      <c r="EB4" s="97"/>
      <c r="EC4" s="97"/>
      <c r="ED4" s="97"/>
      <c r="EE4" s="97"/>
      <c r="EG4" s="97"/>
      <c r="EH4" s="97"/>
      <c r="EI4" s="97"/>
      <c r="EJ4" s="97"/>
      <c r="EK4" s="97"/>
      <c r="EL4" s="97"/>
      <c r="EM4" s="97"/>
      <c r="EN4" s="97"/>
      <c r="EO4" s="97"/>
      <c r="EP4" s="97"/>
      <c r="EQ4" s="97"/>
      <c r="ER4" s="97"/>
      <c r="ES4" s="97"/>
      <c r="ET4" s="97"/>
      <c r="EU4" s="97"/>
      <c r="EW4" s="97"/>
      <c r="EX4" s="97"/>
      <c r="EY4" s="97"/>
      <c r="EZ4" s="97"/>
      <c r="FA4" s="97"/>
      <c r="FB4" s="97"/>
      <c r="FC4" s="97"/>
      <c r="FD4" s="97"/>
      <c r="FE4" s="97"/>
      <c r="FF4" s="97"/>
      <c r="FG4" s="97"/>
      <c r="FH4" s="97"/>
      <c r="FI4" s="97"/>
      <c r="FJ4" s="97"/>
      <c r="FK4" s="97"/>
      <c r="FM4" s="97"/>
      <c r="FN4" s="97"/>
      <c r="FO4" s="97"/>
      <c r="FP4" s="97"/>
      <c r="FQ4" s="97"/>
      <c r="FR4" s="97"/>
      <c r="FS4" s="97"/>
      <c r="FT4" s="97"/>
      <c r="FU4" s="97"/>
      <c r="FV4" s="97"/>
      <c r="FW4" s="97"/>
      <c r="FX4" s="97"/>
      <c r="FY4" s="97"/>
      <c r="FZ4" s="97"/>
      <c r="GA4" s="97"/>
      <c r="GC4" s="97"/>
      <c r="GD4" s="97"/>
      <c r="GE4" s="97"/>
      <c r="GF4" s="97"/>
      <c r="GG4" s="97"/>
      <c r="GH4" s="97"/>
      <c r="GI4" s="97"/>
      <c r="GJ4" s="97"/>
      <c r="GK4" s="97"/>
      <c r="GL4" s="97"/>
      <c r="GM4" s="97"/>
      <c r="GN4" s="97"/>
      <c r="GO4" s="97"/>
      <c r="GP4" s="97"/>
      <c r="GQ4" s="97"/>
      <c r="GS4" s="97"/>
      <c r="GT4" s="97"/>
      <c r="GU4" s="97"/>
      <c r="GV4" s="97"/>
      <c r="GW4" s="97"/>
      <c r="GX4" s="97"/>
      <c r="GY4" s="97"/>
      <c r="GZ4" s="97"/>
      <c r="HA4" s="97"/>
      <c r="HB4" s="97"/>
      <c r="HC4" s="97"/>
      <c r="HD4" s="97"/>
      <c r="HE4" s="97"/>
      <c r="HF4" s="97"/>
      <c r="HG4" s="97"/>
      <c r="HI4" s="97"/>
      <c r="HJ4" s="97"/>
      <c r="HK4" s="97"/>
      <c r="HL4" s="97"/>
      <c r="HM4" s="97"/>
      <c r="HN4" s="97"/>
      <c r="HO4" s="97"/>
      <c r="HP4" s="97"/>
      <c r="HQ4" s="97"/>
      <c r="HR4" s="97"/>
      <c r="HS4" s="97"/>
      <c r="HT4" s="97"/>
      <c r="HU4" s="97"/>
      <c r="HV4" s="97"/>
      <c r="HW4" s="97"/>
      <c r="HY4" s="97"/>
      <c r="HZ4" s="97"/>
      <c r="IA4" s="97"/>
      <c r="IB4" s="97"/>
      <c r="IC4" s="97"/>
      <c r="ID4" s="97"/>
      <c r="IE4" s="97"/>
      <c r="IF4" s="97"/>
      <c r="IG4" s="97"/>
      <c r="IH4" s="97"/>
      <c r="II4" s="97"/>
      <c r="IJ4" s="97"/>
      <c r="IK4" s="97"/>
      <c r="IL4" s="97"/>
      <c r="IM4" s="97"/>
      <c r="IO4" s="97"/>
      <c r="IP4" s="97"/>
      <c r="IQ4" s="97"/>
      <c r="IR4" s="97"/>
      <c r="IS4" s="97"/>
      <c r="IT4" s="97"/>
      <c r="IU4" s="24"/>
      <c r="IV4" s="24"/>
      <c r="IW4" s="24"/>
      <c r="IX4" s="24"/>
      <c r="IY4" s="24"/>
      <c r="IZ4" s="24"/>
      <c r="JA4" s="24"/>
      <c r="JB4" s="24"/>
      <c r="JC4" s="24"/>
    </row>
    <row r="5" spans="1:263" x14ac:dyDescent="0.25">
      <c r="A5" s="188"/>
      <c r="B5" s="2" t="s">
        <v>17</v>
      </c>
      <c r="C5" s="19" t="str">
        <f>IFERROR(VLOOKUP(C4,O2:S26,2,FALSE),"")</f>
        <v/>
      </c>
      <c r="D5" s="1"/>
      <c r="E5" s="51"/>
      <c r="F5" s="62" t="str">
        <f>IFERROR(VLOOKUP(E5,A12:H26,3,FALSE)*100/VLOOKUP(E5,A12:H26,7,FALSE)/100,"")</f>
        <v/>
      </c>
      <c r="G5" s="63" t="str">
        <f>IFERROR(VLOOKUP(E5,A12:H26,8,FALSE)*100/VLOOKUP(E5,A12:H26,7,FALSE)/100,"")</f>
        <v/>
      </c>
      <c r="H5" s="37"/>
      <c r="I5" s="27"/>
      <c r="J5" s="28"/>
      <c r="N5" s="108"/>
      <c r="O5" s="105"/>
      <c r="P5" s="106"/>
      <c r="Q5" s="106"/>
      <c r="R5" s="106"/>
      <c r="S5" s="107"/>
      <c r="T5" s="109"/>
      <c r="U5" s="103"/>
      <c r="V5" s="89">
        <f t="shared" si="0"/>
        <v>0</v>
      </c>
      <c r="W5" s="86" t="str" cm="1">
        <f t="array" ref="W5">IF(SUMPRODUCT((TableauDatas[[Test]:[Test]]=$W$2)*(TableauDatas[[Prénom]:[Prénom]]=V5)*(TableauDatas[[Date]:[Date]]=$W$1)*(TableauDatas[[Perf]:[Perf]]))=0,"",SUMPRODUCT((TableauDatas[[Test]:[Test]]=$W$2)*(TableauDatas[[Prénom]:[Prénom]]=V5)*(TableauDatas[[Date]:[Date]]=$W$1)*(TableauDatas[[Perf]:[Perf]])))</f>
        <v/>
      </c>
      <c r="X5" s="86" t="str" cm="1">
        <f t="array" ref="X5">IF(SUMPRODUCT((TableauDatas[[Test]:[Test]]=$X$2)*(TableauDatas[[Prénom]:[Prénom]]=V5)*(TableauDatas[[Date]:[Date]]=$X$1)*(TableauDatas[[Perf]:[Perf]]))=0,"",SUMPRODUCT((TableauDatas[[Test]:[Test]]=$X$2)*(TableauDatas[[Prénom]:[Prénom]]=V5)*(TableauDatas[[Date]:[Date]]=$X$1)*(TableauDatas[[Perf]:[Perf]])))</f>
        <v/>
      </c>
      <c r="Y5" s="86" t="str" cm="1">
        <f t="array" ref="Y5">IF(SUMPRODUCT((TableauDatas[[Test]:[Test]]=$Y$2)*(TableauDatas[[Prénom]:[Prénom]]=V5)*(TableauDatas[[Date]:[Date]]=$Y$1)*(TableauDatas[[Perf]:[Perf]]))=0,"",SUMPRODUCT((TableauDatas[[Test]:[Test]]=$Y$2)*(TableauDatas[[Prénom]:[Prénom]]=V5)*(TableauDatas[[Date]:[Date]]=$Y$1)*(TableauDatas[[Perf]:[Perf]])))</f>
        <v/>
      </c>
      <c r="Z5" s="86" t="str" cm="1">
        <f t="array" ref="Z5">IF(SUMPRODUCT((TableauDatas[[Test]:[Test]]=$Z$2)*(TableauDatas[[Prénom]:[Prénom]]=V5)*(TableauDatas[[Date]:[Date]]=$Z$1)*(TableauDatas[[Perf]:[Perf]]))=0,"",SUMPRODUCT((TableauDatas[[Test]:[Test]]=$Z$2)*(TableauDatas[[Prénom]:[Prénom]]=V5)*(TableauDatas[[Date]:[Date]]=$Z$1)*(TableauDatas[[Perf]:[Perf]])))</f>
        <v/>
      </c>
      <c r="AA5" s="86" t="str" cm="1">
        <f t="array" ref="AA5">IF(SUMPRODUCT((TableauDatas[[Test]:[Test]]=$AA$2)*(TableauDatas[[Prénom]:[Prénom]]=V5)*(TableauDatas[[Date]:[Date]]=$AA$1)*(TableauDatas[[Perf]:[Perf]]))=0,"",SUMPRODUCT((TableauDatas[[Test]:[Test]]=$AA$2)*(TableauDatas[[Prénom]:[Prénom]]=V5)*(TableauDatas[[Date]:[Date]]=$AA$1)*(TableauDatas[[Perf]:[Perf]])))</f>
        <v/>
      </c>
      <c r="AB5" s="86" t="str" cm="1">
        <f t="array" ref="AB5">IF(SUMPRODUCT((TableauDatas[[Test]:[Test]]=$AB$2)*(TableauDatas[[Prénom]:[Prénom]]=V5)*(TableauDatas[[Date]:[Date]]=$AB$1)*(TableauDatas[[Perf]:[Perf]]))=0,"",SUMPRODUCT((TableauDatas[[Test]:[Test]]=$AB$2)*(TableauDatas[[Prénom]:[Prénom]]=V5)*(TableauDatas[[Date]:[Date]]=$AB$1)*(TableauDatas[[Perf]:[Perf]])))</f>
        <v/>
      </c>
      <c r="AC5" s="86" t="str" cm="1">
        <f t="array" ref="AC5">IF(SUMPRODUCT((TableauDatas[[Test]:[Test]]=$AC$2)*(TableauDatas[[Prénom]:[Prénom]]=V5)*(TableauDatas[[Date]:[Date]]=$AC$1)*(TableauDatas[[Perf]:[Perf]]))=0,"",SUMPRODUCT((TableauDatas[[Test]:[Test]]=$AC$2)*(TableauDatas[[Prénom]:[Prénom]]=V5)*(TableauDatas[[Date]:[Date]]=$AC$1)*(TableauDatas[[Perf]:[Perf]])))</f>
        <v/>
      </c>
      <c r="AD5" s="86" t="str" cm="1">
        <f t="array" ref="AD5">IF(SUMPRODUCT((TableauDatas[[Test]:[Test]]=$AD$2)*(TableauDatas[[Prénom]:[Prénom]]=V5)*(TableauDatas[[Date]:[Date]]=$AD$1)*(TableauDatas[[Perf]:[Perf]]))=0,"",SUMPRODUCT((TableauDatas[[Test]:[Test]]=$AD$2)*(TableauDatas[[Prénom]:[Prénom]]=V5)*(TableauDatas[[Date]:[Date]]=$AD$1)*(TableauDatas[[Perf]:[Perf]])))</f>
        <v/>
      </c>
      <c r="AE5" s="86" t="str" cm="1">
        <f t="array" ref="AE5">IF(SUMPRODUCT((TableauDatas[[Test]:[Test]]=$AE$2)*(TableauDatas[[Prénom]:[Prénom]]=V5)*(TableauDatas[[Date]:[Date]]=$AE$1)*(TableauDatas[[Perf]:[Perf]]))=0,"",SUMPRODUCT((TableauDatas[[Test]:[Test]]=$AE$2)*(TableauDatas[[Prénom]:[Prénom]]=V5)*(TableauDatas[[Date]:[Date]]=$AE$1)*(TableauDatas[[Perf]:[Perf]])))</f>
        <v/>
      </c>
      <c r="AF5" s="86" t="str" cm="1">
        <f t="array" ref="AF5">IF(SUMPRODUCT((TableauDatas[[Test]:[Test]]=$AF$2)*(TableauDatas[[Prénom]:[Prénom]]=V5)*(TableauDatas[[Date]:[Date]]=$AF$1)*(TableauDatas[[Perf]:[Perf]]))=0,"",SUMPRODUCT((TableauDatas[[Test]:[Test]]=$AF$2)*(TableauDatas[[Prénom]:[Prénom]]=V5)*(TableauDatas[[Date]:[Date]]=$AF$1)*(TableauDatas[[Perf]:[Perf]])))</f>
        <v/>
      </c>
      <c r="AG5" s="86" t="str" cm="1">
        <f t="array" ref="AG5">IF(SUMPRODUCT((TableauDatas[[Test]:[Test]]=$AG$2)*(TableauDatas[[Prénom]:[Prénom]]=V5)*(TableauDatas[[Date]:[Date]]=$AG$1)*(TableauDatas[[Perf]:[Perf]]))=0,"",SUMPRODUCT((TableauDatas[[Test]:[Test]]=$AG$2)*(TableauDatas[[Prénom]:[Prénom]]=V5)*(TableauDatas[[Date]:[Date]]=$AG$1)*(TableauDatas[[Perf]:[Perf]])))</f>
        <v/>
      </c>
      <c r="AH5" s="86" t="str" cm="1">
        <f t="array" ref="AH5">IF(SUMPRODUCT((TableauDatas[[Test]:[Test]]=$AH$2)*(TableauDatas[[Prénom]:[Prénom]]=V5)*(TableauDatas[[Date]:[Date]]=$AH$1)*(TableauDatas[[Perf]:[Perf]]))=0,"",SUMPRODUCT((TableauDatas[[Test]:[Test]]=$AH$2)*(TableauDatas[[Prénom]:[Prénom]]=V5)*(TableauDatas[[Date]:[Date]]=$AH$1)*(TableauDatas[[Perf]:[Perf]])))</f>
        <v/>
      </c>
      <c r="AI5" s="86" t="str" cm="1">
        <f t="array" ref="AI5">IF(SUMPRODUCT((TableauDatas[[Test]:[Test]]=$AI$2)*(TableauDatas[[Prénom]:[Prénom]]=V5)*(TableauDatas[[Date]:[Date]]=$AI$1)*(TableauDatas[[Perf]:[Perf]]))=0,"",SUMPRODUCT((TableauDatas[[Test]:[Test]]=$AI$2)*(TableauDatas[[Prénom]:[Prénom]]=V5)*(TableauDatas[[Date]:[Date]]=$AI$1)*(TableauDatas[[Perf]:[Perf]])))</f>
        <v/>
      </c>
      <c r="AJ5" s="86" t="str" cm="1">
        <f t="array" ref="AJ5">IF(SUMPRODUCT((TableauDatas[[Test]:[Test]]=$AJ$2)*(TableauDatas[[Prénom]:[Prénom]]=V5)*(TableauDatas[[Date]:[Date]]=$AJ$1)*(TableauDatas[[Perf]:[Perf]]))=0,"",SUMPRODUCT((TableauDatas[[Test]:[Test]]=$AJ$2)*(TableauDatas[[Prénom]:[Prénom]]=V5)*(TableauDatas[[Date]:[Date]]=$AJ$1)*(TableauDatas[[Perf]:[Perf]])))</f>
        <v/>
      </c>
      <c r="AK5" s="87" t="str" cm="1">
        <f t="array" ref="AK5">IF(SUMPRODUCT((TableauDatas[[Test]:[Test]]=$AK$2)*(TableauDatas[[Prénom]:[Prénom]]=V5)*(TableauDatas[[Date]:[Date]]=$AK$1)*(TableauDatas[[Perf]:[Perf]]))=0,"",SUMPRODUCT((TableauDatas[[Test]:[Test]]=$AK$2)*(TableauDatas[[Prénom]:[Prénom]]=V5)*(TableauDatas[[Date]:[Date]]=$AK$1)*(TableauDatas[[Perf]:[Perf]])))</f>
        <v/>
      </c>
      <c r="AL5" s="18"/>
      <c r="AM5" s="117" t="str" cm="1">
        <f t="array" ref="AM5">IF(SUMPRODUCT((TableauDatas[[Test]:[Test]]=$AM$2)*(TableauDatas[[Prénom]:[Prénom]]=V5)*(TableauDatas[[Date]:[Date]]=$AM$1)*(TableauDatas[[Perf]:[Perf]]))=0,"",SUMPRODUCT((TableauDatas[[Test]:[Test]]=$AM$2)*(TableauDatas[[Prénom]:[Prénom]]=V5)*(TableauDatas[[Date]:[Date]]=$AM$1)*(TableauDatas[[Perf]:[Perf]])))</f>
        <v/>
      </c>
      <c r="AN5" s="120" t="str" cm="1">
        <f t="array" ref="AN5">IF(SUMPRODUCT((TableauDatas[[Test]:[Test]]=$AM$2)*(TableauDatas[[Prénom]:[Prénom]]=V5)*(TableauDatas[[Date]:[Date]]=$AN$1)*(TableauDatas[[Perf]:[Perf]]))=0,"",SUMPRODUCT((TableauDatas[[Test]:[Test]]=$AM$2)*(TableauDatas[[Prénom]:[Prénom]]=V5)*(TableauDatas[[Date]:[Date]]=$AN$1)*(TableauDatas[[Perf]:[Perf]])))</f>
        <v/>
      </c>
      <c r="AO5" s="118" t="str" cm="1">
        <f t="array" ref="AO5">IF(SUMPRODUCT((TableauDatas[[Test]:[Test]]=$AO$2)*(TableauDatas[[Prénom]:[Prénom]]=V5)*(TableauDatas[[Date]:[Date]]=$AO$1)*(TableauDatas[[Perf]:[Perf]]))=0,"",SUMPRODUCT((TableauDatas[[Test]:[Test]]=$AO$2)*(TableauDatas[[Prénom]:[Prénom]]=V5)*(TableauDatas[[Date]:[Date]]=$AO$1)*(TableauDatas[[Perf]:[Perf]])))</f>
        <v/>
      </c>
      <c r="AP5" s="118" t="str" cm="1">
        <f t="array" ref="AP5">IF(SUMPRODUCT((TableauDatas[[Test]:[Test]]=$AO$2)*(TableauDatas[[Prénom]:[Prénom]]=V5)*(TableauDatas[[Date]:[Date]]=$AP$1)*(TableauDatas[[Perf]:[Perf]]))=0,"",SUMPRODUCT((TableauDatas[[Test]:[Test]]=$AO$2)*(TableauDatas[[Prénom]:[Prénom]]=V5)*(TableauDatas[[Date]:[Date]]=$AP$1)*(TableauDatas[[Perf]:[Perf]])))</f>
        <v/>
      </c>
      <c r="AQ5" s="118" t="str" cm="1">
        <f t="array" ref="AQ5">IF(SUMPRODUCT((TableauDatas[[Test]:[Test]]=$AQ$2)*(TableauDatas[[Prénom]:[Prénom]]=V5)*(TableauDatas[[Date]:[Date]]=$AQ$1)*(TableauDatas[[Perf]:[Perf]]))=0,"",SUMPRODUCT((TableauDatas[[Test]:[Test]]=$AQ$2)*(TableauDatas[[Prénom]:[Prénom]]=V5)*(TableauDatas[[Date]:[Date]]=$AQ$1)*(TableauDatas[[Perf]:[Perf]])))</f>
        <v/>
      </c>
      <c r="AR5" s="118" t="str" cm="1">
        <f t="array" ref="AR5">IF(SUMPRODUCT((TableauDatas[[Test]:[Test]]=$AQ$2)*(TableauDatas[[Prénom]:[Prénom]]=V5)*(TableauDatas[[Date]:[Date]]=$AR$1)*(TableauDatas[[Perf]:[Perf]]))=0,"",SUMPRODUCT((TableauDatas[[Test]:[Test]]=$AQ$2)*(TableauDatas[[Prénom]:[Prénom]]=V5)*(TableauDatas[[Date]:[Date]]=$AR$1)*(TableauDatas[[Perf]:[Perf]])))</f>
        <v/>
      </c>
      <c r="AS5" s="118" t="str" cm="1">
        <f t="array" ref="AS5">IF(SUMPRODUCT((TableauDatas[[Test]:[Test]]=$AS$2)*(TableauDatas[[Prénom]:[Prénom]]=V5)*(TableauDatas[[Date]:[Date]]=$AS$1)*(TableauDatas[[Perf]:[Perf]]))=0,"",SUMPRODUCT((TableauDatas[[Test]:[Test]]=$AS$2)*(TableauDatas[[Prénom]:[Prénom]]=V5)*(TableauDatas[[Date]:[Date]]=$AS$1)*(TableauDatas[[Perf]:[Perf]])))</f>
        <v/>
      </c>
      <c r="AT5" s="118" t="str" cm="1">
        <f t="array" ref="AT5">IF(SUMPRODUCT((TableauDatas[[Test]:[Test]]=$AS$2)*(TableauDatas[[Prénom]:[Prénom]]=V5)*(TableauDatas[[Date]:[Date]]=$AT$1)*(TableauDatas[[Perf]:[Perf]]))=0,"",SUMPRODUCT((TableauDatas[[Test]:[Test]]=$AS$2)*(TableauDatas[[Prénom]:[Prénom]]=V5)*(TableauDatas[[Date]:[Date]]=$AT$1)*(TableauDatas[[Perf]:[Perf]])))</f>
        <v/>
      </c>
      <c r="AU5" s="118" t="str" cm="1">
        <f t="array" ref="AU5">IF(SUMPRODUCT((TableauDatas[[Test]:[Test]]=$AU$2)*(TableauDatas[[Prénom]:[Prénom]]=V5)*(TableauDatas[[Date]:[Date]]=$AU$1)*(TableauDatas[[Perf]:[Perf]]))=0,"",SUMPRODUCT((TableauDatas[[Test]:[Test]]=$AU$2)*(TableauDatas[[Prénom]:[Prénom]]=V5)*(TableauDatas[[Date]:[Date]]=$AU$1)*(TableauDatas[[Perf]:[Perf]])))</f>
        <v/>
      </c>
      <c r="AV5" s="118" t="str" cm="1">
        <f t="array" ref="AV5">IF(SUMPRODUCT((TableauDatas[[Test]:[Test]]=$AU$2)*(TableauDatas[[Prénom]:[Prénom]]=V5)*(TableauDatas[[Date]:[Date]]=$AV$1)*(TableauDatas[[Perf]:[Perf]]))=0,"",SUMPRODUCT((TableauDatas[[Test]:[Test]]=$AU$2)*(TableauDatas[[Prénom]:[Prénom]]=V5)*(TableauDatas[[Date]:[Date]]=$AV$1)*(TableauDatas[[Perf]:[Perf]])))</f>
        <v/>
      </c>
      <c r="AW5" s="118" t="str" cm="1">
        <f t="array" ref="AW5">IF(SUMPRODUCT((TableauDatas[[Test]:[Test]]=$AW$2)*(TableauDatas[[Prénom]:[Prénom]]=V5)*(TableauDatas[[Date]:[Date]]=$AW$1)*(TableauDatas[[Perf]:[Perf]]))=0,"",SUMPRODUCT((TableauDatas[[Test]:[Test]]=$AW$2)*(TableauDatas[[Prénom]:[Prénom]]=V5)*(TableauDatas[[Date]:[Date]]=$AW$1)*(TableauDatas[[Perf]:[Perf]])))</f>
        <v/>
      </c>
      <c r="AX5" s="118" t="str" cm="1">
        <f t="array" ref="AX5">IF(SUMPRODUCT((TableauDatas[[Test]:[Test]]=$AW$2)*(TableauDatas[[Prénom]:[Prénom]]=V5)*(TableauDatas[[Date]:[Date]]=$AX$1)*(TableauDatas[[Perf]:[Perf]]))=0,"",SUMPRODUCT((TableauDatas[[Test]:[Test]]=$AW$2)*(TableauDatas[[Prénom]:[Prénom]]=V5)*(TableauDatas[[Date]:[Date]]=$AX$1)*(TableauDatas[[Perf]:[Perf]])))</f>
        <v/>
      </c>
      <c r="AY5" s="118" t="str" cm="1">
        <f t="array" ref="AY5">IF(SUMPRODUCT((TableauDatas[[Test]:[Test]]=$AY$2)*(TableauDatas[[Prénom]:[Prénom]]=V5)*(TableauDatas[[Date]:[Date]]=$AY$1)*(TableauDatas[[Perf]:[Perf]]))=0,"",SUMPRODUCT((TableauDatas[[Test]:[Test]]=$AY$2)*(TableauDatas[[Prénom]:[Prénom]]=V5)*(TableauDatas[[Date]:[Date]]=$AY$1)*(TableauDatas[[Perf]:[Perf]])))</f>
        <v/>
      </c>
      <c r="AZ5" s="118" t="str" cm="1">
        <f t="array" ref="AZ5">IF(SUMPRODUCT((TableauDatas[[Test]:[Test]]=$AY$2)*(TableauDatas[[Prénom]:[Prénom]]=V5)*(TableauDatas[[Date]:[Date]]=$AZ$1)*(TableauDatas[[Perf]:[Perf]]))=0,"",SUMPRODUCT((TableauDatas[[Test]:[Test]]=$AY$2)*(TableauDatas[[Prénom]:[Prénom]]=V5)*(TableauDatas[[Date]:[Date]]=$AZ$1)*(TableauDatas[[Perf]:[Perf]])))</f>
        <v/>
      </c>
      <c r="BA5" s="118" t="str" cm="1">
        <f t="array" ref="BA5">IF(SUMPRODUCT((TableauDatas[[Test]:[Test]]=$BA$2)*(TableauDatas[[Prénom]:[Prénom]]=V5)*(TableauDatas[[Date]:[Date]]=$BA$1)*(TableauDatas[[Perf]:[Perf]]))=0,"",SUMPRODUCT((TableauDatas[[Test]:[Test]]=$BA$2)*(TableauDatas[[Prénom]:[Prénom]]=V5)*(TableauDatas[[Date]:[Date]]=$BA$1)*(TableauDatas[[Perf]:[Perf]])))</f>
        <v/>
      </c>
      <c r="BB5" s="118" t="str" cm="1">
        <f t="array" ref="BB5">IF(SUMPRODUCT((TableauDatas[[Test]:[Test]]=$BA$2)*(TableauDatas[[Prénom]:[Prénom]]=V5)*(TableauDatas[[Date]:[Date]]=$BB$1)*(TableauDatas[[Perf]:[Perf]]))=0,"",SUMPRODUCT((TableauDatas[[Test]:[Test]]=$BA$2)*(TableauDatas[[Prénom]:[Prénom]]=V5)*(TableauDatas[[Date]:[Date]]=$BB$1)*(TableauDatas[[Perf]:[Perf]])))</f>
        <v/>
      </c>
      <c r="BC5" s="118" t="str" cm="1">
        <f t="array" ref="BC5">IF(SUMPRODUCT((TableauDatas[[Test]:[Test]]=$BC$2)*(TableauDatas[[Prénom]:[Prénom]]=V5)*(TableauDatas[[Date]:[Date]]=$BC$1)*(TableauDatas[[Perf]:[Perf]]))=0,"",SUMPRODUCT((TableauDatas[[Test]:[Test]]=$BC$2)*(TableauDatas[[Prénom]:[Prénom]]=V5)*(TableauDatas[[Date]:[Date]]=$BC$1)*(TableauDatas[[Perf]:[Perf]])))</f>
        <v/>
      </c>
      <c r="BD5" s="121" t="str" cm="1">
        <f t="array" ref="BD5">IF(SUMPRODUCT((TableauDatas[[Test]:[Test]]=$BC$2)*(TableauDatas[[Prénom]:[Prénom]]=V5)*(TableauDatas[[Date]:[Date]]=$BD$1)*(TableauDatas[[Perf]:[Perf]]))=0,"",SUMPRODUCT((TableauDatas[[Test]:[Test]]=$BC$2)*(TableauDatas[[Prénom]:[Prénom]]=V5)*(TableauDatas[[Date]:[Date]]=$BD$1)*(TableauDatas[[Perf]:[Perf]])))</f>
        <v/>
      </c>
      <c r="BE5" s="118" t="str" cm="1">
        <f t="array" ref="BE5">IF(SUMPRODUCT((TableauDatas[[Test]:[Test]]=$BE$2)*(TableauDatas[[Prénom]:[Prénom]]=V5)*(TableauDatas[[Date]:[Date]]=$BE$1)*(TableauDatas[[Perf]:[Perf]]))=0,"",SUMPRODUCT((TableauDatas[[Test]:[Test]]=$BE$2)*(TableauDatas[[Prénom]:[Prénom]]=V5)*(TableauDatas[[Date]:[Date]]=$BE$1)*(TableauDatas[[Perf]:[Perf]])))</f>
        <v/>
      </c>
      <c r="BF5" s="118" t="str" cm="1">
        <f t="array" ref="BF5">IF(SUMPRODUCT((TableauDatas[[Test]:[Test]]=$BE$2)*(TableauDatas[[Prénom]:[Prénom]]=V5)*(TableauDatas[[Date]:[Date]]=$BF$1)*(TableauDatas[[Perf]:[Perf]]))=0,"",SUMPRODUCT((TableauDatas[[Test]:[Test]]=$BE$2)*(TableauDatas[[Prénom]:[Prénom]]=V5)*(TableauDatas[[Date]:[Date]]=$BF$1)*(TableauDatas[[Perf]:[Perf]])))</f>
        <v/>
      </c>
      <c r="BG5" s="118" t="str" cm="1">
        <f t="array" ref="BG5">IF(SUMPRODUCT((TableauDatas[[Test]:[Test]]=$BG$2)*(TableauDatas[[Prénom]:[Prénom]]=V5)*(TableauDatas[[Date]:[Date]]=$BG$1)*(TableauDatas[[Perf]:[Perf]]))=0,"",SUMPRODUCT((TableauDatas[[Test]:[Test]]=$BG$2)*(TableauDatas[[Prénom]:[Prénom]]=V5)*(TableauDatas[[Date]:[Date]]=$BG$1)*(TableauDatas[[Perf]:[Perf]])))</f>
        <v/>
      </c>
      <c r="BH5" s="118" t="str" cm="1">
        <f t="array" ref="BH5">IF(SUMPRODUCT((TableauDatas[[Test]:[Test]]=$BG$2)*(TableauDatas[[Prénom]:[Prénom]]=V5)*(TableauDatas[[Date]:[Date]]=$BH$1)*(TableauDatas[[Perf]:[Perf]]))=0,"",SUMPRODUCT((TableauDatas[[Test]:[Test]]=$BG$2)*(TableauDatas[[Prénom]:[Prénom]]=V5)*(TableauDatas[[Date]:[Date]]=$BH$1)*(TableauDatas[[Perf]:[Perf]])))</f>
        <v/>
      </c>
      <c r="BI5" s="118" t="str" cm="1">
        <f t="array" ref="BI5">IF(SUMPRODUCT((TableauDatas[[Test]:[Test]]=$BI$2)*(TableauDatas[[Prénom]:[Prénom]]=V5)*(TableauDatas[[Date]:[Date]]=$BI$1)*(TableauDatas[[Perf]:[Perf]]))=0,"",SUMPRODUCT((TableauDatas[[Test]:[Test]]=$BI$2)*(TableauDatas[[Prénom]:[Prénom]]=V5)*(TableauDatas[[Date]:[Date]]=$BI$1)*(TableauDatas[[Perf]:[Perf]])))</f>
        <v/>
      </c>
      <c r="BJ5" s="118" t="str" cm="1">
        <f t="array" ref="BJ5">IF(SUMPRODUCT((TableauDatas[[Test]:[Test]]=$BI$2)*(TableauDatas[[Prénom]:[Prénom]]=V5)*(TableauDatas[[Date]:[Date]]=$BJ$1)*(TableauDatas[[Perf]:[Perf]]))=0,"",SUMPRODUCT((TableauDatas[[Test]:[Test]]=$BI$2)*(TableauDatas[[Prénom]:[Prénom]]=V5)*(TableauDatas[[Date]:[Date]]=$BJ$1)*(TableauDatas[[Perf]:[Perf]])))</f>
        <v/>
      </c>
      <c r="BK5" s="118" t="str" cm="1">
        <f t="array" ref="BK5">IF(SUMPRODUCT((TableauDatas[[Test]:[Test]]=$BK$2)*(TableauDatas[[Prénom]:[Prénom]]=V5)*(TableauDatas[[Date]:[Date]]=$BK$1)*(TableauDatas[[Perf]:[Perf]]))=0,"",SUMPRODUCT((TableauDatas[[Test]:[Test]]=$BK$2)*(TableauDatas[[Prénom]:[Prénom]]=V5)*(TableauDatas[[Date]:[Date]]=$BK$1)*(TableauDatas[[Perf]:[Perf]])))</f>
        <v/>
      </c>
      <c r="BL5" s="118" t="str" cm="1">
        <f t="array" ref="BL5">IF(SUMPRODUCT((TableauDatas[[Test]:[Test]]=$BK$2)*(TableauDatas[[Prénom]:[Prénom]]=V5)*(TableauDatas[[Date]:[Date]]=$BL$1)*(TableauDatas[[Perf]:[Perf]]))=0,"",SUMPRODUCT((TableauDatas[[Test]:[Test]]=$BK$2)*(TableauDatas[[Prénom]:[Prénom]]=V5)*(TableauDatas[[Date]:[Date]]=$BL$1)*(TableauDatas[[Perf]:[Perf]])))</f>
        <v/>
      </c>
      <c r="BM5" s="118" t="str" cm="1">
        <f t="array" ref="BM5">IF(SUMPRODUCT((TableauDatas[[Test]:[Test]]=$BM$2)*(TableauDatas[[Prénom]:[Prénom]]=V5)*(TableauDatas[[Date]:[Date]]=$BM$1)*(TableauDatas[[Perf]:[Perf]]))=0,"",SUMPRODUCT((TableauDatas[[Test]:[Test]]=$BM$2)*(TableauDatas[[Prénom]:[Prénom]]=V5)*(TableauDatas[[Date]:[Date]]=$BM$1)*(TableauDatas[[Perf]:[Perf]])))</f>
        <v/>
      </c>
      <c r="BN5" s="118" t="str" cm="1">
        <f t="array" ref="BN5">IF(SUMPRODUCT((TableauDatas[[Test]:[Test]]=$BM$2)*(TableauDatas[[Prénom]:[Prénom]]=V5)*(TableauDatas[[Date]:[Date]]=$BN$1)*(TableauDatas[[Perf]:[Perf]]))=0,"",SUMPRODUCT((TableauDatas[[Test]:[Test]]=$BM$2)*(TableauDatas[[Prénom]:[Prénom]]=V5)*(TableauDatas[[Date]:[Date]]=$BN$1)*(TableauDatas[[Perf]:[Perf]])))</f>
        <v/>
      </c>
      <c r="BO5" s="118" t="str" cm="1">
        <f t="array" ref="BO5">IF(SUMPRODUCT((TableauDatas[[Test]:[Test]]=$BO$2)*(TableauDatas[[Prénom]:[Prénom]]=V5)*(TableauDatas[[Date]:[Date]]=$BO$1)*(TableauDatas[[Perf]:[Perf]]))=0,"",SUMPRODUCT((TableauDatas[[Test]:[Test]]=$BO$2)*(TableauDatas[[Prénom]:[Prénom]]=V5)*(TableauDatas[[Date]:[Date]]=$BO$1)*(TableauDatas[[Perf]:[Perf]])))</f>
        <v/>
      </c>
      <c r="BP5" s="119" t="str" cm="1">
        <f t="array" ref="BP5">IF(SUMPRODUCT((TableauDatas[[Test]:[Test]]=$BO$2)*(TableauDatas[[Prénom]:[Prénom]]=V5)*(TableauDatas[[Date]:[Date]]=$BP$1)*(TableauDatas[[Perf]:[Perf]]))=0,"",SUMPRODUCT((TableauDatas[[Test]:[Test]]=$BO$2)*(TableauDatas[[Prénom]:[Prénom]]=V5)*(TableauDatas[[Date]:[Date]]=$BP$1)*(TableauDatas[[Perf]:[Perf]])))</f>
        <v/>
      </c>
      <c r="BQ5" s="18"/>
      <c r="BR5" s="18"/>
      <c r="BS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DA5" s="97"/>
      <c r="DB5" s="97"/>
      <c r="DC5" s="97"/>
      <c r="DD5" s="97"/>
      <c r="DE5" s="97"/>
      <c r="DF5" s="97"/>
      <c r="DG5" s="97"/>
      <c r="DH5" s="97"/>
      <c r="DI5" s="97"/>
      <c r="DJ5" s="97"/>
      <c r="DK5" s="97"/>
      <c r="DL5" s="97"/>
      <c r="DM5" s="97"/>
      <c r="DN5" s="97"/>
      <c r="DO5" s="97"/>
      <c r="DQ5" s="97"/>
      <c r="DR5" s="97"/>
      <c r="DS5" s="97"/>
      <c r="DT5" s="97"/>
      <c r="DU5" s="97"/>
      <c r="DV5" s="97"/>
      <c r="DW5" s="97"/>
      <c r="DX5" s="97"/>
      <c r="DY5" s="97"/>
      <c r="DZ5" s="97"/>
      <c r="EA5" s="97"/>
      <c r="EB5" s="97"/>
      <c r="EC5" s="97"/>
      <c r="ED5" s="97"/>
      <c r="EE5" s="97"/>
      <c r="EG5" s="97"/>
      <c r="EH5" s="97"/>
      <c r="EI5" s="97"/>
      <c r="EJ5" s="97"/>
      <c r="EK5" s="97"/>
      <c r="EL5" s="97"/>
      <c r="EM5" s="97"/>
      <c r="EN5" s="97"/>
      <c r="EO5" s="97"/>
      <c r="EP5" s="97"/>
      <c r="EQ5" s="97"/>
      <c r="ER5" s="97"/>
      <c r="ES5" s="97"/>
      <c r="ET5" s="97"/>
      <c r="EU5" s="97"/>
      <c r="EW5" s="97"/>
      <c r="EX5" s="97"/>
      <c r="EY5" s="97"/>
      <c r="EZ5" s="97"/>
      <c r="FA5" s="97"/>
      <c r="FB5" s="97"/>
      <c r="FC5" s="97"/>
      <c r="FD5" s="97"/>
      <c r="FE5" s="97"/>
      <c r="FF5" s="97"/>
      <c r="FG5" s="97"/>
      <c r="FH5" s="97"/>
      <c r="FI5" s="97"/>
      <c r="FJ5" s="97"/>
      <c r="FK5" s="97"/>
      <c r="FM5" s="97"/>
      <c r="FN5" s="97"/>
      <c r="FO5" s="97"/>
      <c r="FP5" s="97"/>
      <c r="FQ5" s="97"/>
      <c r="FR5" s="97"/>
      <c r="FS5" s="97"/>
      <c r="FT5" s="97"/>
      <c r="FU5" s="97"/>
      <c r="FV5" s="97"/>
      <c r="FW5" s="97"/>
      <c r="FX5" s="97"/>
      <c r="FY5" s="97"/>
      <c r="FZ5" s="97"/>
      <c r="GA5" s="97"/>
      <c r="GC5" s="97"/>
      <c r="GD5" s="97"/>
      <c r="GE5" s="97"/>
      <c r="GF5" s="97"/>
      <c r="GG5" s="97"/>
      <c r="GH5" s="97"/>
      <c r="GI5" s="97"/>
      <c r="GJ5" s="97"/>
      <c r="GK5" s="97"/>
      <c r="GL5" s="97"/>
      <c r="GM5" s="97"/>
      <c r="GN5" s="97"/>
      <c r="GO5" s="97"/>
      <c r="GP5" s="97"/>
      <c r="GQ5" s="97"/>
      <c r="GS5" s="97"/>
      <c r="GT5" s="97"/>
      <c r="GU5" s="97"/>
      <c r="GV5" s="97"/>
      <c r="GW5" s="97"/>
      <c r="GX5" s="97"/>
      <c r="GY5" s="97"/>
      <c r="GZ5" s="97"/>
      <c r="HA5" s="97"/>
      <c r="HB5" s="97"/>
      <c r="HC5" s="97"/>
      <c r="HD5" s="97"/>
      <c r="HE5" s="97"/>
      <c r="HF5" s="97"/>
      <c r="HG5" s="97"/>
      <c r="HI5" s="97"/>
      <c r="HJ5" s="97"/>
      <c r="HK5" s="97"/>
      <c r="HL5" s="97"/>
      <c r="HM5" s="97"/>
      <c r="HN5" s="97"/>
      <c r="HO5" s="97"/>
      <c r="HP5" s="97"/>
      <c r="HQ5" s="97"/>
      <c r="HR5" s="97"/>
      <c r="HS5" s="97"/>
      <c r="HT5" s="97"/>
      <c r="HU5" s="97"/>
      <c r="HV5" s="97"/>
      <c r="HW5" s="97"/>
      <c r="HY5" s="97"/>
      <c r="HZ5" s="97"/>
      <c r="IA5" s="97"/>
      <c r="IB5" s="97"/>
      <c r="IC5" s="97"/>
      <c r="ID5" s="97"/>
      <c r="IE5" s="97"/>
      <c r="IF5" s="97"/>
      <c r="IG5" s="97"/>
      <c r="IH5" s="97"/>
      <c r="II5" s="97"/>
      <c r="IJ5" s="97"/>
      <c r="IK5" s="97"/>
      <c r="IL5" s="97"/>
      <c r="IM5" s="97"/>
      <c r="IO5" s="97"/>
      <c r="IP5" s="97"/>
      <c r="IQ5" s="97"/>
      <c r="IR5" s="97"/>
      <c r="IS5" s="97"/>
      <c r="IT5" s="97"/>
      <c r="IU5" s="24"/>
      <c r="IV5" s="24"/>
      <c r="IW5" s="24"/>
      <c r="IX5" s="24"/>
      <c r="IY5" s="24"/>
      <c r="IZ5" s="24"/>
      <c r="JA5" s="24"/>
      <c r="JB5" s="24"/>
      <c r="JC5" s="24"/>
    </row>
    <row r="6" spans="1:263" x14ac:dyDescent="0.25">
      <c r="A6" s="188"/>
      <c r="B6" s="2" t="s">
        <v>3</v>
      </c>
      <c r="C6" s="19" t="str">
        <f>IFERROR(VLOOKUP(C4,O:Q,3,FALSE),"")</f>
        <v/>
      </c>
      <c r="D6" s="1"/>
      <c r="E6" s="51"/>
      <c r="F6" s="62" t="str">
        <f>IFERROR(VLOOKUP(E6,A12:H26,3,FALSE)*100/VLOOKUP(E6,A12:H26,7,FALSE)/100,"")</f>
        <v/>
      </c>
      <c r="G6" s="63" t="str">
        <f>IFERROR(VLOOKUP(E6,A12:H26,8,FALSE)*100/VLOOKUP(E6,A12:H26,7,FALSE)/100,"")</f>
        <v/>
      </c>
      <c r="H6" s="37"/>
      <c r="I6" s="27"/>
      <c r="J6" s="28"/>
      <c r="N6" s="66"/>
      <c r="O6" s="68"/>
      <c r="P6" s="69"/>
      <c r="Q6" s="69"/>
      <c r="R6" s="69"/>
      <c r="S6" s="70"/>
      <c r="T6" s="49"/>
      <c r="U6" s="103"/>
      <c r="V6" s="89">
        <f t="shared" si="0"/>
        <v>0</v>
      </c>
      <c r="W6" s="86" t="str" cm="1">
        <f t="array" ref="W6">IF(SUMPRODUCT((TableauDatas[[Test]:[Test]]=$W$2)*(TableauDatas[[Prénom]:[Prénom]]=V6)*(TableauDatas[[Date]:[Date]]=$W$1)*(TableauDatas[[Perf]:[Perf]]))=0,"",SUMPRODUCT((TableauDatas[[Test]:[Test]]=$W$2)*(TableauDatas[[Prénom]:[Prénom]]=V6)*(TableauDatas[[Date]:[Date]]=$W$1)*(TableauDatas[[Perf]:[Perf]])))</f>
        <v/>
      </c>
      <c r="X6" s="86" t="str" cm="1">
        <f t="array" ref="X6">IF(SUMPRODUCT((TableauDatas[[Test]:[Test]]=$X$2)*(TableauDatas[[Prénom]:[Prénom]]=V6)*(TableauDatas[[Date]:[Date]]=$X$1)*(TableauDatas[[Perf]:[Perf]]))=0,"",SUMPRODUCT((TableauDatas[[Test]:[Test]]=$X$2)*(TableauDatas[[Prénom]:[Prénom]]=V6)*(TableauDatas[[Date]:[Date]]=$X$1)*(TableauDatas[[Perf]:[Perf]])))</f>
        <v/>
      </c>
      <c r="Y6" s="86" t="str" cm="1">
        <f t="array" ref="Y6">IF(SUMPRODUCT((TableauDatas[[Test]:[Test]]=$Y$2)*(TableauDatas[[Prénom]:[Prénom]]=V6)*(TableauDatas[[Date]:[Date]]=$Y$1)*(TableauDatas[[Perf]:[Perf]]))=0,"",SUMPRODUCT((TableauDatas[[Test]:[Test]]=$Y$2)*(TableauDatas[[Prénom]:[Prénom]]=V6)*(TableauDatas[[Date]:[Date]]=$Y$1)*(TableauDatas[[Perf]:[Perf]])))</f>
        <v/>
      </c>
      <c r="Z6" s="86" t="str" cm="1">
        <f t="array" ref="Z6">IF(SUMPRODUCT((TableauDatas[[Test]:[Test]]=$Z$2)*(TableauDatas[[Prénom]:[Prénom]]=V6)*(TableauDatas[[Date]:[Date]]=$Z$1)*(TableauDatas[[Perf]:[Perf]]))=0,"",SUMPRODUCT((TableauDatas[[Test]:[Test]]=$Z$2)*(TableauDatas[[Prénom]:[Prénom]]=V6)*(TableauDatas[[Date]:[Date]]=$Z$1)*(TableauDatas[[Perf]:[Perf]])))</f>
        <v/>
      </c>
      <c r="AA6" s="86" t="str" cm="1">
        <f t="array" ref="AA6">IF(SUMPRODUCT((TableauDatas[[Test]:[Test]]=$AA$2)*(TableauDatas[[Prénom]:[Prénom]]=V6)*(TableauDatas[[Date]:[Date]]=$AA$1)*(TableauDatas[[Perf]:[Perf]]))=0,"",SUMPRODUCT((TableauDatas[[Test]:[Test]]=$AA$2)*(TableauDatas[[Prénom]:[Prénom]]=V6)*(TableauDatas[[Date]:[Date]]=$AA$1)*(TableauDatas[[Perf]:[Perf]])))</f>
        <v/>
      </c>
      <c r="AB6" s="86" t="str" cm="1">
        <f t="array" ref="AB6">IF(SUMPRODUCT((TableauDatas[[Test]:[Test]]=$AB$2)*(TableauDatas[[Prénom]:[Prénom]]=V6)*(TableauDatas[[Date]:[Date]]=$AB$1)*(TableauDatas[[Perf]:[Perf]]))=0,"",SUMPRODUCT((TableauDatas[[Test]:[Test]]=$AB$2)*(TableauDatas[[Prénom]:[Prénom]]=V6)*(TableauDatas[[Date]:[Date]]=$AB$1)*(TableauDatas[[Perf]:[Perf]])))</f>
        <v/>
      </c>
      <c r="AC6" s="86" t="str" cm="1">
        <f t="array" ref="AC6">IF(SUMPRODUCT((TableauDatas[[Test]:[Test]]=$AC$2)*(TableauDatas[[Prénom]:[Prénom]]=V6)*(TableauDatas[[Date]:[Date]]=$AC$1)*(TableauDatas[[Perf]:[Perf]]))=0,"",SUMPRODUCT((TableauDatas[[Test]:[Test]]=$AC$2)*(TableauDatas[[Prénom]:[Prénom]]=V6)*(TableauDatas[[Date]:[Date]]=$AC$1)*(TableauDatas[[Perf]:[Perf]])))</f>
        <v/>
      </c>
      <c r="AD6" s="86" t="str" cm="1">
        <f t="array" ref="AD6">IF(SUMPRODUCT((TableauDatas[[Test]:[Test]]=$AD$2)*(TableauDatas[[Prénom]:[Prénom]]=V6)*(TableauDatas[[Date]:[Date]]=$AD$1)*(TableauDatas[[Perf]:[Perf]]))=0,"",SUMPRODUCT((TableauDatas[[Test]:[Test]]=$AD$2)*(TableauDatas[[Prénom]:[Prénom]]=V6)*(TableauDatas[[Date]:[Date]]=$AD$1)*(TableauDatas[[Perf]:[Perf]])))</f>
        <v/>
      </c>
      <c r="AE6" s="86" t="str" cm="1">
        <f t="array" ref="AE6">IF(SUMPRODUCT((TableauDatas[[Test]:[Test]]=$AE$2)*(TableauDatas[[Prénom]:[Prénom]]=V6)*(TableauDatas[[Date]:[Date]]=$AE$1)*(TableauDatas[[Perf]:[Perf]]))=0,"",SUMPRODUCT((TableauDatas[[Test]:[Test]]=$AE$2)*(TableauDatas[[Prénom]:[Prénom]]=V6)*(TableauDatas[[Date]:[Date]]=$AE$1)*(TableauDatas[[Perf]:[Perf]])))</f>
        <v/>
      </c>
      <c r="AF6" s="86" t="str" cm="1">
        <f t="array" ref="AF6">IF(SUMPRODUCT((TableauDatas[[Test]:[Test]]=$AF$2)*(TableauDatas[[Prénom]:[Prénom]]=V6)*(TableauDatas[[Date]:[Date]]=$AF$1)*(TableauDatas[[Perf]:[Perf]]))=0,"",SUMPRODUCT((TableauDatas[[Test]:[Test]]=$AF$2)*(TableauDatas[[Prénom]:[Prénom]]=V6)*(TableauDatas[[Date]:[Date]]=$AF$1)*(TableauDatas[[Perf]:[Perf]])))</f>
        <v/>
      </c>
      <c r="AG6" s="86" t="str" cm="1">
        <f t="array" ref="AG6">IF(SUMPRODUCT((TableauDatas[[Test]:[Test]]=$AG$2)*(TableauDatas[[Prénom]:[Prénom]]=V6)*(TableauDatas[[Date]:[Date]]=$AG$1)*(TableauDatas[[Perf]:[Perf]]))=0,"",SUMPRODUCT((TableauDatas[[Test]:[Test]]=$AG$2)*(TableauDatas[[Prénom]:[Prénom]]=V6)*(TableauDatas[[Date]:[Date]]=$AG$1)*(TableauDatas[[Perf]:[Perf]])))</f>
        <v/>
      </c>
      <c r="AH6" s="86" t="str" cm="1">
        <f t="array" ref="AH6">IF(SUMPRODUCT((TableauDatas[[Test]:[Test]]=$AH$2)*(TableauDatas[[Prénom]:[Prénom]]=V6)*(TableauDatas[[Date]:[Date]]=$AH$1)*(TableauDatas[[Perf]:[Perf]]))=0,"",SUMPRODUCT((TableauDatas[[Test]:[Test]]=$AH$2)*(TableauDatas[[Prénom]:[Prénom]]=V6)*(TableauDatas[[Date]:[Date]]=$AH$1)*(TableauDatas[[Perf]:[Perf]])))</f>
        <v/>
      </c>
      <c r="AI6" s="86" t="str" cm="1">
        <f t="array" ref="AI6">IF(SUMPRODUCT((TableauDatas[[Test]:[Test]]=$AI$2)*(TableauDatas[[Prénom]:[Prénom]]=V6)*(TableauDatas[[Date]:[Date]]=$AI$1)*(TableauDatas[[Perf]:[Perf]]))=0,"",SUMPRODUCT((TableauDatas[[Test]:[Test]]=$AI$2)*(TableauDatas[[Prénom]:[Prénom]]=V6)*(TableauDatas[[Date]:[Date]]=$AI$1)*(TableauDatas[[Perf]:[Perf]])))</f>
        <v/>
      </c>
      <c r="AJ6" s="86" t="str" cm="1">
        <f t="array" ref="AJ6">IF(SUMPRODUCT((TableauDatas[[Test]:[Test]]=$AJ$2)*(TableauDatas[[Prénom]:[Prénom]]=V6)*(TableauDatas[[Date]:[Date]]=$AJ$1)*(TableauDatas[[Perf]:[Perf]]))=0,"",SUMPRODUCT((TableauDatas[[Test]:[Test]]=$AJ$2)*(TableauDatas[[Prénom]:[Prénom]]=V6)*(TableauDatas[[Date]:[Date]]=$AJ$1)*(TableauDatas[[Perf]:[Perf]])))</f>
        <v/>
      </c>
      <c r="AK6" s="87" t="str" cm="1">
        <f t="array" ref="AK6">IF(SUMPRODUCT((TableauDatas[[Test]:[Test]]=$AK$2)*(TableauDatas[[Prénom]:[Prénom]]=V6)*(TableauDatas[[Date]:[Date]]=$AK$1)*(TableauDatas[[Perf]:[Perf]]))=0,"",SUMPRODUCT((TableauDatas[[Test]:[Test]]=$AK$2)*(TableauDatas[[Prénom]:[Prénom]]=V6)*(TableauDatas[[Date]:[Date]]=$AK$1)*(TableauDatas[[Perf]:[Perf]])))</f>
        <v/>
      </c>
      <c r="AL6" s="18"/>
      <c r="AM6" s="117" t="str" cm="1">
        <f t="array" ref="AM6">IF(SUMPRODUCT((TableauDatas[[Test]:[Test]]=$AM$2)*(TableauDatas[[Prénom]:[Prénom]]=V6)*(TableauDatas[[Date]:[Date]]=$AM$1)*(TableauDatas[[Perf]:[Perf]]))=0,"",SUMPRODUCT((TableauDatas[[Test]:[Test]]=$AM$2)*(TableauDatas[[Prénom]:[Prénom]]=V6)*(TableauDatas[[Date]:[Date]]=$AM$1)*(TableauDatas[[Perf]:[Perf]])))</f>
        <v/>
      </c>
      <c r="AN6" s="120" t="str" cm="1">
        <f t="array" ref="AN6">IF(SUMPRODUCT((TableauDatas[[Test]:[Test]]=$AM$2)*(TableauDatas[[Prénom]:[Prénom]]=V6)*(TableauDatas[[Date]:[Date]]=$AN$1)*(TableauDatas[[Perf]:[Perf]]))=0,"",SUMPRODUCT((TableauDatas[[Test]:[Test]]=$AM$2)*(TableauDatas[[Prénom]:[Prénom]]=V6)*(TableauDatas[[Date]:[Date]]=$AN$1)*(TableauDatas[[Perf]:[Perf]])))</f>
        <v/>
      </c>
      <c r="AO6" s="118" t="str" cm="1">
        <f t="array" ref="AO6">IF(SUMPRODUCT((TableauDatas[[Test]:[Test]]=$AO$2)*(TableauDatas[[Prénom]:[Prénom]]=V6)*(TableauDatas[[Date]:[Date]]=$AO$1)*(TableauDatas[[Perf]:[Perf]]))=0,"",SUMPRODUCT((TableauDatas[[Test]:[Test]]=$AO$2)*(TableauDatas[[Prénom]:[Prénom]]=V6)*(TableauDatas[[Date]:[Date]]=$AO$1)*(TableauDatas[[Perf]:[Perf]])))</f>
        <v/>
      </c>
      <c r="AP6" s="118" t="str" cm="1">
        <f t="array" ref="AP6">IF(SUMPRODUCT((TableauDatas[[Test]:[Test]]=$AO$2)*(TableauDatas[[Prénom]:[Prénom]]=V6)*(TableauDatas[[Date]:[Date]]=$AP$1)*(TableauDatas[[Perf]:[Perf]]))=0,"",SUMPRODUCT((TableauDatas[[Test]:[Test]]=$AO$2)*(TableauDatas[[Prénom]:[Prénom]]=V6)*(TableauDatas[[Date]:[Date]]=$AP$1)*(TableauDatas[[Perf]:[Perf]])))</f>
        <v/>
      </c>
      <c r="AQ6" s="118" t="str" cm="1">
        <f t="array" ref="AQ6">IF(SUMPRODUCT((TableauDatas[[Test]:[Test]]=$AQ$2)*(TableauDatas[[Prénom]:[Prénom]]=V6)*(TableauDatas[[Date]:[Date]]=$AQ$1)*(TableauDatas[[Perf]:[Perf]]))=0,"",SUMPRODUCT((TableauDatas[[Test]:[Test]]=$AQ$2)*(TableauDatas[[Prénom]:[Prénom]]=V6)*(TableauDatas[[Date]:[Date]]=$AQ$1)*(TableauDatas[[Perf]:[Perf]])))</f>
        <v/>
      </c>
      <c r="AR6" s="118" t="str" cm="1">
        <f t="array" ref="AR6">IF(SUMPRODUCT((TableauDatas[[Test]:[Test]]=$AQ$2)*(TableauDatas[[Prénom]:[Prénom]]=V6)*(TableauDatas[[Date]:[Date]]=$AR$1)*(TableauDatas[[Perf]:[Perf]]))=0,"",SUMPRODUCT((TableauDatas[[Test]:[Test]]=$AQ$2)*(TableauDatas[[Prénom]:[Prénom]]=V6)*(TableauDatas[[Date]:[Date]]=$AR$1)*(TableauDatas[[Perf]:[Perf]])))</f>
        <v/>
      </c>
      <c r="AS6" s="118" t="str" cm="1">
        <f t="array" ref="AS6">IF(SUMPRODUCT((TableauDatas[[Test]:[Test]]=$AS$2)*(TableauDatas[[Prénom]:[Prénom]]=V6)*(TableauDatas[[Date]:[Date]]=$AS$1)*(TableauDatas[[Perf]:[Perf]]))=0,"",SUMPRODUCT((TableauDatas[[Test]:[Test]]=$AS$2)*(TableauDatas[[Prénom]:[Prénom]]=V6)*(TableauDatas[[Date]:[Date]]=$AS$1)*(TableauDatas[[Perf]:[Perf]])))</f>
        <v/>
      </c>
      <c r="AT6" s="118" t="str" cm="1">
        <f t="array" ref="AT6">IF(SUMPRODUCT((TableauDatas[[Test]:[Test]]=$AS$2)*(TableauDatas[[Prénom]:[Prénom]]=V6)*(TableauDatas[[Date]:[Date]]=$AT$1)*(TableauDatas[[Perf]:[Perf]]))=0,"",SUMPRODUCT((TableauDatas[[Test]:[Test]]=$AS$2)*(TableauDatas[[Prénom]:[Prénom]]=V6)*(TableauDatas[[Date]:[Date]]=$AT$1)*(TableauDatas[[Perf]:[Perf]])))</f>
        <v/>
      </c>
      <c r="AU6" s="118" t="str" cm="1">
        <f t="array" ref="AU6">IF(SUMPRODUCT((TableauDatas[[Test]:[Test]]=$AU$2)*(TableauDatas[[Prénom]:[Prénom]]=V6)*(TableauDatas[[Date]:[Date]]=$AU$1)*(TableauDatas[[Perf]:[Perf]]))=0,"",SUMPRODUCT((TableauDatas[[Test]:[Test]]=$AU$2)*(TableauDatas[[Prénom]:[Prénom]]=V6)*(TableauDatas[[Date]:[Date]]=$AU$1)*(TableauDatas[[Perf]:[Perf]])))</f>
        <v/>
      </c>
      <c r="AV6" s="118" t="str" cm="1">
        <f t="array" ref="AV6">IF(SUMPRODUCT((TableauDatas[[Test]:[Test]]=$AU$2)*(TableauDatas[[Prénom]:[Prénom]]=V6)*(TableauDatas[[Date]:[Date]]=$AV$1)*(TableauDatas[[Perf]:[Perf]]))=0,"",SUMPRODUCT((TableauDatas[[Test]:[Test]]=$AU$2)*(TableauDatas[[Prénom]:[Prénom]]=V6)*(TableauDatas[[Date]:[Date]]=$AV$1)*(TableauDatas[[Perf]:[Perf]])))</f>
        <v/>
      </c>
      <c r="AW6" s="118" t="str" cm="1">
        <f t="array" ref="AW6">IF(SUMPRODUCT((TableauDatas[[Test]:[Test]]=$AW$2)*(TableauDatas[[Prénom]:[Prénom]]=V6)*(TableauDatas[[Date]:[Date]]=$AW$1)*(TableauDatas[[Perf]:[Perf]]))=0,"",SUMPRODUCT((TableauDatas[[Test]:[Test]]=$AW$2)*(TableauDatas[[Prénom]:[Prénom]]=V6)*(TableauDatas[[Date]:[Date]]=$AW$1)*(TableauDatas[[Perf]:[Perf]])))</f>
        <v/>
      </c>
      <c r="AX6" s="118" t="str" cm="1">
        <f t="array" ref="AX6">IF(SUMPRODUCT((TableauDatas[[Test]:[Test]]=$AW$2)*(TableauDatas[[Prénom]:[Prénom]]=V6)*(TableauDatas[[Date]:[Date]]=$AX$1)*(TableauDatas[[Perf]:[Perf]]))=0,"",SUMPRODUCT((TableauDatas[[Test]:[Test]]=$AW$2)*(TableauDatas[[Prénom]:[Prénom]]=V6)*(TableauDatas[[Date]:[Date]]=$AX$1)*(TableauDatas[[Perf]:[Perf]])))</f>
        <v/>
      </c>
      <c r="AY6" s="118" t="str" cm="1">
        <f t="array" ref="AY6">IF(SUMPRODUCT((TableauDatas[[Test]:[Test]]=$AY$2)*(TableauDatas[[Prénom]:[Prénom]]=V6)*(TableauDatas[[Date]:[Date]]=$AY$1)*(TableauDatas[[Perf]:[Perf]]))=0,"",SUMPRODUCT((TableauDatas[[Test]:[Test]]=$AY$2)*(TableauDatas[[Prénom]:[Prénom]]=V6)*(TableauDatas[[Date]:[Date]]=$AY$1)*(TableauDatas[[Perf]:[Perf]])))</f>
        <v/>
      </c>
      <c r="AZ6" s="118" t="str" cm="1">
        <f t="array" ref="AZ6">IF(SUMPRODUCT((TableauDatas[[Test]:[Test]]=$AY$2)*(TableauDatas[[Prénom]:[Prénom]]=V6)*(TableauDatas[[Date]:[Date]]=$AZ$1)*(TableauDatas[[Perf]:[Perf]]))=0,"",SUMPRODUCT((TableauDatas[[Test]:[Test]]=$AY$2)*(TableauDatas[[Prénom]:[Prénom]]=V6)*(TableauDatas[[Date]:[Date]]=$AZ$1)*(TableauDatas[[Perf]:[Perf]])))</f>
        <v/>
      </c>
      <c r="BA6" s="118" t="str" cm="1">
        <f t="array" ref="BA6">IF(SUMPRODUCT((TableauDatas[[Test]:[Test]]=$BA$2)*(TableauDatas[[Prénom]:[Prénom]]=V6)*(TableauDatas[[Date]:[Date]]=$BA$1)*(TableauDatas[[Perf]:[Perf]]))=0,"",SUMPRODUCT((TableauDatas[[Test]:[Test]]=$BA$2)*(TableauDatas[[Prénom]:[Prénom]]=V6)*(TableauDatas[[Date]:[Date]]=$BA$1)*(TableauDatas[[Perf]:[Perf]])))</f>
        <v/>
      </c>
      <c r="BB6" s="118" t="str" cm="1">
        <f t="array" ref="BB6">IF(SUMPRODUCT((TableauDatas[[Test]:[Test]]=$BA$2)*(TableauDatas[[Prénom]:[Prénom]]=V6)*(TableauDatas[[Date]:[Date]]=$BB$1)*(TableauDatas[[Perf]:[Perf]]))=0,"",SUMPRODUCT((TableauDatas[[Test]:[Test]]=$BA$2)*(TableauDatas[[Prénom]:[Prénom]]=V6)*(TableauDatas[[Date]:[Date]]=$BB$1)*(TableauDatas[[Perf]:[Perf]])))</f>
        <v/>
      </c>
      <c r="BC6" s="118" t="str" cm="1">
        <f t="array" ref="BC6">IF(SUMPRODUCT((TableauDatas[[Test]:[Test]]=$BC$2)*(TableauDatas[[Prénom]:[Prénom]]=V6)*(TableauDatas[[Date]:[Date]]=$BC$1)*(TableauDatas[[Perf]:[Perf]]))=0,"",SUMPRODUCT((TableauDatas[[Test]:[Test]]=$BC$2)*(TableauDatas[[Prénom]:[Prénom]]=V6)*(TableauDatas[[Date]:[Date]]=$BC$1)*(TableauDatas[[Perf]:[Perf]])))</f>
        <v/>
      </c>
      <c r="BD6" s="121" t="str" cm="1">
        <f t="array" ref="BD6">IF(SUMPRODUCT((TableauDatas[[Test]:[Test]]=$BC$2)*(TableauDatas[[Prénom]:[Prénom]]=V6)*(TableauDatas[[Date]:[Date]]=$BD$1)*(TableauDatas[[Perf]:[Perf]]))=0,"",SUMPRODUCT((TableauDatas[[Test]:[Test]]=$BC$2)*(TableauDatas[[Prénom]:[Prénom]]=V6)*(TableauDatas[[Date]:[Date]]=$BD$1)*(TableauDatas[[Perf]:[Perf]])))</f>
        <v/>
      </c>
      <c r="BE6" s="118" t="str" cm="1">
        <f t="array" ref="BE6">IF(SUMPRODUCT((TableauDatas[[Test]:[Test]]=$BE$2)*(TableauDatas[[Prénom]:[Prénom]]=V6)*(TableauDatas[[Date]:[Date]]=$BE$1)*(TableauDatas[[Perf]:[Perf]]))=0,"",SUMPRODUCT((TableauDatas[[Test]:[Test]]=$BE$2)*(TableauDatas[[Prénom]:[Prénom]]=V6)*(TableauDatas[[Date]:[Date]]=$BE$1)*(TableauDatas[[Perf]:[Perf]])))</f>
        <v/>
      </c>
      <c r="BF6" s="118" t="str" cm="1">
        <f t="array" ref="BF6">IF(SUMPRODUCT((TableauDatas[[Test]:[Test]]=$BE$2)*(TableauDatas[[Prénom]:[Prénom]]=V6)*(TableauDatas[[Date]:[Date]]=$BF$1)*(TableauDatas[[Perf]:[Perf]]))=0,"",SUMPRODUCT((TableauDatas[[Test]:[Test]]=$BE$2)*(TableauDatas[[Prénom]:[Prénom]]=V6)*(TableauDatas[[Date]:[Date]]=$BF$1)*(TableauDatas[[Perf]:[Perf]])))</f>
        <v/>
      </c>
      <c r="BG6" s="118" t="str" cm="1">
        <f t="array" ref="BG6">IF(SUMPRODUCT((TableauDatas[[Test]:[Test]]=$BG$2)*(TableauDatas[[Prénom]:[Prénom]]=V6)*(TableauDatas[[Date]:[Date]]=$BG$1)*(TableauDatas[[Perf]:[Perf]]))=0,"",SUMPRODUCT((TableauDatas[[Test]:[Test]]=$BG$2)*(TableauDatas[[Prénom]:[Prénom]]=V6)*(TableauDatas[[Date]:[Date]]=$BG$1)*(TableauDatas[[Perf]:[Perf]])))</f>
        <v/>
      </c>
      <c r="BH6" s="118" t="str" cm="1">
        <f t="array" ref="BH6">IF(SUMPRODUCT((TableauDatas[[Test]:[Test]]=$BG$2)*(TableauDatas[[Prénom]:[Prénom]]=V6)*(TableauDatas[[Date]:[Date]]=$BH$1)*(TableauDatas[[Perf]:[Perf]]))=0,"",SUMPRODUCT((TableauDatas[[Test]:[Test]]=$BG$2)*(TableauDatas[[Prénom]:[Prénom]]=V6)*(TableauDatas[[Date]:[Date]]=$BH$1)*(TableauDatas[[Perf]:[Perf]])))</f>
        <v/>
      </c>
      <c r="BI6" s="118" t="str" cm="1">
        <f t="array" ref="BI6">IF(SUMPRODUCT((TableauDatas[[Test]:[Test]]=$BI$2)*(TableauDatas[[Prénom]:[Prénom]]=V6)*(TableauDatas[[Date]:[Date]]=$BI$1)*(TableauDatas[[Perf]:[Perf]]))=0,"",SUMPRODUCT((TableauDatas[[Test]:[Test]]=$BI$2)*(TableauDatas[[Prénom]:[Prénom]]=V6)*(TableauDatas[[Date]:[Date]]=$BI$1)*(TableauDatas[[Perf]:[Perf]])))</f>
        <v/>
      </c>
      <c r="BJ6" s="118" t="str" cm="1">
        <f t="array" ref="BJ6">IF(SUMPRODUCT((TableauDatas[[Test]:[Test]]=$BI$2)*(TableauDatas[[Prénom]:[Prénom]]=V6)*(TableauDatas[[Date]:[Date]]=$BJ$1)*(TableauDatas[[Perf]:[Perf]]))=0,"",SUMPRODUCT((TableauDatas[[Test]:[Test]]=$BI$2)*(TableauDatas[[Prénom]:[Prénom]]=V6)*(TableauDatas[[Date]:[Date]]=$BJ$1)*(TableauDatas[[Perf]:[Perf]])))</f>
        <v/>
      </c>
      <c r="BK6" s="118" t="str" cm="1">
        <f t="array" ref="BK6">IF(SUMPRODUCT((TableauDatas[[Test]:[Test]]=$BK$2)*(TableauDatas[[Prénom]:[Prénom]]=V6)*(TableauDatas[[Date]:[Date]]=$BK$1)*(TableauDatas[[Perf]:[Perf]]))=0,"",SUMPRODUCT((TableauDatas[[Test]:[Test]]=$BK$2)*(TableauDatas[[Prénom]:[Prénom]]=V6)*(TableauDatas[[Date]:[Date]]=$BK$1)*(TableauDatas[[Perf]:[Perf]])))</f>
        <v/>
      </c>
      <c r="BL6" s="118" t="str" cm="1">
        <f t="array" ref="BL6">IF(SUMPRODUCT((TableauDatas[[Test]:[Test]]=$BK$2)*(TableauDatas[[Prénom]:[Prénom]]=V6)*(TableauDatas[[Date]:[Date]]=$BL$1)*(TableauDatas[[Perf]:[Perf]]))=0,"",SUMPRODUCT((TableauDatas[[Test]:[Test]]=$BK$2)*(TableauDatas[[Prénom]:[Prénom]]=V6)*(TableauDatas[[Date]:[Date]]=$BL$1)*(TableauDatas[[Perf]:[Perf]])))</f>
        <v/>
      </c>
      <c r="BM6" s="118" t="str" cm="1">
        <f t="array" ref="BM6">IF(SUMPRODUCT((TableauDatas[[Test]:[Test]]=$BM$2)*(TableauDatas[[Prénom]:[Prénom]]=V6)*(TableauDatas[[Date]:[Date]]=$BM$1)*(TableauDatas[[Perf]:[Perf]]))=0,"",SUMPRODUCT((TableauDatas[[Test]:[Test]]=$BM$2)*(TableauDatas[[Prénom]:[Prénom]]=V6)*(TableauDatas[[Date]:[Date]]=$BM$1)*(TableauDatas[[Perf]:[Perf]])))</f>
        <v/>
      </c>
      <c r="BN6" s="118" t="str" cm="1">
        <f t="array" ref="BN6">IF(SUMPRODUCT((TableauDatas[[Test]:[Test]]=$BM$2)*(TableauDatas[[Prénom]:[Prénom]]=V6)*(TableauDatas[[Date]:[Date]]=$BN$1)*(TableauDatas[[Perf]:[Perf]]))=0,"",SUMPRODUCT((TableauDatas[[Test]:[Test]]=$BM$2)*(TableauDatas[[Prénom]:[Prénom]]=V6)*(TableauDatas[[Date]:[Date]]=$BN$1)*(TableauDatas[[Perf]:[Perf]])))</f>
        <v/>
      </c>
      <c r="BO6" s="118" t="str" cm="1">
        <f t="array" ref="BO6">IF(SUMPRODUCT((TableauDatas[[Test]:[Test]]=$BO$2)*(TableauDatas[[Prénom]:[Prénom]]=V6)*(TableauDatas[[Date]:[Date]]=$BO$1)*(TableauDatas[[Perf]:[Perf]]))=0,"",SUMPRODUCT((TableauDatas[[Test]:[Test]]=$BO$2)*(TableauDatas[[Prénom]:[Prénom]]=V6)*(TableauDatas[[Date]:[Date]]=$BO$1)*(TableauDatas[[Perf]:[Perf]])))</f>
        <v/>
      </c>
      <c r="BP6" s="119" t="str" cm="1">
        <f t="array" ref="BP6">IF(SUMPRODUCT((TableauDatas[[Test]:[Test]]=$BO$2)*(TableauDatas[[Prénom]:[Prénom]]=V6)*(TableauDatas[[Date]:[Date]]=$BP$1)*(TableauDatas[[Perf]:[Perf]]))=0,"",SUMPRODUCT((TableauDatas[[Test]:[Test]]=$BO$2)*(TableauDatas[[Prénom]:[Prénom]]=V6)*(TableauDatas[[Date]:[Date]]=$BP$1)*(TableauDatas[[Perf]:[Perf]])))</f>
        <v/>
      </c>
      <c r="BQ6" s="18"/>
      <c r="BR6" s="18"/>
      <c r="BS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DA6" s="97"/>
      <c r="DB6" s="97"/>
      <c r="DC6" s="97"/>
      <c r="DD6" s="97"/>
      <c r="DE6" s="97"/>
      <c r="DF6" s="97"/>
      <c r="DG6" s="97"/>
      <c r="DH6" s="97"/>
      <c r="DI6" s="97"/>
      <c r="DJ6" s="97"/>
      <c r="DK6" s="97"/>
      <c r="DL6" s="97"/>
      <c r="DM6" s="97"/>
      <c r="DN6" s="97"/>
      <c r="DO6" s="97"/>
      <c r="DQ6" s="97"/>
      <c r="DR6" s="97"/>
      <c r="DS6" s="97"/>
      <c r="DT6" s="97"/>
      <c r="DU6" s="97"/>
      <c r="DV6" s="97"/>
      <c r="DW6" s="97"/>
      <c r="DX6" s="97"/>
      <c r="DY6" s="97"/>
      <c r="DZ6" s="97"/>
      <c r="EA6" s="97"/>
      <c r="EB6" s="97"/>
      <c r="EC6" s="97"/>
      <c r="ED6" s="97"/>
      <c r="EE6" s="97"/>
      <c r="EG6" s="97"/>
      <c r="EH6" s="97"/>
      <c r="EI6" s="97"/>
      <c r="EJ6" s="97"/>
      <c r="EK6" s="97"/>
      <c r="EL6" s="97"/>
      <c r="EM6" s="97"/>
      <c r="EN6" s="97"/>
      <c r="EO6" s="97"/>
      <c r="EP6" s="97"/>
      <c r="EQ6" s="97"/>
      <c r="ER6" s="97"/>
      <c r="ES6" s="97"/>
      <c r="ET6" s="97"/>
      <c r="EU6" s="97"/>
      <c r="EW6" s="97"/>
      <c r="EX6" s="97"/>
      <c r="EY6" s="97"/>
      <c r="EZ6" s="97"/>
      <c r="FA6" s="97"/>
      <c r="FB6" s="97"/>
      <c r="FC6" s="97"/>
      <c r="FD6" s="97"/>
      <c r="FE6" s="97"/>
      <c r="FF6" s="97"/>
      <c r="FG6" s="97"/>
      <c r="FH6" s="97"/>
      <c r="FI6" s="97"/>
      <c r="FJ6" s="97"/>
      <c r="FK6" s="97"/>
      <c r="FM6" s="97"/>
      <c r="FN6" s="97"/>
      <c r="FO6" s="97"/>
      <c r="FP6" s="97"/>
      <c r="FQ6" s="97"/>
      <c r="FR6" s="97"/>
      <c r="FS6" s="97"/>
      <c r="FT6" s="97"/>
      <c r="FU6" s="97"/>
      <c r="FV6" s="97"/>
      <c r="FW6" s="97"/>
      <c r="FX6" s="97"/>
      <c r="FY6" s="97"/>
      <c r="FZ6" s="97"/>
      <c r="GA6" s="97"/>
      <c r="GC6" s="97"/>
      <c r="GD6" s="97"/>
      <c r="GE6" s="97"/>
      <c r="GF6" s="97"/>
      <c r="GG6" s="97"/>
      <c r="GH6" s="97"/>
      <c r="GI6" s="97"/>
      <c r="GJ6" s="97"/>
      <c r="GK6" s="97"/>
      <c r="GL6" s="97"/>
      <c r="GM6" s="97"/>
      <c r="GN6" s="97"/>
      <c r="GO6" s="97"/>
      <c r="GP6" s="97"/>
      <c r="GQ6" s="97"/>
      <c r="GS6" s="97"/>
      <c r="GT6" s="97"/>
      <c r="GU6" s="97"/>
      <c r="GV6" s="97"/>
      <c r="GW6" s="97"/>
      <c r="GX6" s="97"/>
      <c r="GY6" s="97"/>
      <c r="GZ6" s="97"/>
      <c r="HA6" s="97"/>
      <c r="HB6" s="97"/>
      <c r="HC6" s="97"/>
      <c r="HD6" s="97"/>
      <c r="HE6" s="97"/>
      <c r="HF6" s="97"/>
      <c r="HG6" s="97"/>
      <c r="HI6" s="97"/>
      <c r="HJ6" s="97"/>
      <c r="HK6" s="97"/>
      <c r="HL6" s="97"/>
      <c r="HM6" s="97"/>
      <c r="HN6" s="97"/>
      <c r="HO6" s="97"/>
      <c r="HP6" s="97"/>
      <c r="HQ6" s="97"/>
      <c r="HR6" s="97"/>
      <c r="HS6" s="97"/>
      <c r="HT6" s="97"/>
      <c r="HU6" s="97"/>
      <c r="HV6" s="97"/>
      <c r="HW6" s="97"/>
      <c r="HY6" s="97"/>
      <c r="HZ6" s="97"/>
      <c r="IA6" s="97"/>
      <c r="IB6" s="97"/>
      <c r="IC6" s="97"/>
      <c r="ID6" s="97"/>
      <c r="IE6" s="97"/>
      <c r="IF6" s="97"/>
      <c r="IG6" s="97"/>
      <c r="IH6" s="97"/>
      <c r="II6" s="97"/>
      <c r="IJ6" s="97"/>
      <c r="IK6" s="97"/>
      <c r="IL6" s="97"/>
      <c r="IM6" s="97"/>
      <c r="IO6" s="97"/>
      <c r="IP6" s="97"/>
      <c r="IQ6" s="97"/>
      <c r="IR6" s="97"/>
      <c r="IS6" s="97"/>
      <c r="IT6" s="97"/>
      <c r="IU6" s="24"/>
      <c r="IV6" s="24"/>
      <c r="IW6" s="24"/>
      <c r="IX6" s="24"/>
      <c r="IY6" s="24"/>
      <c r="IZ6" s="24"/>
      <c r="JA6" s="24"/>
      <c r="JB6" s="24"/>
      <c r="JC6" s="24"/>
    </row>
    <row r="7" spans="1:263" x14ac:dyDescent="0.25">
      <c r="A7" s="188"/>
      <c r="B7" s="2" t="s">
        <v>4</v>
      </c>
      <c r="C7" s="19" t="str">
        <f>IFERROR(VLOOKUP(C4,O:R,4,FALSE),"")</f>
        <v/>
      </c>
      <c r="D7" s="1"/>
      <c r="E7" s="51"/>
      <c r="F7" s="62" t="str">
        <f>IFERROR(VLOOKUP(E7,A12:H26,3,FALSE)*100/VLOOKUP(E7,A12:H26,7,FALSE)/100,"")</f>
        <v/>
      </c>
      <c r="G7" s="63" t="str">
        <f>IFERROR(VLOOKUP(E7,A12:H26,8,FALSE)*100/VLOOKUP(E7,A12:H26,7,FALSE)/100,"")</f>
        <v/>
      </c>
      <c r="H7" s="37"/>
      <c r="I7" s="27"/>
      <c r="J7" s="28"/>
      <c r="N7" s="108"/>
      <c r="O7" s="105"/>
      <c r="P7" s="106"/>
      <c r="Q7" s="106"/>
      <c r="R7" s="106"/>
      <c r="S7" s="107"/>
      <c r="T7" s="109"/>
      <c r="U7" s="103"/>
      <c r="V7" s="89">
        <f t="shared" si="0"/>
        <v>0</v>
      </c>
      <c r="W7" s="86" t="str" cm="1">
        <f t="array" ref="W7">IF(SUMPRODUCT((TableauDatas[[Test]:[Test]]=$W$2)*(TableauDatas[[Prénom]:[Prénom]]=V7)*(TableauDatas[[Date]:[Date]]=$W$1)*(TableauDatas[[Perf]:[Perf]]))=0,"",SUMPRODUCT((TableauDatas[[Test]:[Test]]=$W$2)*(TableauDatas[[Prénom]:[Prénom]]=V7)*(TableauDatas[[Date]:[Date]]=$W$1)*(TableauDatas[[Perf]:[Perf]])))</f>
        <v/>
      </c>
      <c r="X7" s="86" t="str" cm="1">
        <f t="array" ref="X7">IF(SUMPRODUCT((TableauDatas[[Test]:[Test]]=$X$2)*(TableauDatas[[Prénom]:[Prénom]]=V7)*(TableauDatas[[Date]:[Date]]=$X$1)*(TableauDatas[[Perf]:[Perf]]))=0,"",SUMPRODUCT((TableauDatas[[Test]:[Test]]=$X$2)*(TableauDatas[[Prénom]:[Prénom]]=V7)*(TableauDatas[[Date]:[Date]]=$X$1)*(TableauDatas[[Perf]:[Perf]])))</f>
        <v/>
      </c>
      <c r="Y7" s="86" t="str" cm="1">
        <f t="array" ref="Y7">IF(SUMPRODUCT((TableauDatas[[Test]:[Test]]=$Y$2)*(TableauDatas[[Prénom]:[Prénom]]=V7)*(TableauDatas[[Date]:[Date]]=$Y$1)*(TableauDatas[[Perf]:[Perf]]))=0,"",SUMPRODUCT((TableauDatas[[Test]:[Test]]=$Y$2)*(TableauDatas[[Prénom]:[Prénom]]=V7)*(TableauDatas[[Date]:[Date]]=$Y$1)*(TableauDatas[[Perf]:[Perf]])))</f>
        <v/>
      </c>
      <c r="Z7" s="86" t="str" cm="1">
        <f t="array" ref="Z7">IF(SUMPRODUCT((TableauDatas[[Test]:[Test]]=$Z$2)*(TableauDatas[[Prénom]:[Prénom]]=V7)*(TableauDatas[[Date]:[Date]]=$Z$1)*(TableauDatas[[Perf]:[Perf]]))=0,"",SUMPRODUCT((TableauDatas[[Test]:[Test]]=$Z$2)*(TableauDatas[[Prénom]:[Prénom]]=V7)*(TableauDatas[[Date]:[Date]]=$Z$1)*(TableauDatas[[Perf]:[Perf]])))</f>
        <v/>
      </c>
      <c r="AA7" s="86" t="str" cm="1">
        <f t="array" ref="AA7">IF(SUMPRODUCT((TableauDatas[[Test]:[Test]]=$AA$2)*(TableauDatas[[Prénom]:[Prénom]]=V7)*(TableauDatas[[Date]:[Date]]=$AA$1)*(TableauDatas[[Perf]:[Perf]]))=0,"",SUMPRODUCT((TableauDatas[[Test]:[Test]]=$AA$2)*(TableauDatas[[Prénom]:[Prénom]]=V7)*(TableauDatas[[Date]:[Date]]=$AA$1)*(TableauDatas[[Perf]:[Perf]])))</f>
        <v/>
      </c>
      <c r="AB7" s="86" t="str" cm="1">
        <f t="array" ref="AB7">IF(SUMPRODUCT((TableauDatas[[Test]:[Test]]=$AB$2)*(TableauDatas[[Prénom]:[Prénom]]=V7)*(TableauDatas[[Date]:[Date]]=$AB$1)*(TableauDatas[[Perf]:[Perf]]))=0,"",SUMPRODUCT((TableauDatas[[Test]:[Test]]=$AB$2)*(TableauDatas[[Prénom]:[Prénom]]=V7)*(TableauDatas[[Date]:[Date]]=$AB$1)*(TableauDatas[[Perf]:[Perf]])))</f>
        <v/>
      </c>
      <c r="AC7" s="86" t="str" cm="1">
        <f t="array" ref="AC7">IF(SUMPRODUCT((TableauDatas[[Test]:[Test]]=$AC$2)*(TableauDatas[[Prénom]:[Prénom]]=V7)*(TableauDatas[[Date]:[Date]]=$AC$1)*(TableauDatas[[Perf]:[Perf]]))=0,"",SUMPRODUCT((TableauDatas[[Test]:[Test]]=$AC$2)*(TableauDatas[[Prénom]:[Prénom]]=V7)*(TableauDatas[[Date]:[Date]]=$AC$1)*(TableauDatas[[Perf]:[Perf]])))</f>
        <v/>
      </c>
      <c r="AD7" s="86" t="str" cm="1">
        <f t="array" ref="AD7">IF(SUMPRODUCT((TableauDatas[[Test]:[Test]]=$AD$2)*(TableauDatas[[Prénom]:[Prénom]]=V7)*(TableauDatas[[Date]:[Date]]=$AD$1)*(TableauDatas[[Perf]:[Perf]]))=0,"",SUMPRODUCT((TableauDatas[[Test]:[Test]]=$AD$2)*(TableauDatas[[Prénom]:[Prénom]]=V7)*(TableauDatas[[Date]:[Date]]=$AD$1)*(TableauDatas[[Perf]:[Perf]])))</f>
        <v/>
      </c>
      <c r="AE7" s="86" t="str" cm="1">
        <f t="array" ref="AE7">IF(SUMPRODUCT((TableauDatas[[Test]:[Test]]=$AE$2)*(TableauDatas[[Prénom]:[Prénom]]=V7)*(TableauDatas[[Date]:[Date]]=$AE$1)*(TableauDatas[[Perf]:[Perf]]))=0,"",SUMPRODUCT((TableauDatas[[Test]:[Test]]=$AE$2)*(TableauDatas[[Prénom]:[Prénom]]=V7)*(TableauDatas[[Date]:[Date]]=$AE$1)*(TableauDatas[[Perf]:[Perf]])))</f>
        <v/>
      </c>
      <c r="AF7" s="86" t="str" cm="1">
        <f t="array" ref="AF7">IF(SUMPRODUCT((TableauDatas[[Test]:[Test]]=$AF$2)*(TableauDatas[[Prénom]:[Prénom]]=V7)*(TableauDatas[[Date]:[Date]]=$AF$1)*(TableauDatas[[Perf]:[Perf]]))=0,"",SUMPRODUCT((TableauDatas[[Test]:[Test]]=$AF$2)*(TableauDatas[[Prénom]:[Prénom]]=V7)*(TableauDatas[[Date]:[Date]]=$AF$1)*(TableauDatas[[Perf]:[Perf]])))</f>
        <v/>
      </c>
      <c r="AG7" s="86" t="str" cm="1">
        <f t="array" ref="AG7">IF(SUMPRODUCT((TableauDatas[[Test]:[Test]]=$AG$2)*(TableauDatas[[Prénom]:[Prénom]]=V7)*(TableauDatas[[Date]:[Date]]=$AG$1)*(TableauDatas[[Perf]:[Perf]]))=0,"",SUMPRODUCT((TableauDatas[[Test]:[Test]]=$AG$2)*(TableauDatas[[Prénom]:[Prénom]]=V7)*(TableauDatas[[Date]:[Date]]=$AG$1)*(TableauDatas[[Perf]:[Perf]])))</f>
        <v/>
      </c>
      <c r="AH7" s="86" t="str" cm="1">
        <f t="array" ref="AH7">IF(SUMPRODUCT((TableauDatas[[Test]:[Test]]=$AH$2)*(TableauDatas[[Prénom]:[Prénom]]=V7)*(TableauDatas[[Date]:[Date]]=$AH$1)*(TableauDatas[[Perf]:[Perf]]))=0,"",SUMPRODUCT((TableauDatas[[Test]:[Test]]=$AH$2)*(TableauDatas[[Prénom]:[Prénom]]=V7)*(TableauDatas[[Date]:[Date]]=$AH$1)*(TableauDatas[[Perf]:[Perf]])))</f>
        <v/>
      </c>
      <c r="AI7" s="86" t="str" cm="1">
        <f t="array" ref="AI7">IF(SUMPRODUCT((TableauDatas[[Test]:[Test]]=$AI$2)*(TableauDatas[[Prénom]:[Prénom]]=V7)*(TableauDatas[[Date]:[Date]]=$AI$1)*(TableauDatas[[Perf]:[Perf]]))=0,"",SUMPRODUCT((TableauDatas[[Test]:[Test]]=$AI$2)*(TableauDatas[[Prénom]:[Prénom]]=V7)*(TableauDatas[[Date]:[Date]]=$AI$1)*(TableauDatas[[Perf]:[Perf]])))</f>
        <v/>
      </c>
      <c r="AJ7" s="86" t="str" cm="1">
        <f t="array" ref="AJ7">IF(SUMPRODUCT((TableauDatas[[Test]:[Test]]=$AJ$2)*(TableauDatas[[Prénom]:[Prénom]]=V7)*(TableauDatas[[Date]:[Date]]=$AJ$1)*(TableauDatas[[Perf]:[Perf]]))=0,"",SUMPRODUCT((TableauDatas[[Test]:[Test]]=$AJ$2)*(TableauDatas[[Prénom]:[Prénom]]=V7)*(TableauDatas[[Date]:[Date]]=$AJ$1)*(TableauDatas[[Perf]:[Perf]])))</f>
        <v/>
      </c>
      <c r="AK7" s="87" t="str" cm="1">
        <f t="array" ref="AK7">IF(SUMPRODUCT((TableauDatas[[Test]:[Test]]=$AK$2)*(TableauDatas[[Prénom]:[Prénom]]=V7)*(TableauDatas[[Date]:[Date]]=$AK$1)*(TableauDatas[[Perf]:[Perf]]))=0,"",SUMPRODUCT((TableauDatas[[Test]:[Test]]=$AK$2)*(TableauDatas[[Prénom]:[Prénom]]=V7)*(TableauDatas[[Date]:[Date]]=$AK$1)*(TableauDatas[[Perf]:[Perf]])))</f>
        <v/>
      </c>
      <c r="AL7" s="18"/>
      <c r="AM7" s="117" t="str" cm="1">
        <f t="array" ref="AM7">IF(SUMPRODUCT((TableauDatas[[Test]:[Test]]=$AM$2)*(TableauDatas[[Prénom]:[Prénom]]=V7)*(TableauDatas[[Date]:[Date]]=$AM$1)*(TableauDatas[[Perf]:[Perf]]))=0,"",SUMPRODUCT((TableauDatas[[Test]:[Test]]=$AM$2)*(TableauDatas[[Prénom]:[Prénom]]=V7)*(TableauDatas[[Date]:[Date]]=$AM$1)*(TableauDatas[[Perf]:[Perf]])))</f>
        <v/>
      </c>
      <c r="AN7" s="120" t="str" cm="1">
        <f t="array" ref="AN7">IF(SUMPRODUCT((TableauDatas[[Test]:[Test]]=$AM$2)*(TableauDatas[[Prénom]:[Prénom]]=V7)*(TableauDatas[[Date]:[Date]]=$AN$1)*(TableauDatas[[Perf]:[Perf]]))=0,"",SUMPRODUCT((TableauDatas[[Test]:[Test]]=$AM$2)*(TableauDatas[[Prénom]:[Prénom]]=V7)*(TableauDatas[[Date]:[Date]]=$AN$1)*(TableauDatas[[Perf]:[Perf]])))</f>
        <v/>
      </c>
      <c r="AO7" s="118" t="str" cm="1">
        <f t="array" ref="AO7">IF(SUMPRODUCT((TableauDatas[[Test]:[Test]]=$AO$2)*(TableauDatas[[Prénom]:[Prénom]]=V7)*(TableauDatas[[Date]:[Date]]=$AO$1)*(TableauDatas[[Perf]:[Perf]]))=0,"",SUMPRODUCT((TableauDatas[[Test]:[Test]]=$AO$2)*(TableauDatas[[Prénom]:[Prénom]]=V7)*(TableauDatas[[Date]:[Date]]=$AO$1)*(TableauDatas[[Perf]:[Perf]])))</f>
        <v/>
      </c>
      <c r="AP7" s="118" t="str" cm="1">
        <f t="array" ref="AP7">IF(SUMPRODUCT((TableauDatas[[Test]:[Test]]=$AO$2)*(TableauDatas[[Prénom]:[Prénom]]=V7)*(TableauDatas[[Date]:[Date]]=$AP$1)*(TableauDatas[[Perf]:[Perf]]))=0,"",SUMPRODUCT((TableauDatas[[Test]:[Test]]=$AO$2)*(TableauDatas[[Prénom]:[Prénom]]=V7)*(TableauDatas[[Date]:[Date]]=$AP$1)*(TableauDatas[[Perf]:[Perf]])))</f>
        <v/>
      </c>
      <c r="AQ7" s="118" t="str" cm="1">
        <f t="array" ref="AQ7">IF(SUMPRODUCT((TableauDatas[[Test]:[Test]]=$AQ$2)*(TableauDatas[[Prénom]:[Prénom]]=V7)*(TableauDatas[[Date]:[Date]]=$AQ$1)*(TableauDatas[[Perf]:[Perf]]))=0,"",SUMPRODUCT((TableauDatas[[Test]:[Test]]=$AQ$2)*(TableauDatas[[Prénom]:[Prénom]]=V7)*(TableauDatas[[Date]:[Date]]=$AQ$1)*(TableauDatas[[Perf]:[Perf]])))</f>
        <v/>
      </c>
      <c r="AR7" s="118" t="str" cm="1">
        <f t="array" ref="AR7">IF(SUMPRODUCT((TableauDatas[[Test]:[Test]]=$AQ$2)*(TableauDatas[[Prénom]:[Prénom]]=V7)*(TableauDatas[[Date]:[Date]]=$AR$1)*(TableauDatas[[Perf]:[Perf]]))=0,"",SUMPRODUCT((TableauDatas[[Test]:[Test]]=$AQ$2)*(TableauDatas[[Prénom]:[Prénom]]=V7)*(TableauDatas[[Date]:[Date]]=$AR$1)*(TableauDatas[[Perf]:[Perf]])))</f>
        <v/>
      </c>
      <c r="AS7" s="118" t="str" cm="1">
        <f t="array" ref="AS7">IF(SUMPRODUCT((TableauDatas[[Test]:[Test]]=$AS$2)*(TableauDatas[[Prénom]:[Prénom]]=V7)*(TableauDatas[[Date]:[Date]]=$AS$1)*(TableauDatas[[Perf]:[Perf]]))=0,"",SUMPRODUCT((TableauDatas[[Test]:[Test]]=$AS$2)*(TableauDatas[[Prénom]:[Prénom]]=V7)*(TableauDatas[[Date]:[Date]]=$AS$1)*(TableauDatas[[Perf]:[Perf]])))</f>
        <v/>
      </c>
      <c r="AT7" s="118" t="str" cm="1">
        <f t="array" ref="AT7">IF(SUMPRODUCT((TableauDatas[[Test]:[Test]]=$AS$2)*(TableauDatas[[Prénom]:[Prénom]]=V7)*(TableauDatas[[Date]:[Date]]=$AT$1)*(TableauDatas[[Perf]:[Perf]]))=0,"",SUMPRODUCT((TableauDatas[[Test]:[Test]]=$AS$2)*(TableauDatas[[Prénom]:[Prénom]]=V7)*(TableauDatas[[Date]:[Date]]=$AT$1)*(TableauDatas[[Perf]:[Perf]])))</f>
        <v/>
      </c>
      <c r="AU7" s="118" t="str" cm="1">
        <f t="array" ref="AU7">IF(SUMPRODUCT((TableauDatas[[Test]:[Test]]=$AU$2)*(TableauDatas[[Prénom]:[Prénom]]=V7)*(TableauDatas[[Date]:[Date]]=$AU$1)*(TableauDatas[[Perf]:[Perf]]))=0,"",SUMPRODUCT((TableauDatas[[Test]:[Test]]=$AU$2)*(TableauDatas[[Prénom]:[Prénom]]=V7)*(TableauDatas[[Date]:[Date]]=$AU$1)*(TableauDatas[[Perf]:[Perf]])))</f>
        <v/>
      </c>
      <c r="AV7" s="118" t="str" cm="1">
        <f t="array" ref="AV7">IF(SUMPRODUCT((TableauDatas[[Test]:[Test]]=$AU$2)*(TableauDatas[[Prénom]:[Prénom]]=V7)*(TableauDatas[[Date]:[Date]]=$AV$1)*(TableauDatas[[Perf]:[Perf]]))=0,"",SUMPRODUCT((TableauDatas[[Test]:[Test]]=$AU$2)*(TableauDatas[[Prénom]:[Prénom]]=V7)*(TableauDatas[[Date]:[Date]]=$AV$1)*(TableauDatas[[Perf]:[Perf]])))</f>
        <v/>
      </c>
      <c r="AW7" s="118" t="str" cm="1">
        <f t="array" ref="AW7">IF(SUMPRODUCT((TableauDatas[[Test]:[Test]]=$AW$2)*(TableauDatas[[Prénom]:[Prénom]]=V7)*(TableauDatas[[Date]:[Date]]=$AW$1)*(TableauDatas[[Perf]:[Perf]]))=0,"",SUMPRODUCT((TableauDatas[[Test]:[Test]]=$AW$2)*(TableauDatas[[Prénom]:[Prénom]]=V7)*(TableauDatas[[Date]:[Date]]=$AW$1)*(TableauDatas[[Perf]:[Perf]])))</f>
        <v/>
      </c>
      <c r="AX7" s="118" t="str" cm="1">
        <f t="array" ref="AX7">IF(SUMPRODUCT((TableauDatas[[Test]:[Test]]=$AW$2)*(TableauDatas[[Prénom]:[Prénom]]=V7)*(TableauDatas[[Date]:[Date]]=$AX$1)*(TableauDatas[[Perf]:[Perf]]))=0,"",SUMPRODUCT((TableauDatas[[Test]:[Test]]=$AW$2)*(TableauDatas[[Prénom]:[Prénom]]=V7)*(TableauDatas[[Date]:[Date]]=$AX$1)*(TableauDatas[[Perf]:[Perf]])))</f>
        <v/>
      </c>
      <c r="AY7" s="118" t="str" cm="1">
        <f t="array" ref="AY7">IF(SUMPRODUCT((TableauDatas[[Test]:[Test]]=$AY$2)*(TableauDatas[[Prénom]:[Prénom]]=V7)*(TableauDatas[[Date]:[Date]]=$AY$1)*(TableauDatas[[Perf]:[Perf]]))=0,"",SUMPRODUCT((TableauDatas[[Test]:[Test]]=$AY$2)*(TableauDatas[[Prénom]:[Prénom]]=V7)*(TableauDatas[[Date]:[Date]]=$AY$1)*(TableauDatas[[Perf]:[Perf]])))</f>
        <v/>
      </c>
      <c r="AZ7" s="118" t="str" cm="1">
        <f t="array" ref="AZ7">IF(SUMPRODUCT((TableauDatas[[Test]:[Test]]=$AY$2)*(TableauDatas[[Prénom]:[Prénom]]=V7)*(TableauDatas[[Date]:[Date]]=$AZ$1)*(TableauDatas[[Perf]:[Perf]]))=0,"",SUMPRODUCT((TableauDatas[[Test]:[Test]]=$AY$2)*(TableauDatas[[Prénom]:[Prénom]]=V7)*(TableauDatas[[Date]:[Date]]=$AZ$1)*(TableauDatas[[Perf]:[Perf]])))</f>
        <v/>
      </c>
      <c r="BA7" s="118" t="str" cm="1">
        <f t="array" ref="BA7">IF(SUMPRODUCT((TableauDatas[[Test]:[Test]]=$BA$2)*(TableauDatas[[Prénom]:[Prénom]]=V7)*(TableauDatas[[Date]:[Date]]=$BA$1)*(TableauDatas[[Perf]:[Perf]]))=0,"",SUMPRODUCT((TableauDatas[[Test]:[Test]]=$BA$2)*(TableauDatas[[Prénom]:[Prénom]]=V7)*(TableauDatas[[Date]:[Date]]=$BA$1)*(TableauDatas[[Perf]:[Perf]])))</f>
        <v/>
      </c>
      <c r="BB7" s="118" t="str" cm="1">
        <f t="array" ref="BB7">IF(SUMPRODUCT((TableauDatas[[Test]:[Test]]=$BA$2)*(TableauDatas[[Prénom]:[Prénom]]=V7)*(TableauDatas[[Date]:[Date]]=$BB$1)*(TableauDatas[[Perf]:[Perf]]))=0,"",SUMPRODUCT((TableauDatas[[Test]:[Test]]=$BA$2)*(TableauDatas[[Prénom]:[Prénom]]=V7)*(TableauDatas[[Date]:[Date]]=$BB$1)*(TableauDatas[[Perf]:[Perf]])))</f>
        <v/>
      </c>
      <c r="BC7" s="118" t="str" cm="1">
        <f t="array" ref="BC7">IF(SUMPRODUCT((TableauDatas[[Test]:[Test]]=$BC$2)*(TableauDatas[[Prénom]:[Prénom]]=V7)*(TableauDatas[[Date]:[Date]]=$BC$1)*(TableauDatas[[Perf]:[Perf]]))=0,"",SUMPRODUCT((TableauDatas[[Test]:[Test]]=$BC$2)*(TableauDatas[[Prénom]:[Prénom]]=V7)*(TableauDatas[[Date]:[Date]]=$BC$1)*(TableauDatas[[Perf]:[Perf]])))</f>
        <v/>
      </c>
      <c r="BD7" s="121" t="str" cm="1">
        <f t="array" ref="BD7">IF(SUMPRODUCT((TableauDatas[[Test]:[Test]]=$BC$2)*(TableauDatas[[Prénom]:[Prénom]]=V7)*(TableauDatas[[Date]:[Date]]=$BD$1)*(TableauDatas[[Perf]:[Perf]]))=0,"",SUMPRODUCT((TableauDatas[[Test]:[Test]]=$BC$2)*(TableauDatas[[Prénom]:[Prénom]]=V7)*(TableauDatas[[Date]:[Date]]=$BD$1)*(TableauDatas[[Perf]:[Perf]])))</f>
        <v/>
      </c>
      <c r="BE7" s="118" t="str" cm="1">
        <f t="array" ref="BE7">IF(SUMPRODUCT((TableauDatas[[Test]:[Test]]=$BE$2)*(TableauDatas[[Prénom]:[Prénom]]=V7)*(TableauDatas[[Date]:[Date]]=$BE$1)*(TableauDatas[[Perf]:[Perf]]))=0,"",SUMPRODUCT((TableauDatas[[Test]:[Test]]=$BE$2)*(TableauDatas[[Prénom]:[Prénom]]=V7)*(TableauDatas[[Date]:[Date]]=$BE$1)*(TableauDatas[[Perf]:[Perf]])))</f>
        <v/>
      </c>
      <c r="BF7" s="118" t="str" cm="1">
        <f t="array" ref="BF7">IF(SUMPRODUCT((TableauDatas[[Test]:[Test]]=$BE$2)*(TableauDatas[[Prénom]:[Prénom]]=V7)*(TableauDatas[[Date]:[Date]]=$BF$1)*(TableauDatas[[Perf]:[Perf]]))=0,"",SUMPRODUCT((TableauDatas[[Test]:[Test]]=$BE$2)*(TableauDatas[[Prénom]:[Prénom]]=V7)*(TableauDatas[[Date]:[Date]]=$BF$1)*(TableauDatas[[Perf]:[Perf]])))</f>
        <v/>
      </c>
      <c r="BG7" s="118" t="str" cm="1">
        <f t="array" ref="BG7">IF(SUMPRODUCT((TableauDatas[[Test]:[Test]]=$BG$2)*(TableauDatas[[Prénom]:[Prénom]]=V7)*(TableauDatas[[Date]:[Date]]=$BG$1)*(TableauDatas[[Perf]:[Perf]]))=0,"",SUMPRODUCT((TableauDatas[[Test]:[Test]]=$BG$2)*(TableauDatas[[Prénom]:[Prénom]]=V7)*(TableauDatas[[Date]:[Date]]=$BG$1)*(TableauDatas[[Perf]:[Perf]])))</f>
        <v/>
      </c>
      <c r="BH7" s="118" t="str" cm="1">
        <f t="array" ref="BH7">IF(SUMPRODUCT((TableauDatas[[Test]:[Test]]=$BG$2)*(TableauDatas[[Prénom]:[Prénom]]=V7)*(TableauDatas[[Date]:[Date]]=$BH$1)*(TableauDatas[[Perf]:[Perf]]))=0,"",SUMPRODUCT((TableauDatas[[Test]:[Test]]=$BG$2)*(TableauDatas[[Prénom]:[Prénom]]=V7)*(TableauDatas[[Date]:[Date]]=$BH$1)*(TableauDatas[[Perf]:[Perf]])))</f>
        <v/>
      </c>
      <c r="BI7" s="118" t="str" cm="1">
        <f t="array" ref="BI7">IF(SUMPRODUCT((TableauDatas[[Test]:[Test]]=$BI$2)*(TableauDatas[[Prénom]:[Prénom]]=V7)*(TableauDatas[[Date]:[Date]]=$BI$1)*(TableauDatas[[Perf]:[Perf]]))=0,"",SUMPRODUCT((TableauDatas[[Test]:[Test]]=$BI$2)*(TableauDatas[[Prénom]:[Prénom]]=V7)*(TableauDatas[[Date]:[Date]]=$BI$1)*(TableauDatas[[Perf]:[Perf]])))</f>
        <v/>
      </c>
      <c r="BJ7" s="118" t="str" cm="1">
        <f t="array" ref="BJ7">IF(SUMPRODUCT((TableauDatas[[Test]:[Test]]=$BI$2)*(TableauDatas[[Prénom]:[Prénom]]=V7)*(TableauDatas[[Date]:[Date]]=$BJ$1)*(TableauDatas[[Perf]:[Perf]]))=0,"",SUMPRODUCT((TableauDatas[[Test]:[Test]]=$BI$2)*(TableauDatas[[Prénom]:[Prénom]]=V7)*(TableauDatas[[Date]:[Date]]=$BJ$1)*(TableauDatas[[Perf]:[Perf]])))</f>
        <v/>
      </c>
      <c r="BK7" s="118" t="str" cm="1">
        <f t="array" ref="BK7">IF(SUMPRODUCT((TableauDatas[[Test]:[Test]]=$BK$2)*(TableauDatas[[Prénom]:[Prénom]]=V7)*(TableauDatas[[Date]:[Date]]=$BK$1)*(TableauDatas[[Perf]:[Perf]]))=0,"",SUMPRODUCT((TableauDatas[[Test]:[Test]]=$BK$2)*(TableauDatas[[Prénom]:[Prénom]]=V7)*(TableauDatas[[Date]:[Date]]=$BK$1)*(TableauDatas[[Perf]:[Perf]])))</f>
        <v/>
      </c>
      <c r="BL7" s="118" t="str" cm="1">
        <f t="array" ref="BL7">IF(SUMPRODUCT((TableauDatas[[Test]:[Test]]=$BK$2)*(TableauDatas[[Prénom]:[Prénom]]=V7)*(TableauDatas[[Date]:[Date]]=$BL$1)*(TableauDatas[[Perf]:[Perf]]))=0,"",SUMPRODUCT((TableauDatas[[Test]:[Test]]=$BK$2)*(TableauDatas[[Prénom]:[Prénom]]=V7)*(TableauDatas[[Date]:[Date]]=$BL$1)*(TableauDatas[[Perf]:[Perf]])))</f>
        <v/>
      </c>
      <c r="BM7" s="118" t="str" cm="1">
        <f t="array" ref="BM7">IF(SUMPRODUCT((TableauDatas[[Test]:[Test]]=$BM$2)*(TableauDatas[[Prénom]:[Prénom]]=V7)*(TableauDatas[[Date]:[Date]]=$BM$1)*(TableauDatas[[Perf]:[Perf]]))=0,"",SUMPRODUCT((TableauDatas[[Test]:[Test]]=$BM$2)*(TableauDatas[[Prénom]:[Prénom]]=V7)*(TableauDatas[[Date]:[Date]]=$BM$1)*(TableauDatas[[Perf]:[Perf]])))</f>
        <v/>
      </c>
      <c r="BN7" s="118" t="str" cm="1">
        <f t="array" ref="BN7">IF(SUMPRODUCT((TableauDatas[[Test]:[Test]]=$BM$2)*(TableauDatas[[Prénom]:[Prénom]]=V7)*(TableauDatas[[Date]:[Date]]=$BN$1)*(TableauDatas[[Perf]:[Perf]]))=0,"",SUMPRODUCT((TableauDatas[[Test]:[Test]]=$BM$2)*(TableauDatas[[Prénom]:[Prénom]]=V7)*(TableauDatas[[Date]:[Date]]=$BN$1)*(TableauDatas[[Perf]:[Perf]])))</f>
        <v/>
      </c>
      <c r="BO7" s="118" t="str" cm="1">
        <f t="array" ref="BO7">IF(SUMPRODUCT((TableauDatas[[Test]:[Test]]=$BO$2)*(TableauDatas[[Prénom]:[Prénom]]=V7)*(TableauDatas[[Date]:[Date]]=$BO$1)*(TableauDatas[[Perf]:[Perf]]))=0,"",SUMPRODUCT((TableauDatas[[Test]:[Test]]=$BO$2)*(TableauDatas[[Prénom]:[Prénom]]=V7)*(TableauDatas[[Date]:[Date]]=$BO$1)*(TableauDatas[[Perf]:[Perf]])))</f>
        <v/>
      </c>
      <c r="BP7" s="119" t="str" cm="1">
        <f t="array" ref="BP7">IF(SUMPRODUCT((TableauDatas[[Test]:[Test]]=$BO$2)*(TableauDatas[[Prénom]:[Prénom]]=V7)*(TableauDatas[[Date]:[Date]]=$BP$1)*(TableauDatas[[Perf]:[Perf]]))=0,"",SUMPRODUCT((TableauDatas[[Test]:[Test]]=$BO$2)*(TableauDatas[[Prénom]:[Prénom]]=V7)*(TableauDatas[[Date]:[Date]]=$BP$1)*(TableauDatas[[Perf]:[Perf]])))</f>
        <v/>
      </c>
      <c r="BQ7" s="18"/>
      <c r="BR7" s="18"/>
      <c r="BS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DA7" s="97"/>
      <c r="DB7" s="97"/>
      <c r="DC7" s="97"/>
      <c r="DD7" s="97"/>
      <c r="DE7" s="97"/>
      <c r="DF7" s="97"/>
      <c r="DG7" s="97"/>
      <c r="DH7" s="97"/>
      <c r="DI7" s="97"/>
      <c r="DJ7" s="97"/>
      <c r="DK7" s="97"/>
      <c r="DL7" s="97"/>
      <c r="DM7" s="97"/>
      <c r="DN7" s="97"/>
      <c r="DO7" s="97"/>
      <c r="DQ7" s="97"/>
      <c r="DR7" s="97"/>
      <c r="DS7" s="97"/>
      <c r="DT7" s="97"/>
      <c r="DU7" s="97"/>
      <c r="DV7" s="97"/>
      <c r="DW7" s="97"/>
      <c r="DX7" s="97"/>
      <c r="DY7" s="97"/>
      <c r="DZ7" s="97"/>
      <c r="EA7" s="97"/>
      <c r="EB7" s="97"/>
      <c r="EC7" s="97"/>
      <c r="ED7" s="97"/>
      <c r="EE7" s="97"/>
      <c r="EG7" s="97"/>
      <c r="EH7" s="97"/>
      <c r="EI7" s="97"/>
      <c r="EJ7" s="97"/>
      <c r="EK7" s="97"/>
      <c r="EL7" s="97"/>
      <c r="EM7" s="97"/>
      <c r="EN7" s="97"/>
      <c r="EO7" s="97"/>
      <c r="EP7" s="97"/>
      <c r="EQ7" s="97"/>
      <c r="ER7" s="97"/>
      <c r="ES7" s="97"/>
      <c r="ET7" s="97"/>
      <c r="EU7" s="97"/>
      <c r="EW7" s="97"/>
      <c r="EX7" s="97"/>
      <c r="EY7" s="97"/>
      <c r="EZ7" s="97"/>
      <c r="FA7" s="97"/>
      <c r="FB7" s="97"/>
      <c r="FC7" s="97"/>
      <c r="FD7" s="97"/>
      <c r="FE7" s="97"/>
      <c r="FF7" s="97"/>
      <c r="FG7" s="97"/>
      <c r="FH7" s="97"/>
      <c r="FI7" s="97"/>
      <c r="FJ7" s="97"/>
      <c r="FK7" s="97"/>
      <c r="FM7" s="97"/>
      <c r="FN7" s="97"/>
      <c r="FO7" s="97"/>
      <c r="FP7" s="97"/>
      <c r="FQ7" s="97"/>
      <c r="FR7" s="97"/>
      <c r="FS7" s="97"/>
      <c r="FT7" s="97"/>
      <c r="FU7" s="97"/>
      <c r="FV7" s="97"/>
      <c r="FW7" s="97"/>
      <c r="FX7" s="97"/>
      <c r="FY7" s="97"/>
      <c r="FZ7" s="97"/>
      <c r="GA7" s="97"/>
      <c r="GC7" s="97"/>
      <c r="GD7" s="97"/>
      <c r="GE7" s="97"/>
      <c r="GF7" s="97"/>
      <c r="GG7" s="97"/>
      <c r="GH7" s="97"/>
      <c r="GI7" s="97"/>
      <c r="GJ7" s="97"/>
      <c r="GK7" s="97"/>
      <c r="GL7" s="97"/>
      <c r="GM7" s="97"/>
      <c r="GN7" s="97"/>
      <c r="GO7" s="97"/>
      <c r="GP7" s="97"/>
      <c r="GQ7" s="97"/>
      <c r="GS7" s="97"/>
      <c r="GT7" s="97"/>
      <c r="GU7" s="97"/>
      <c r="GV7" s="97"/>
      <c r="GW7" s="97"/>
      <c r="GX7" s="97"/>
      <c r="GY7" s="97"/>
      <c r="GZ7" s="97"/>
      <c r="HA7" s="97"/>
      <c r="HB7" s="97"/>
      <c r="HC7" s="97"/>
      <c r="HD7" s="97"/>
      <c r="HE7" s="97"/>
      <c r="HF7" s="97"/>
      <c r="HG7" s="97"/>
      <c r="HI7" s="97"/>
      <c r="HJ7" s="97"/>
      <c r="HK7" s="97"/>
      <c r="HL7" s="97"/>
      <c r="HM7" s="97"/>
      <c r="HN7" s="97"/>
      <c r="HO7" s="97"/>
      <c r="HP7" s="97"/>
      <c r="HQ7" s="97"/>
      <c r="HR7" s="97"/>
      <c r="HS7" s="97"/>
      <c r="HT7" s="97"/>
      <c r="HU7" s="97"/>
      <c r="HV7" s="97"/>
      <c r="HW7" s="97"/>
      <c r="HY7" s="97"/>
      <c r="HZ7" s="97"/>
      <c r="IA7" s="97"/>
      <c r="IB7" s="97"/>
      <c r="IC7" s="97"/>
      <c r="ID7" s="97"/>
      <c r="IE7" s="97"/>
      <c r="IF7" s="97"/>
      <c r="IG7" s="97"/>
      <c r="IH7" s="97"/>
      <c r="II7" s="97"/>
      <c r="IJ7" s="97"/>
      <c r="IK7" s="97"/>
      <c r="IL7" s="97"/>
      <c r="IM7" s="97"/>
      <c r="IO7" s="97"/>
      <c r="IP7" s="97"/>
      <c r="IQ7" s="97"/>
      <c r="IR7" s="97"/>
      <c r="IS7" s="97"/>
      <c r="IT7" s="97"/>
      <c r="IU7" s="24"/>
      <c r="IV7" s="24"/>
      <c r="IW7" s="24"/>
      <c r="IX7" s="24"/>
      <c r="IY7" s="24"/>
      <c r="IZ7" s="24"/>
      <c r="JA7" s="24"/>
      <c r="JB7" s="24"/>
      <c r="JC7" s="24"/>
    </row>
    <row r="8" spans="1:263" ht="16.5" thickBot="1" x14ac:dyDescent="0.3">
      <c r="A8" s="189"/>
      <c r="B8" s="13" t="s">
        <v>5</v>
      </c>
      <c r="C8" s="20" t="str">
        <f>IFERROR(VLOOKUP(C4,O:S,5,FALSE),"")</f>
        <v/>
      </c>
      <c r="D8" s="1"/>
      <c r="E8" s="52"/>
      <c r="F8" s="64" t="str">
        <f>IFERROR(VLOOKUP(E8,A12:H26,3,FALSE)*100/VLOOKUP(E8,A12:H26,7,FALSE)/100,"")</f>
        <v/>
      </c>
      <c r="G8" s="65" t="str">
        <f>IFERROR(VLOOKUP(E8,A12:H26,8,FALSE)*100/VLOOKUP(E8,A12:H26,7,FALSE)/100,"")</f>
        <v/>
      </c>
      <c r="H8" s="37"/>
      <c r="I8" s="27"/>
      <c r="J8" s="28"/>
      <c r="N8" s="66"/>
      <c r="O8" s="68"/>
      <c r="P8" s="69"/>
      <c r="Q8" s="69"/>
      <c r="R8" s="69"/>
      <c r="S8" s="70"/>
      <c r="T8" s="49"/>
      <c r="U8" s="103"/>
      <c r="V8" s="89">
        <f t="shared" si="0"/>
        <v>0</v>
      </c>
      <c r="W8" s="86" t="str" cm="1">
        <f t="array" ref="W8">IF(SUMPRODUCT((TableauDatas[[Test]:[Test]]=$W$2)*(TableauDatas[[Prénom]:[Prénom]]=V8)*(TableauDatas[[Date]:[Date]]=$W$1)*(TableauDatas[[Perf]:[Perf]]))=0,"",SUMPRODUCT((TableauDatas[[Test]:[Test]]=$W$2)*(TableauDatas[[Prénom]:[Prénom]]=V8)*(TableauDatas[[Date]:[Date]]=$W$1)*(TableauDatas[[Perf]:[Perf]])))</f>
        <v/>
      </c>
      <c r="X8" s="86" t="str" cm="1">
        <f t="array" ref="X8">IF(SUMPRODUCT((TableauDatas[[Test]:[Test]]=$X$2)*(TableauDatas[[Prénom]:[Prénom]]=V8)*(TableauDatas[[Date]:[Date]]=$X$1)*(TableauDatas[[Perf]:[Perf]]))=0,"",SUMPRODUCT((TableauDatas[[Test]:[Test]]=$X$2)*(TableauDatas[[Prénom]:[Prénom]]=V8)*(TableauDatas[[Date]:[Date]]=$X$1)*(TableauDatas[[Perf]:[Perf]])))</f>
        <v/>
      </c>
      <c r="Y8" s="86" t="str" cm="1">
        <f t="array" ref="Y8">IF(SUMPRODUCT((TableauDatas[[Test]:[Test]]=$Y$2)*(TableauDatas[[Prénom]:[Prénom]]=V8)*(TableauDatas[[Date]:[Date]]=$Y$1)*(TableauDatas[[Perf]:[Perf]]))=0,"",SUMPRODUCT((TableauDatas[[Test]:[Test]]=$Y$2)*(TableauDatas[[Prénom]:[Prénom]]=V8)*(TableauDatas[[Date]:[Date]]=$Y$1)*(TableauDatas[[Perf]:[Perf]])))</f>
        <v/>
      </c>
      <c r="Z8" s="86" t="str" cm="1">
        <f t="array" ref="Z8">IF(SUMPRODUCT((TableauDatas[[Test]:[Test]]=$Z$2)*(TableauDatas[[Prénom]:[Prénom]]=V8)*(TableauDatas[[Date]:[Date]]=$Z$1)*(TableauDatas[[Perf]:[Perf]]))=0,"",SUMPRODUCT((TableauDatas[[Test]:[Test]]=$Z$2)*(TableauDatas[[Prénom]:[Prénom]]=V8)*(TableauDatas[[Date]:[Date]]=$Z$1)*(TableauDatas[[Perf]:[Perf]])))</f>
        <v/>
      </c>
      <c r="AA8" s="86" t="str" cm="1">
        <f t="array" ref="AA8">IF(SUMPRODUCT((TableauDatas[[Test]:[Test]]=$AA$2)*(TableauDatas[[Prénom]:[Prénom]]=V8)*(TableauDatas[[Date]:[Date]]=$AA$1)*(TableauDatas[[Perf]:[Perf]]))=0,"",SUMPRODUCT((TableauDatas[[Test]:[Test]]=$AA$2)*(TableauDatas[[Prénom]:[Prénom]]=V8)*(TableauDatas[[Date]:[Date]]=$AA$1)*(TableauDatas[[Perf]:[Perf]])))</f>
        <v/>
      </c>
      <c r="AB8" s="86" t="str" cm="1">
        <f t="array" ref="AB8">IF(SUMPRODUCT((TableauDatas[[Test]:[Test]]=$AB$2)*(TableauDatas[[Prénom]:[Prénom]]=V8)*(TableauDatas[[Date]:[Date]]=$AB$1)*(TableauDatas[[Perf]:[Perf]]))=0,"",SUMPRODUCT((TableauDatas[[Test]:[Test]]=$AB$2)*(TableauDatas[[Prénom]:[Prénom]]=V8)*(TableauDatas[[Date]:[Date]]=$AB$1)*(TableauDatas[[Perf]:[Perf]])))</f>
        <v/>
      </c>
      <c r="AC8" s="86" t="str" cm="1">
        <f t="array" ref="AC8">IF(SUMPRODUCT((TableauDatas[[Test]:[Test]]=$AC$2)*(TableauDatas[[Prénom]:[Prénom]]=V8)*(TableauDatas[[Date]:[Date]]=$AC$1)*(TableauDatas[[Perf]:[Perf]]))=0,"",SUMPRODUCT((TableauDatas[[Test]:[Test]]=$AC$2)*(TableauDatas[[Prénom]:[Prénom]]=V8)*(TableauDatas[[Date]:[Date]]=$AC$1)*(TableauDatas[[Perf]:[Perf]])))</f>
        <v/>
      </c>
      <c r="AD8" s="86" t="str" cm="1">
        <f t="array" ref="AD8">IF(SUMPRODUCT((TableauDatas[[Test]:[Test]]=$AD$2)*(TableauDatas[[Prénom]:[Prénom]]=V8)*(TableauDatas[[Date]:[Date]]=$AD$1)*(TableauDatas[[Perf]:[Perf]]))=0,"",SUMPRODUCT((TableauDatas[[Test]:[Test]]=$AD$2)*(TableauDatas[[Prénom]:[Prénom]]=V8)*(TableauDatas[[Date]:[Date]]=$AD$1)*(TableauDatas[[Perf]:[Perf]])))</f>
        <v/>
      </c>
      <c r="AE8" s="86" t="str" cm="1">
        <f t="array" ref="AE8">IF(SUMPRODUCT((TableauDatas[[Test]:[Test]]=$AE$2)*(TableauDatas[[Prénom]:[Prénom]]=V8)*(TableauDatas[[Date]:[Date]]=$AE$1)*(TableauDatas[[Perf]:[Perf]]))=0,"",SUMPRODUCT((TableauDatas[[Test]:[Test]]=$AE$2)*(TableauDatas[[Prénom]:[Prénom]]=V8)*(TableauDatas[[Date]:[Date]]=$AE$1)*(TableauDatas[[Perf]:[Perf]])))</f>
        <v/>
      </c>
      <c r="AF8" s="86" t="str" cm="1">
        <f t="array" ref="AF8">IF(SUMPRODUCT((TableauDatas[[Test]:[Test]]=$AF$2)*(TableauDatas[[Prénom]:[Prénom]]=V8)*(TableauDatas[[Date]:[Date]]=$AF$1)*(TableauDatas[[Perf]:[Perf]]))=0,"",SUMPRODUCT((TableauDatas[[Test]:[Test]]=$AF$2)*(TableauDatas[[Prénom]:[Prénom]]=V8)*(TableauDatas[[Date]:[Date]]=$AF$1)*(TableauDatas[[Perf]:[Perf]])))</f>
        <v/>
      </c>
      <c r="AG8" s="86" t="str" cm="1">
        <f t="array" ref="AG8">IF(SUMPRODUCT((TableauDatas[[Test]:[Test]]=$AG$2)*(TableauDatas[[Prénom]:[Prénom]]=V8)*(TableauDatas[[Date]:[Date]]=$AG$1)*(TableauDatas[[Perf]:[Perf]]))=0,"",SUMPRODUCT((TableauDatas[[Test]:[Test]]=$AG$2)*(TableauDatas[[Prénom]:[Prénom]]=V8)*(TableauDatas[[Date]:[Date]]=$AG$1)*(TableauDatas[[Perf]:[Perf]])))</f>
        <v/>
      </c>
      <c r="AH8" s="86" t="str" cm="1">
        <f t="array" ref="AH8">IF(SUMPRODUCT((TableauDatas[[Test]:[Test]]=$AH$2)*(TableauDatas[[Prénom]:[Prénom]]=V8)*(TableauDatas[[Date]:[Date]]=$AH$1)*(TableauDatas[[Perf]:[Perf]]))=0,"",SUMPRODUCT((TableauDatas[[Test]:[Test]]=$AH$2)*(TableauDatas[[Prénom]:[Prénom]]=V8)*(TableauDatas[[Date]:[Date]]=$AH$1)*(TableauDatas[[Perf]:[Perf]])))</f>
        <v/>
      </c>
      <c r="AI8" s="86" t="str" cm="1">
        <f t="array" ref="AI8">IF(SUMPRODUCT((TableauDatas[[Test]:[Test]]=$AI$2)*(TableauDatas[[Prénom]:[Prénom]]=V8)*(TableauDatas[[Date]:[Date]]=$AI$1)*(TableauDatas[[Perf]:[Perf]]))=0,"",SUMPRODUCT((TableauDatas[[Test]:[Test]]=$AI$2)*(TableauDatas[[Prénom]:[Prénom]]=V8)*(TableauDatas[[Date]:[Date]]=$AI$1)*(TableauDatas[[Perf]:[Perf]])))</f>
        <v/>
      </c>
      <c r="AJ8" s="86" t="str" cm="1">
        <f t="array" ref="AJ8">IF(SUMPRODUCT((TableauDatas[[Test]:[Test]]=$AJ$2)*(TableauDatas[[Prénom]:[Prénom]]=V8)*(TableauDatas[[Date]:[Date]]=$AJ$1)*(TableauDatas[[Perf]:[Perf]]))=0,"",SUMPRODUCT((TableauDatas[[Test]:[Test]]=$AJ$2)*(TableauDatas[[Prénom]:[Prénom]]=V8)*(TableauDatas[[Date]:[Date]]=$AJ$1)*(TableauDatas[[Perf]:[Perf]])))</f>
        <v/>
      </c>
      <c r="AK8" s="87" t="str" cm="1">
        <f t="array" ref="AK8">IF(SUMPRODUCT((TableauDatas[[Test]:[Test]]=$AK$2)*(TableauDatas[[Prénom]:[Prénom]]=V8)*(TableauDatas[[Date]:[Date]]=$AK$1)*(TableauDatas[[Perf]:[Perf]]))=0,"",SUMPRODUCT((TableauDatas[[Test]:[Test]]=$AK$2)*(TableauDatas[[Prénom]:[Prénom]]=V8)*(TableauDatas[[Date]:[Date]]=$AK$1)*(TableauDatas[[Perf]:[Perf]])))</f>
        <v/>
      </c>
      <c r="AL8" s="18"/>
      <c r="AM8" s="117" t="str" cm="1">
        <f t="array" ref="AM8">IF(SUMPRODUCT((TableauDatas[[Test]:[Test]]=$AM$2)*(TableauDatas[[Prénom]:[Prénom]]=V8)*(TableauDatas[[Date]:[Date]]=$AM$1)*(TableauDatas[[Perf]:[Perf]]))=0,"",SUMPRODUCT((TableauDatas[[Test]:[Test]]=$AM$2)*(TableauDatas[[Prénom]:[Prénom]]=V8)*(TableauDatas[[Date]:[Date]]=$AM$1)*(TableauDatas[[Perf]:[Perf]])))</f>
        <v/>
      </c>
      <c r="AN8" s="120" t="str" cm="1">
        <f t="array" ref="AN8">IF(SUMPRODUCT((TableauDatas[[Test]:[Test]]=$AM$2)*(TableauDatas[[Prénom]:[Prénom]]=V8)*(TableauDatas[[Date]:[Date]]=$AN$1)*(TableauDatas[[Perf]:[Perf]]))=0,"",SUMPRODUCT((TableauDatas[[Test]:[Test]]=$AM$2)*(TableauDatas[[Prénom]:[Prénom]]=V8)*(TableauDatas[[Date]:[Date]]=$AN$1)*(TableauDatas[[Perf]:[Perf]])))</f>
        <v/>
      </c>
      <c r="AO8" s="118" t="str" cm="1">
        <f t="array" ref="AO8">IF(SUMPRODUCT((TableauDatas[[Test]:[Test]]=$AO$2)*(TableauDatas[[Prénom]:[Prénom]]=V8)*(TableauDatas[[Date]:[Date]]=$AO$1)*(TableauDatas[[Perf]:[Perf]]))=0,"",SUMPRODUCT((TableauDatas[[Test]:[Test]]=$AO$2)*(TableauDatas[[Prénom]:[Prénom]]=V8)*(TableauDatas[[Date]:[Date]]=$AO$1)*(TableauDatas[[Perf]:[Perf]])))</f>
        <v/>
      </c>
      <c r="AP8" s="118" t="str" cm="1">
        <f t="array" ref="AP8">IF(SUMPRODUCT((TableauDatas[[Test]:[Test]]=$AO$2)*(TableauDatas[[Prénom]:[Prénom]]=V8)*(TableauDatas[[Date]:[Date]]=$AP$1)*(TableauDatas[[Perf]:[Perf]]))=0,"",SUMPRODUCT((TableauDatas[[Test]:[Test]]=$AO$2)*(TableauDatas[[Prénom]:[Prénom]]=V8)*(TableauDatas[[Date]:[Date]]=$AP$1)*(TableauDatas[[Perf]:[Perf]])))</f>
        <v/>
      </c>
      <c r="AQ8" s="118" t="str" cm="1">
        <f t="array" ref="AQ8">IF(SUMPRODUCT((TableauDatas[[Test]:[Test]]=$AQ$2)*(TableauDatas[[Prénom]:[Prénom]]=V8)*(TableauDatas[[Date]:[Date]]=$AQ$1)*(TableauDatas[[Perf]:[Perf]]))=0,"",SUMPRODUCT((TableauDatas[[Test]:[Test]]=$AQ$2)*(TableauDatas[[Prénom]:[Prénom]]=V8)*(TableauDatas[[Date]:[Date]]=$AQ$1)*(TableauDatas[[Perf]:[Perf]])))</f>
        <v/>
      </c>
      <c r="AR8" s="118" t="str" cm="1">
        <f t="array" ref="AR8">IF(SUMPRODUCT((TableauDatas[[Test]:[Test]]=$AQ$2)*(TableauDatas[[Prénom]:[Prénom]]=V8)*(TableauDatas[[Date]:[Date]]=$AR$1)*(TableauDatas[[Perf]:[Perf]]))=0,"",SUMPRODUCT((TableauDatas[[Test]:[Test]]=$AQ$2)*(TableauDatas[[Prénom]:[Prénom]]=V8)*(TableauDatas[[Date]:[Date]]=$AR$1)*(TableauDatas[[Perf]:[Perf]])))</f>
        <v/>
      </c>
      <c r="AS8" s="118" t="str" cm="1">
        <f t="array" ref="AS8">IF(SUMPRODUCT((TableauDatas[[Test]:[Test]]=$AS$2)*(TableauDatas[[Prénom]:[Prénom]]=V8)*(TableauDatas[[Date]:[Date]]=$AS$1)*(TableauDatas[[Perf]:[Perf]]))=0,"",SUMPRODUCT((TableauDatas[[Test]:[Test]]=$AS$2)*(TableauDatas[[Prénom]:[Prénom]]=V8)*(TableauDatas[[Date]:[Date]]=$AS$1)*(TableauDatas[[Perf]:[Perf]])))</f>
        <v/>
      </c>
      <c r="AT8" s="118" t="str" cm="1">
        <f t="array" ref="AT8">IF(SUMPRODUCT((TableauDatas[[Test]:[Test]]=$AS$2)*(TableauDatas[[Prénom]:[Prénom]]=V8)*(TableauDatas[[Date]:[Date]]=$AT$1)*(TableauDatas[[Perf]:[Perf]]))=0,"",SUMPRODUCT((TableauDatas[[Test]:[Test]]=$AS$2)*(TableauDatas[[Prénom]:[Prénom]]=V8)*(TableauDatas[[Date]:[Date]]=$AT$1)*(TableauDatas[[Perf]:[Perf]])))</f>
        <v/>
      </c>
      <c r="AU8" s="118" t="str" cm="1">
        <f t="array" ref="AU8">IF(SUMPRODUCT((TableauDatas[[Test]:[Test]]=$AU$2)*(TableauDatas[[Prénom]:[Prénom]]=V8)*(TableauDatas[[Date]:[Date]]=$AU$1)*(TableauDatas[[Perf]:[Perf]]))=0,"",SUMPRODUCT((TableauDatas[[Test]:[Test]]=$AU$2)*(TableauDatas[[Prénom]:[Prénom]]=V8)*(TableauDatas[[Date]:[Date]]=$AU$1)*(TableauDatas[[Perf]:[Perf]])))</f>
        <v/>
      </c>
      <c r="AV8" s="118" t="str" cm="1">
        <f t="array" ref="AV8">IF(SUMPRODUCT((TableauDatas[[Test]:[Test]]=$AU$2)*(TableauDatas[[Prénom]:[Prénom]]=V8)*(TableauDatas[[Date]:[Date]]=$AV$1)*(TableauDatas[[Perf]:[Perf]]))=0,"",SUMPRODUCT((TableauDatas[[Test]:[Test]]=$AU$2)*(TableauDatas[[Prénom]:[Prénom]]=V8)*(TableauDatas[[Date]:[Date]]=$AV$1)*(TableauDatas[[Perf]:[Perf]])))</f>
        <v/>
      </c>
      <c r="AW8" s="118" t="str" cm="1">
        <f t="array" ref="AW8">IF(SUMPRODUCT((TableauDatas[[Test]:[Test]]=$AW$2)*(TableauDatas[[Prénom]:[Prénom]]=V8)*(TableauDatas[[Date]:[Date]]=$AW$1)*(TableauDatas[[Perf]:[Perf]]))=0,"",SUMPRODUCT((TableauDatas[[Test]:[Test]]=$AW$2)*(TableauDatas[[Prénom]:[Prénom]]=V8)*(TableauDatas[[Date]:[Date]]=$AW$1)*(TableauDatas[[Perf]:[Perf]])))</f>
        <v/>
      </c>
      <c r="AX8" s="118" t="str" cm="1">
        <f t="array" ref="AX8">IF(SUMPRODUCT((TableauDatas[[Test]:[Test]]=$AW$2)*(TableauDatas[[Prénom]:[Prénom]]=V8)*(TableauDatas[[Date]:[Date]]=$AX$1)*(TableauDatas[[Perf]:[Perf]]))=0,"",SUMPRODUCT((TableauDatas[[Test]:[Test]]=$AW$2)*(TableauDatas[[Prénom]:[Prénom]]=V8)*(TableauDatas[[Date]:[Date]]=$AX$1)*(TableauDatas[[Perf]:[Perf]])))</f>
        <v/>
      </c>
      <c r="AY8" s="118" t="str" cm="1">
        <f t="array" ref="AY8">IF(SUMPRODUCT((TableauDatas[[Test]:[Test]]=$AY$2)*(TableauDatas[[Prénom]:[Prénom]]=V8)*(TableauDatas[[Date]:[Date]]=$AY$1)*(TableauDatas[[Perf]:[Perf]]))=0,"",SUMPRODUCT((TableauDatas[[Test]:[Test]]=$AY$2)*(TableauDatas[[Prénom]:[Prénom]]=V8)*(TableauDatas[[Date]:[Date]]=$AY$1)*(TableauDatas[[Perf]:[Perf]])))</f>
        <v/>
      </c>
      <c r="AZ8" s="118" t="str" cm="1">
        <f t="array" ref="AZ8">IF(SUMPRODUCT((TableauDatas[[Test]:[Test]]=$AY$2)*(TableauDatas[[Prénom]:[Prénom]]=V8)*(TableauDatas[[Date]:[Date]]=$AZ$1)*(TableauDatas[[Perf]:[Perf]]))=0,"",SUMPRODUCT((TableauDatas[[Test]:[Test]]=$AY$2)*(TableauDatas[[Prénom]:[Prénom]]=V8)*(TableauDatas[[Date]:[Date]]=$AZ$1)*(TableauDatas[[Perf]:[Perf]])))</f>
        <v/>
      </c>
      <c r="BA8" s="118" t="str" cm="1">
        <f t="array" ref="BA8">IF(SUMPRODUCT((TableauDatas[[Test]:[Test]]=$BA$2)*(TableauDatas[[Prénom]:[Prénom]]=V8)*(TableauDatas[[Date]:[Date]]=$BA$1)*(TableauDatas[[Perf]:[Perf]]))=0,"",SUMPRODUCT((TableauDatas[[Test]:[Test]]=$BA$2)*(TableauDatas[[Prénom]:[Prénom]]=V8)*(TableauDatas[[Date]:[Date]]=$BA$1)*(TableauDatas[[Perf]:[Perf]])))</f>
        <v/>
      </c>
      <c r="BB8" s="118" t="str" cm="1">
        <f t="array" ref="BB8">IF(SUMPRODUCT((TableauDatas[[Test]:[Test]]=$BA$2)*(TableauDatas[[Prénom]:[Prénom]]=V8)*(TableauDatas[[Date]:[Date]]=$BB$1)*(TableauDatas[[Perf]:[Perf]]))=0,"",SUMPRODUCT((TableauDatas[[Test]:[Test]]=$BA$2)*(TableauDatas[[Prénom]:[Prénom]]=V8)*(TableauDatas[[Date]:[Date]]=$BB$1)*(TableauDatas[[Perf]:[Perf]])))</f>
        <v/>
      </c>
      <c r="BC8" s="118" t="str" cm="1">
        <f t="array" ref="BC8">IF(SUMPRODUCT((TableauDatas[[Test]:[Test]]=$BC$2)*(TableauDatas[[Prénom]:[Prénom]]=V8)*(TableauDatas[[Date]:[Date]]=$BC$1)*(TableauDatas[[Perf]:[Perf]]))=0,"",SUMPRODUCT((TableauDatas[[Test]:[Test]]=$BC$2)*(TableauDatas[[Prénom]:[Prénom]]=V8)*(TableauDatas[[Date]:[Date]]=$BC$1)*(TableauDatas[[Perf]:[Perf]])))</f>
        <v/>
      </c>
      <c r="BD8" s="121" t="str" cm="1">
        <f t="array" ref="BD8">IF(SUMPRODUCT((TableauDatas[[Test]:[Test]]=$BC$2)*(TableauDatas[[Prénom]:[Prénom]]=V8)*(TableauDatas[[Date]:[Date]]=$BD$1)*(TableauDatas[[Perf]:[Perf]]))=0,"",SUMPRODUCT((TableauDatas[[Test]:[Test]]=$BC$2)*(TableauDatas[[Prénom]:[Prénom]]=V8)*(TableauDatas[[Date]:[Date]]=$BD$1)*(TableauDatas[[Perf]:[Perf]])))</f>
        <v/>
      </c>
      <c r="BE8" s="118" t="str" cm="1">
        <f t="array" ref="BE8">IF(SUMPRODUCT((TableauDatas[[Test]:[Test]]=$BE$2)*(TableauDatas[[Prénom]:[Prénom]]=V8)*(TableauDatas[[Date]:[Date]]=$BE$1)*(TableauDatas[[Perf]:[Perf]]))=0,"",SUMPRODUCT((TableauDatas[[Test]:[Test]]=$BE$2)*(TableauDatas[[Prénom]:[Prénom]]=V8)*(TableauDatas[[Date]:[Date]]=$BE$1)*(TableauDatas[[Perf]:[Perf]])))</f>
        <v/>
      </c>
      <c r="BF8" s="118" t="str" cm="1">
        <f t="array" ref="BF8">IF(SUMPRODUCT((TableauDatas[[Test]:[Test]]=$BE$2)*(TableauDatas[[Prénom]:[Prénom]]=V8)*(TableauDatas[[Date]:[Date]]=$BF$1)*(TableauDatas[[Perf]:[Perf]]))=0,"",SUMPRODUCT((TableauDatas[[Test]:[Test]]=$BE$2)*(TableauDatas[[Prénom]:[Prénom]]=V8)*(TableauDatas[[Date]:[Date]]=$BF$1)*(TableauDatas[[Perf]:[Perf]])))</f>
        <v/>
      </c>
      <c r="BG8" s="118" t="str" cm="1">
        <f t="array" ref="BG8">IF(SUMPRODUCT((TableauDatas[[Test]:[Test]]=$BG$2)*(TableauDatas[[Prénom]:[Prénom]]=V8)*(TableauDatas[[Date]:[Date]]=$BG$1)*(TableauDatas[[Perf]:[Perf]]))=0,"",SUMPRODUCT((TableauDatas[[Test]:[Test]]=$BG$2)*(TableauDatas[[Prénom]:[Prénom]]=V8)*(TableauDatas[[Date]:[Date]]=$BG$1)*(TableauDatas[[Perf]:[Perf]])))</f>
        <v/>
      </c>
      <c r="BH8" s="118" t="str" cm="1">
        <f t="array" ref="BH8">IF(SUMPRODUCT((TableauDatas[[Test]:[Test]]=$BG$2)*(TableauDatas[[Prénom]:[Prénom]]=V8)*(TableauDatas[[Date]:[Date]]=$BH$1)*(TableauDatas[[Perf]:[Perf]]))=0,"",SUMPRODUCT((TableauDatas[[Test]:[Test]]=$BG$2)*(TableauDatas[[Prénom]:[Prénom]]=V8)*(TableauDatas[[Date]:[Date]]=$BH$1)*(TableauDatas[[Perf]:[Perf]])))</f>
        <v/>
      </c>
      <c r="BI8" s="118" t="str" cm="1">
        <f t="array" ref="BI8">IF(SUMPRODUCT((TableauDatas[[Test]:[Test]]=$BI$2)*(TableauDatas[[Prénom]:[Prénom]]=V8)*(TableauDatas[[Date]:[Date]]=$BI$1)*(TableauDatas[[Perf]:[Perf]]))=0,"",SUMPRODUCT((TableauDatas[[Test]:[Test]]=$BI$2)*(TableauDatas[[Prénom]:[Prénom]]=V8)*(TableauDatas[[Date]:[Date]]=$BI$1)*(TableauDatas[[Perf]:[Perf]])))</f>
        <v/>
      </c>
      <c r="BJ8" s="118" t="str" cm="1">
        <f t="array" ref="BJ8">IF(SUMPRODUCT((TableauDatas[[Test]:[Test]]=$BI$2)*(TableauDatas[[Prénom]:[Prénom]]=V8)*(TableauDatas[[Date]:[Date]]=$BJ$1)*(TableauDatas[[Perf]:[Perf]]))=0,"",SUMPRODUCT((TableauDatas[[Test]:[Test]]=$BI$2)*(TableauDatas[[Prénom]:[Prénom]]=V8)*(TableauDatas[[Date]:[Date]]=$BJ$1)*(TableauDatas[[Perf]:[Perf]])))</f>
        <v/>
      </c>
      <c r="BK8" s="118" t="str" cm="1">
        <f t="array" ref="BK8">IF(SUMPRODUCT((TableauDatas[[Test]:[Test]]=$BK$2)*(TableauDatas[[Prénom]:[Prénom]]=V8)*(TableauDatas[[Date]:[Date]]=$BK$1)*(TableauDatas[[Perf]:[Perf]]))=0,"",SUMPRODUCT((TableauDatas[[Test]:[Test]]=$BK$2)*(TableauDatas[[Prénom]:[Prénom]]=V8)*(TableauDatas[[Date]:[Date]]=$BK$1)*(TableauDatas[[Perf]:[Perf]])))</f>
        <v/>
      </c>
      <c r="BL8" s="118" t="str" cm="1">
        <f t="array" ref="BL8">IF(SUMPRODUCT((TableauDatas[[Test]:[Test]]=$BK$2)*(TableauDatas[[Prénom]:[Prénom]]=V8)*(TableauDatas[[Date]:[Date]]=$BL$1)*(TableauDatas[[Perf]:[Perf]]))=0,"",SUMPRODUCT((TableauDatas[[Test]:[Test]]=$BK$2)*(TableauDatas[[Prénom]:[Prénom]]=V8)*(TableauDatas[[Date]:[Date]]=$BL$1)*(TableauDatas[[Perf]:[Perf]])))</f>
        <v/>
      </c>
      <c r="BM8" s="118" t="str" cm="1">
        <f t="array" ref="BM8">IF(SUMPRODUCT((TableauDatas[[Test]:[Test]]=$BM$2)*(TableauDatas[[Prénom]:[Prénom]]=V8)*(TableauDatas[[Date]:[Date]]=$BM$1)*(TableauDatas[[Perf]:[Perf]]))=0,"",SUMPRODUCT((TableauDatas[[Test]:[Test]]=$BM$2)*(TableauDatas[[Prénom]:[Prénom]]=V8)*(TableauDatas[[Date]:[Date]]=$BM$1)*(TableauDatas[[Perf]:[Perf]])))</f>
        <v/>
      </c>
      <c r="BN8" s="118" t="str" cm="1">
        <f t="array" ref="BN8">IF(SUMPRODUCT((TableauDatas[[Test]:[Test]]=$BM$2)*(TableauDatas[[Prénom]:[Prénom]]=V8)*(TableauDatas[[Date]:[Date]]=$BN$1)*(TableauDatas[[Perf]:[Perf]]))=0,"",SUMPRODUCT((TableauDatas[[Test]:[Test]]=$BM$2)*(TableauDatas[[Prénom]:[Prénom]]=V8)*(TableauDatas[[Date]:[Date]]=$BN$1)*(TableauDatas[[Perf]:[Perf]])))</f>
        <v/>
      </c>
      <c r="BO8" s="118" t="str" cm="1">
        <f t="array" ref="BO8">IF(SUMPRODUCT((TableauDatas[[Test]:[Test]]=$BO$2)*(TableauDatas[[Prénom]:[Prénom]]=V8)*(TableauDatas[[Date]:[Date]]=$BO$1)*(TableauDatas[[Perf]:[Perf]]))=0,"",SUMPRODUCT((TableauDatas[[Test]:[Test]]=$BO$2)*(TableauDatas[[Prénom]:[Prénom]]=V8)*(TableauDatas[[Date]:[Date]]=$BO$1)*(TableauDatas[[Perf]:[Perf]])))</f>
        <v/>
      </c>
      <c r="BP8" s="119" t="str" cm="1">
        <f t="array" ref="BP8">IF(SUMPRODUCT((TableauDatas[[Test]:[Test]]=$BO$2)*(TableauDatas[[Prénom]:[Prénom]]=V8)*(TableauDatas[[Date]:[Date]]=$BP$1)*(TableauDatas[[Perf]:[Perf]]))=0,"",SUMPRODUCT((TableauDatas[[Test]:[Test]]=$BO$2)*(TableauDatas[[Prénom]:[Prénom]]=V8)*(TableauDatas[[Date]:[Date]]=$BP$1)*(TableauDatas[[Perf]:[Perf]])))</f>
        <v/>
      </c>
      <c r="BQ8" s="18"/>
      <c r="BR8" s="18"/>
      <c r="BS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DA8" s="97"/>
      <c r="DB8" s="97"/>
      <c r="DC8" s="97"/>
      <c r="DD8" s="97"/>
      <c r="DE8" s="97"/>
      <c r="DF8" s="97"/>
      <c r="DG8" s="97"/>
      <c r="DH8" s="97"/>
      <c r="DI8" s="97"/>
      <c r="DJ8" s="97"/>
      <c r="DK8" s="97"/>
      <c r="DL8" s="97"/>
      <c r="DM8" s="97"/>
      <c r="DN8" s="97"/>
      <c r="DO8" s="97"/>
      <c r="DQ8" s="97"/>
      <c r="DR8" s="97"/>
      <c r="DS8" s="97"/>
      <c r="DT8" s="97"/>
      <c r="DU8" s="97"/>
      <c r="DV8" s="97"/>
      <c r="DW8" s="97"/>
      <c r="DX8" s="97"/>
      <c r="DY8" s="97"/>
      <c r="DZ8" s="97"/>
      <c r="EA8" s="97"/>
      <c r="EB8" s="97"/>
      <c r="EC8" s="97"/>
      <c r="ED8" s="97"/>
      <c r="EE8" s="97"/>
      <c r="EG8" s="97"/>
      <c r="EH8" s="97"/>
      <c r="EI8" s="97"/>
      <c r="EJ8" s="97"/>
      <c r="EK8" s="97"/>
      <c r="EL8" s="97"/>
      <c r="EM8" s="97"/>
      <c r="EN8" s="97"/>
      <c r="EO8" s="97"/>
      <c r="EP8" s="97"/>
      <c r="EQ8" s="97"/>
      <c r="ER8" s="97"/>
      <c r="ES8" s="97"/>
      <c r="ET8" s="97"/>
      <c r="EU8" s="97"/>
      <c r="EW8" s="97"/>
      <c r="EX8" s="97"/>
      <c r="EY8" s="97"/>
      <c r="EZ8" s="97"/>
      <c r="FA8" s="97"/>
      <c r="FB8" s="97"/>
      <c r="FC8" s="97"/>
      <c r="FD8" s="97"/>
      <c r="FE8" s="97"/>
      <c r="FF8" s="97"/>
      <c r="FG8" s="97"/>
      <c r="FH8" s="97"/>
      <c r="FI8" s="97"/>
      <c r="FJ8" s="97"/>
      <c r="FK8" s="97"/>
      <c r="FM8" s="97"/>
      <c r="FN8" s="97"/>
      <c r="FO8" s="97"/>
      <c r="FP8" s="97"/>
      <c r="FQ8" s="97"/>
      <c r="FR8" s="97"/>
      <c r="FS8" s="97"/>
      <c r="FT8" s="97"/>
      <c r="FU8" s="97"/>
      <c r="FV8" s="97"/>
      <c r="FW8" s="97"/>
      <c r="FX8" s="97"/>
      <c r="FY8" s="97"/>
      <c r="FZ8" s="97"/>
      <c r="GA8" s="97"/>
      <c r="GC8" s="97"/>
      <c r="GD8" s="97"/>
      <c r="GE8" s="97"/>
      <c r="GF8" s="97"/>
      <c r="GG8" s="97"/>
      <c r="GH8" s="97"/>
      <c r="GI8" s="97"/>
      <c r="GJ8" s="97"/>
      <c r="GK8" s="97"/>
      <c r="GL8" s="97"/>
      <c r="GM8" s="97"/>
      <c r="GN8" s="97"/>
      <c r="GO8" s="97"/>
      <c r="GP8" s="97"/>
      <c r="GQ8" s="97"/>
      <c r="GS8" s="97"/>
      <c r="GT8" s="97"/>
      <c r="GU8" s="97"/>
      <c r="GV8" s="97"/>
      <c r="GW8" s="97"/>
      <c r="GX8" s="97"/>
      <c r="GY8" s="97"/>
      <c r="GZ8" s="97"/>
      <c r="HA8" s="97"/>
      <c r="HB8" s="97"/>
      <c r="HC8" s="97"/>
      <c r="HD8" s="97"/>
      <c r="HE8" s="97"/>
      <c r="HF8" s="97"/>
      <c r="HG8" s="97"/>
      <c r="HI8" s="97"/>
      <c r="HJ8" s="97"/>
      <c r="HK8" s="97"/>
      <c r="HL8" s="97"/>
      <c r="HM8" s="97"/>
      <c r="HN8" s="97"/>
      <c r="HO8" s="97"/>
      <c r="HP8" s="97"/>
      <c r="HQ8" s="97"/>
      <c r="HR8" s="97"/>
      <c r="HS8" s="97"/>
      <c r="HT8" s="97"/>
      <c r="HU8" s="97"/>
      <c r="HV8" s="97"/>
      <c r="HW8" s="97"/>
      <c r="HY8" s="97"/>
      <c r="HZ8" s="97"/>
      <c r="IA8" s="97"/>
      <c r="IB8" s="97"/>
      <c r="IC8" s="97"/>
      <c r="ID8" s="97"/>
      <c r="IE8" s="97"/>
      <c r="IF8" s="97"/>
      <c r="IG8" s="97"/>
      <c r="IH8" s="97"/>
      <c r="II8" s="97"/>
      <c r="IJ8" s="97"/>
      <c r="IK8" s="97"/>
      <c r="IL8" s="97"/>
      <c r="IM8" s="97"/>
      <c r="IO8" s="97"/>
      <c r="IP8" s="97"/>
      <c r="IQ8" s="97"/>
      <c r="IR8" s="97"/>
      <c r="IS8" s="97"/>
      <c r="IT8" s="97"/>
      <c r="IU8" s="24"/>
      <c r="IV8" s="24"/>
      <c r="IW8" s="24"/>
      <c r="IX8" s="24"/>
      <c r="IY8" s="24"/>
      <c r="IZ8" s="24"/>
      <c r="JA8" s="24"/>
      <c r="JB8" s="24"/>
      <c r="JC8" s="24"/>
    </row>
    <row r="9" spans="1:263" ht="17.25" thickTop="1" thickBot="1" x14ac:dyDescent="0.3">
      <c r="A9" s="1"/>
      <c r="B9" s="1"/>
      <c r="C9" s="1"/>
      <c r="D9" s="1"/>
      <c r="E9" s="1"/>
      <c r="F9" s="1"/>
      <c r="G9" s="1"/>
      <c r="I9" s="27"/>
      <c r="J9" s="28"/>
      <c r="N9" s="108"/>
      <c r="O9" s="105"/>
      <c r="P9" s="106"/>
      <c r="Q9" s="106"/>
      <c r="R9" s="106"/>
      <c r="S9" s="107"/>
      <c r="T9" s="109"/>
      <c r="U9" s="103"/>
      <c r="V9" s="89">
        <f t="shared" si="0"/>
        <v>0</v>
      </c>
      <c r="W9" s="86" t="str" cm="1">
        <f t="array" ref="W9">IF(SUMPRODUCT((TableauDatas[[Test]:[Test]]=$W$2)*(TableauDatas[[Prénom]:[Prénom]]=V9)*(TableauDatas[[Date]:[Date]]=$W$1)*(TableauDatas[[Perf]:[Perf]]))=0,"",SUMPRODUCT((TableauDatas[[Test]:[Test]]=$W$2)*(TableauDatas[[Prénom]:[Prénom]]=V9)*(TableauDatas[[Date]:[Date]]=$W$1)*(TableauDatas[[Perf]:[Perf]])))</f>
        <v/>
      </c>
      <c r="X9" s="86" t="str" cm="1">
        <f t="array" ref="X9">IF(SUMPRODUCT((TableauDatas[[Test]:[Test]]=$X$2)*(TableauDatas[[Prénom]:[Prénom]]=V9)*(TableauDatas[[Date]:[Date]]=$X$1)*(TableauDatas[[Perf]:[Perf]]))=0,"",SUMPRODUCT((TableauDatas[[Test]:[Test]]=$X$2)*(TableauDatas[[Prénom]:[Prénom]]=V9)*(TableauDatas[[Date]:[Date]]=$X$1)*(TableauDatas[[Perf]:[Perf]])))</f>
        <v/>
      </c>
      <c r="Y9" s="86" t="str" cm="1">
        <f t="array" ref="Y9">IF(SUMPRODUCT((TableauDatas[[Test]:[Test]]=$Y$2)*(TableauDatas[[Prénom]:[Prénom]]=V9)*(TableauDatas[[Date]:[Date]]=$Y$1)*(TableauDatas[[Perf]:[Perf]]))=0,"",SUMPRODUCT((TableauDatas[[Test]:[Test]]=$Y$2)*(TableauDatas[[Prénom]:[Prénom]]=V9)*(TableauDatas[[Date]:[Date]]=$Y$1)*(TableauDatas[[Perf]:[Perf]])))</f>
        <v/>
      </c>
      <c r="Z9" s="86" t="str" cm="1">
        <f t="array" ref="Z9">IF(SUMPRODUCT((TableauDatas[[Test]:[Test]]=$Z$2)*(TableauDatas[[Prénom]:[Prénom]]=V9)*(TableauDatas[[Date]:[Date]]=$Z$1)*(TableauDatas[[Perf]:[Perf]]))=0,"",SUMPRODUCT((TableauDatas[[Test]:[Test]]=$Z$2)*(TableauDatas[[Prénom]:[Prénom]]=V9)*(TableauDatas[[Date]:[Date]]=$Z$1)*(TableauDatas[[Perf]:[Perf]])))</f>
        <v/>
      </c>
      <c r="AA9" s="86" t="str" cm="1">
        <f t="array" ref="AA9">IF(SUMPRODUCT((TableauDatas[[Test]:[Test]]=$AA$2)*(TableauDatas[[Prénom]:[Prénom]]=V9)*(TableauDatas[[Date]:[Date]]=$AA$1)*(TableauDatas[[Perf]:[Perf]]))=0,"",SUMPRODUCT((TableauDatas[[Test]:[Test]]=$AA$2)*(TableauDatas[[Prénom]:[Prénom]]=V9)*(TableauDatas[[Date]:[Date]]=$AA$1)*(TableauDatas[[Perf]:[Perf]])))</f>
        <v/>
      </c>
      <c r="AB9" s="86" t="str" cm="1">
        <f t="array" ref="AB9">IF(SUMPRODUCT((TableauDatas[[Test]:[Test]]=$AB$2)*(TableauDatas[[Prénom]:[Prénom]]=V9)*(TableauDatas[[Date]:[Date]]=$AB$1)*(TableauDatas[[Perf]:[Perf]]))=0,"",SUMPRODUCT((TableauDatas[[Test]:[Test]]=$AB$2)*(TableauDatas[[Prénom]:[Prénom]]=V9)*(TableauDatas[[Date]:[Date]]=$AB$1)*(TableauDatas[[Perf]:[Perf]])))</f>
        <v/>
      </c>
      <c r="AC9" s="86" t="str" cm="1">
        <f t="array" ref="AC9">IF(SUMPRODUCT((TableauDatas[[Test]:[Test]]=$AC$2)*(TableauDatas[[Prénom]:[Prénom]]=V9)*(TableauDatas[[Date]:[Date]]=$AC$1)*(TableauDatas[[Perf]:[Perf]]))=0,"",SUMPRODUCT((TableauDatas[[Test]:[Test]]=$AC$2)*(TableauDatas[[Prénom]:[Prénom]]=V9)*(TableauDatas[[Date]:[Date]]=$AC$1)*(TableauDatas[[Perf]:[Perf]])))</f>
        <v/>
      </c>
      <c r="AD9" s="86" t="str" cm="1">
        <f t="array" ref="AD9">IF(SUMPRODUCT((TableauDatas[[Test]:[Test]]=$AD$2)*(TableauDatas[[Prénom]:[Prénom]]=V9)*(TableauDatas[[Date]:[Date]]=$AD$1)*(TableauDatas[[Perf]:[Perf]]))=0,"",SUMPRODUCT((TableauDatas[[Test]:[Test]]=$AD$2)*(TableauDatas[[Prénom]:[Prénom]]=V9)*(TableauDatas[[Date]:[Date]]=$AD$1)*(TableauDatas[[Perf]:[Perf]])))</f>
        <v/>
      </c>
      <c r="AE9" s="86" t="str" cm="1">
        <f t="array" ref="AE9">IF(SUMPRODUCT((TableauDatas[[Test]:[Test]]=$AE$2)*(TableauDatas[[Prénom]:[Prénom]]=V9)*(TableauDatas[[Date]:[Date]]=$AE$1)*(TableauDatas[[Perf]:[Perf]]))=0,"",SUMPRODUCT((TableauDatas[[Test]:[Test]]=$AE$2)*(TableauDatas[[Prénom]:[Prénom]]=V9)*(TableauDatas[[Date]:[Date]]=$AE$1)*(TableauDatas[[Perf]:[Perf]])))</f>
        <v/>
      </c>
      <c r="AF9" s="86" t="str" cm="1">
        <f t="array" ref="AF9">IF(SUMPRODUCT((TableauDatas[[Test]:[Test]]=$AF$2)*(TableauDatas[[Prénom]:[Prénom]]=V9)*(TableauDatas[[Date]:[Date]]=$AF$1)*(TableauDatas[[Perf]:[Perf]]))=0,"",SUMPRODUCT((TableauDatas[[Test]:[Test]]=$AF$2)*(TableauDatas[[Prénom]:[Prénom]]=V9)*(TableauDatas[[Date]:[Date]]=$AF$1)*(TableauDatas[[Perf]:[Perf]])))</f>
        <v/>
      </c>
      <c r="AG9" s="86" t="str" cm="1">
        <f t="array" ref="AG9">IF(SUMPRODUCT((TableauDatas[[Test]:[Test]]=$AG$2)*(TableauDatas[[Prénom]:[Prénom]]=V9)*(TableauDatas[[Date]:[Date]]=$AG$1)*(TableauDatas[[Perf]:[Perf]]))=0,"",SUMPRODUCT((TableauDatas[[Test]:[Test]]=$AG$2)*(TableauDatas[[Prénom]:[Prénom]]=V9)*(TableauDatas[[Date]:[Date]]=$AG$1)*(TableauDatas[[Perf]:[Perf]])))</f>
        <v/>
      </c>
      <c r="AH9" s="86" t="str" cm="1">
        <f t="array" ref="AH9">IF(SUMPRODUCT((TableauDatas[[Test]:[Test]]=$AH$2)*(TableauDatas[[Prénom]:[Prénom]]=V9)*(TableauDatas[[Date]:[Date]]=$AH$1)*(TableauDatas[[Perf]:[Perf]]))=0,"",SUMPRODUCT((TableauDatas[[Test]:[Test]]=$AH$2)*(TableauDatas[[Prénom]:[Prénom]]=V9)*(TableauDatas[[Date]:[Date]]=$AH$1)*(TableauDatas[[Perf]:[Perf]])))</f>
        <v/>
      </c>
      <c r="AI9" s="86" t="str" cm="1">
        <f t="array" ref="AI9">IF(SUMPRODUCT((TableauDatas[[Test]:[Test]]=$AI$2)*(TableauDatas[[Prénom]:[Prénom]]=V9)*(TableauDatas[[Date]:[Date]]=$AI$1)*(TableauDatas[[Perf]:[Perf]]))=0,"",SUMPRODUCT((TableauDatas[[Test]:[Test]]=$AI$2)*(TableauDatas[[Prénom]:[Prénom]]=V9)*(TableauDatas[[Date]:[Date]]=$AI$1)*(TableauDatas[[Perf]:[Perf]])))</f>
        <v/>
      </c>
      <c r="AJ9" s="86" t="str" cm="1">
        <f t="array" ref="AJ9">IF(SUMPRODUCT((TableauDatas[[Test]:[Test]]=$AJ$2)*(TableauDatas[[Prénom]:[Prénom]]=V9)*(TableauDatas[[Date]:[Date]]=$AJ$1)*(TableauDatas[[Perf]:[Perf]]))=0,"",SUMPRODUCT((TableauDatas[[Test]:[Test]]=$AJ$2)*(TableauDatas[[Prénom]:[Prénom]]=V9)*(TableauDatas[[Date]:[Date]]=$AJ$1)*(TableauDatas[[Perf]:[Perf]])))</f>
        <v/>
      </c>
      <c r="AK9" s="87" t="str" cm="1">
        <f t="array" ref="AK9">IF(SUMPRODUCT((TableauDatas[[Test]:[Test]]=$AK$2)*(TableauDatas[[Prénom]:[Prénom]]=V9)*(TableauDatas[[Date]:[Date]]=$AK$1)*(TableauDatas[[Perf]:[Perf]]))=0,"",SUMPRODUCT((TableauDatas[[Test]:[Test]]=$AK$2)*(TableauDatas[[Prénom]:[Prénom]]=V9)*(TableauDatas[[Date]:[Date]]=$AK$1)*(TableauDatas[[Perf]:[Perf]])))</f>
        <v/>
      </c>
      <c r="AL9" s="18"/>
      <c r="AM9" s="117" t="str" cm="1">
        <f t="array" ref="AM9">IF(SUMPRODUCT((TableauDatas[[Test]:[Test]]=$AM$2)*(TableauDatas[[Prénom]:[Prénom]]=V9)*(TableauDatas[[Date]:[Date]]=$AM$1)*(TableauDatas[[Perf]:[Perf]]))=0,"",SUMPRODUCT((TableauDatas[[Test]:[Test]]=$AM$2)*(TableauDatas[[Prénom]:[Prénom]]=V9)*(TableauDatas[[Date]:[Date]]=$AM$1)*(TableauDatas[[Perf]:[Perf]])))</f>
        <v/>
      </c>
      <c r="AN9" s="120" t="str" cm="1">
        <f t="array" ref="AN9">IF(SUMPRODUCT((TableauDatas[[Test]:[Test]]=$AM$2)*(TableauDatas[[Prénom]:[Prénom]]=V9)*(TableauDatas[[Date]:[Date]]=$AN$1)*(TableauDatas[[Perf]:[Perf]]))=0,"",SUMPRODUCT((TableauDatas[[Test]:[Test]]=$AM$2)*(TableauDatas[[Prénom]:[Prénom]]=V9)*(TableauDatas[[Date]:[Date]]=$AN$1)*(TableauDatas[[Perf]:[Perf]])))</f>
        <v/>
      </c>
      <c r="AO9" s="118" t="str" cm="1">
        <f t="array" ref="AO9">IF(SUMPRODUCT((TableauDatas[[Test]:[Test]]=$AO$2)*(TableauDatas[[Prénom]:[Prénom]]=V9)*(TableauDatas[[Date]:[Date]]=$AO$1)*(TableauDatas[[Perf]:[Perf]]))=0,"",SUMPRODUCT((TableauDatas[[Test]:[Test]]=$AO$2)*(TableauDatas[[Prénom]:[Prénom]]=V9)*(TableauDatas[[Date]:[Date]]=$AO$1)*(TableauDatas[[Perf]:[Perf]])))</f>
        <v/>
      </c>
      <c r="AP9" s="118" t="str" cm="1">
        <f t="array" ref="AP9">IF(SUMPRODUCT((TableauDatas[[Test]:[Test]]=$AO$2)*(TableauDatas[[Prénom]:[Prénom]]=V9)*(TableauDatas[[Date]:[Date]]=$AP$1)*(TableauDatas[[Perf]:[Perf]]))=0,"",SUMPRODUCT((TableauDatas[[Test]:[Test]]=$AO$2)*(TableauDatas[[Prénom]:[Prénom]]=V9)*(TableauDatas[[Date]:[Date]]=$AP$1)*(TableauDatas[[Perf]:[Perf]])))</f>
        <v/>
      </c>
      <c r="AQ9" s="118" t="str" cm="1">
        <f t="array" ref="AQ9">IF(SUMPRODUCT((TableauDatas[[Test]:[Test]]=$AQ$2)*(TableauDatas[[Prénom]:[Prénom]]=V9)*(TableauDatas[[Date]:[Date]]=$AQ$1)*(TableauDatas[[Perf]:[Perf]]))=0,"",SUMPRODUCT((TableauDatas[[Test]:[Test]]=$AQ$2)*(TableauDatas[[Prénom]:[Prénom]]=V9)*(TableauDatas[[Date]:[Date]]=$AQ$1)*(TableauDatas[[Perf]:[Perf]])))</f>
        <v/>
      </c>
      <c r="AR9" s="118" t="str" cm="1">
        <f t="array" ref="AR9">IF(SUMPRODUCT((TableauDatas[[Test]:[Test]]=$AQ$2)*(TableauDatas[[Prénom]:[Prénom]]=V9)*(TableauDatas[[Date]:[Date]]=$AR$1)*(TableauDatas[[Perf]:[Perf]]))=0,"",SUMPRODUCT((TableauDatas[[Test]:[Test]]=$AQ$2)*(TableauDatas[[Prénom]:[Prénom]]=V9)*(TableauDatas[[Date]:[Date]]=$AR$1)*(TableauDatas[[Perf]:[Perf]])))</f>
        <v/>
      </c>
      <c r="AS9" s="118" t="str" cm="1">
        <f t="array" ref="AS9">IF(SUMPRODUCT((TableauDatas[[Test]:[Test]]=$AS$2)*(TableauDatas[[Prénom]:[Prénom]]=V9)*(TableauDatas[[Date]:[Date]]=$AS$1)*(TableauDatas[[Perf]:[Perf]]))=0,"",SUMPRODUCT((TableauDatas[[Test]:[Test]]=$AS$2)*(TableauDatas[[Prénom]:[Prénom]]=V9)*(TableauDatas[[Date]:[Date]]=$AS$1)*(TableauDatas[[Perf]:[Perf]])))</f>
        <v/>
      </c>
      <c r="AT9" s="118" t="str" cm="1">
        <f t="array" ref="AT9">IF(SUMPRODUCT((TableauDatas[[Test]:[Test]]=$AS$2)*(TableauDatas[[Prénom]:[Prénom]]=V9)*(TableauDatas[[Date]:[Date]]=$AT$1)*(TableauDatas[[Perf]:[Perf]]))=0,"",SUMPRODUCT((TableauDatas[[Test]:[Test]]=$AS$2)*(TableauDatas[[Prénom]:[Prénom]]=V9)*(TableauDatas[[Date]:[Date]]=$AT$1)*(TableauDatas[[Perf]:[Perf]])))</f>
        <v/>
      </c>
      <c r="AU9" s="118" t="str" cm="1">
        <f t="array" ref="AU9">IF(SUMPRODUCT((TableauDatas[[Test]:[Test]]=$AU$2)*(TableauDatas[[Prénom]:[Prénom]]=V9)*(TableauDatas[[Date]:[Date]]=$AU$1)*(TableauDatas[[Perf]:[Perf]]))=0,"",SUMPRODUCT((TableauDatas[[Test]:[Test]]=$AU$2)*(TableauDatas[[Prénom]:[Prénom]]=V9)*(TableauDatas[[Date]:[Date]]=$AU$1)*(TableauDatas[[Perf]:[Perf]])))</f>
        <v/>
      </c>
      <c r="AV9" s="118" t="str" cm="1">
        <f t="array" ref="AV9">IF(SUMPRODUCT((TableauDatas[[Test]:[Test]]=$AU$2)*(TableauDatas[[Prénom]:[Prénom]]=V9)*(TableauDatas[[Date]:[Date]]=$AV$1)*(TableauDatas[[Perf]:[Perf]]))=0,"",SUMPRODUCT((TableauDatas[[Test]:[Test]]=$AU$2)*(TableauDatas[[Prénom]:[Prénom]]=V9)*(TableauDatas[[Date]:[Date]]=$AV$1)*(TableauDatas[[Perf]:[Perf]])))</f>
        <v/>
      </c>
      <c r="AW9" s="118" t="str" cm="1">
        <f t="array" ref="AW9">IF(SUMPRODUCT((TableauDatas[[Test]:[Test]]=$AW$2)*(TableauDatas[[Prénom]:[Prénom]]=V9)*(TableauDatas[[Date]:[Date]]=$AW$1)*(TableauDatas[[Perf]:[Perf]]))=0,"",SUMPRODUCT((TableauDatas[[Test]:[Test]]=$AW$2)*(TableauDatas[[Prénom]:[Prénom]]=V9)*(TableauDatas[[Date]:[Date]]=$AW$1)*(TableauDatas[[Perf]:[Perf]])))</f>
        <v/>
      </c>
      <c r="AX9" s="118" t="str" cm="1">
        <f t="array" ref="AX9">IF(SUMPRODUCT((TableauDatas[[Test]:[Test]]=$AW$2)*(TableauDatas[[Prénom]:[Prénom]]=V9)*(TableauDatas[[Date]:[Date]]=$AX$1)*(TableauDatas[[Perf]:[Perf]]))=0,"",SUMPRODUCT((TableauDatas[[Test]:[Test]]=$AW$2)*(TableauDatas[[Prénom]:[Prénom]]=V9)*(TableauDatas[[Date]:[Date]]=$AX$1)*(TableauDatas[[Perf]:[Perf]])))</f>
        <v/>
      </c>
      <c r="AY9" s="118" t="str" cm="1">
        <f t="array" ref="AY9">IF(SUMPRODUCT((TableauDatas[[Test]:[Test]]=$AY$2)*(TableauDatas[[Prénom]:[Prénom]]=V9)*(TableauDatas[[Date]:[Date]]=$AY$1)*(TableauDatas[[Perf]:[Perf]]))=0,"",SUMPRODUCT((TableauDatas[[Test]:[Test]]=$AY$2)*(TableauDatas[[Prénom]:[Prénom]]=V9)*(TableauDatas[[Date]:[Date]]=$AY$1)*(TableauDatas[[Perf]:[Perf]])))</f>
        <v/>
      </c>
      <c r="AZ9" s="118" t="str" cm="1">
        <f t="array" ref="AZ9">IF(SUMPRODUCT((TableauDatas[[Test]:[Test]]=$AY$2)*(TableauDatas[[Prénom]:[Prénom]]=V9)*(TableauDatas[[Date]:[Date]]=$AZ$1)*(TableauDatas[[Perf]:[Perf]]))=0,"",SUMPRODUCT((TableauDatas[[Test]:[Test]]=$AY$2)*(TableauDatas[[Prénom]:[Prénom]]=V9)*(TableauDatas[[Date]:[Date]]=$AZ$1)*(TableauDatas[[Perf]:[Perf]])))</f>
        <v/>
      </c>
      <c r="BA9" s="118" t="str" cm="1">
        <f t="array" ref="BA9">IF(SUMPRODUCT((TableauDatas[[Test]:[Test]]=$BA$2)*(TableauDatas[[Prénom]:[Prénom]]=V9)*(TableauDatas[[Date]:[Date]]=$BA$1)*(TableauDatas[[Perf]:[Perf]]))=0,"",SUMPRODUCT((TableauDatas[[Test]:[Test]]=$BA$2)*(TableauDatas[[Prénom]:[Prénom]]=V9)*(TableauDatas[[Date]:[Date]]=$BA$1)*(TableauDatas[[Perf]:[Perf]])))</f>
        <v/>
      </c>
      <c r="BB9" s="118" t="str" cm="1">
        <f t="array" ref="BB9">IF(SUMPRODUCT((TableauDatas[[Test]:[Test]]=$BA$2)*(TableauDatas[[Prénom]:[Prénom]]=V9)*(TableauDatas[[Date]:[Date]]=$BB$1)*(TableauDatas[[Perf]:[Perf]]))=0,"",SUMPRODUCT((TableauDatas[[Test]:[Test]]=$BA$2)*(TableauDatas[[Prénom]:[Prénom]]=V9)*(TableauDatas[[Date]:[Date]]=$BB$1)*(TableauDatas[[Perf]:[Perf]])))</f>
        <v/>
      </c>
      <c r="BC9" s="118" t="str" cm="1">
        <f t="array" ref="BC9">IF(SUMPRODUCT((TableauDatas[[Test]:[Test]]=$BC$2)*(TableauDatas[[Prénom]:[Prénom]]=V9)*(TableauDatas[[Date]:[Date]]=$BC$1)*(TableauDatas[[Perf]:[Perf]]))=0,"",SUMPRODUCT((TableauDatas[[Test]:[Test]]=$BC$2)*(TableauDatas[[Prénom]:[Prénom]]=V9)*(TableauDatas[[Date]:[Date]]=$BC$1)*(TableauDatas[[Perf]:[Perf]])))</f>
        <v/>
      </c>
      <c r="BD9" s="121" t="str" cm="1">
        <f t="array" ref="BD9">IF(SUMPRODUCT((TableauDatas[[Test]:[Test]]=$BC$2)*(TableauDatas[[Prénom]:[Prénom]]=V9)*(TableauDatas[[Date]:[Date]]=$BD$1)*(TableauDatas[[Perf]:[Perf]]))=0,"",SUMPRODUCT((TableauDatas[[Test]:[Test]]=$BC$2)*(TableauDatas[[Prénom]:[Prénom]]=V9)*(TableauDatas[[Date]:[Date]]=$BD$1)*(TableauDatas[[Perf]:[Perf]])))</f>
        <v/>
      </c>
      <c r="BE9" s="118" t="str" cm="1">
        <f t="array" ref="BE9">IF(SUMPRODUCT((TableauDatas[[Test]:[Test]]=$BE$2)*(TableauDatas[[Prénom]:[Prénom]]=V9)*(TableauDatas[[Date]:[Date]]=$BE$1)*(TableauDatas[[Perf]:[Perf]]))=0,"",SUMPRODUCT((TableauDatas[[Test]:[Test]]=$BE$2)*(TableauDatas[[Prénom]:[Prénom]]=V9)*(TableauDatas[[Date]:[Date]]=$BE$1)*(TableauDatas[[Perf]:[Perf]])))</f>
        <v/>
      </c>
      <c r="BF9" s="118" t="str" cm="1">
        <f t="array" ref="BF9">IF(SUMPRODUCT((TableauDatas[[Test]:[Test]]=$BE$2)*(TableauDatas[[Prénom]:[Prénom]]=V9)*(TableauDatas[[Date]:[Date]]=$BF$1)*(TableauDatas[[Perf]:[Perf]]))=0,"",SUMPRODUCT((TableauDatas[[Test]:[Test]]=$BE$2)*(TableauDatas[[Prénom]:[Prénom]]=V9)*(TableauDatas[[Date]:[Date]]=$BF$1)*(TableauDatas[[Perf]:[Perf]])))</f>
        <v/>
      </c>
      <c r="BG9" s="118" t="str" cm="1">
        <f t="array" ref="BG9">IF(SUMPRODUCT((TableauDatas[[Test]:[Test]]=$BG$2)*(TableauDatas[[Prénom]:[Prénom]]=V9)*(TableauDatas[[Date]:[Date]]=$BG$1)*(TableauDatas[[Perf]:[Perf]]))=0,"",SUMPRODUCT((TableauDatas[[Test]:[Test]]=$BG$2)*(TableauDatas[[Prénom]:[Prénom]]=V9)*(TableauDatas[[Date]:[Date]]=$BG$1)*(TableauDatas[[Perf]:[Perf]])))</f>
        <v/>
      </c>
      <c r="BH9" s="118" t="str" cm="1">
        <f t="array" ref="BH9">IF(SUMPRODUCT((TableauDatas[[Test]:[Test]]=$BG$2)*(TableauDatas[[Prénom]:[Prénom]]=V9)*(TableauDatas[[Date]:[Date]]=$BH$1)*(TableauDatas[[Perf]:[Perf]]))=0,"",SUMPRODUCT((TableauDatas[[Test]:[Test]]=$BG$2)*(TableauDatas[[Prénom]:[Prénom]]=V9)*(TableauDatas[[Date]:[Date]]=$BH$1)*(TableauDatas[[Perf]:[Perf]])))</f>
        <v/>
      </c>
      <c r="BI9" s="118" t="str" cm="1">
        <f t="array" ref="BI9">IF(SUMPRODUCT((TableauDatas[[Test]:[Test]]=$BI$2)*(TableauDatas[[Prénom]:[Prénom]]=V9)*(TableauDatas[[Date]:[Date]]=$BI$1)*(TableauDatas[[Perf]:[Perf]]))=0,"",SUMPRODUCT((TableauDatas[[Test]:[Test]]=$BI$2)*(TableauDatas[[Prénom]:[Prénom]]=V9)*(TableauDatas[[Date]:[Date]]=$BI$1)*(TableauDatas[[Perf]:[Perf]])))</f>
        <v/>
      </c>
      <c r="BJ9" s="118" t="str" cm="1">
        <f t="array" ref="BJ9">IF(SUMPRODUCT((TableauDatas[[Test]:[Test]]=$BI$2)*(TableauDatas[[Prénom]:[Prénom]]=V9)*(TableauDatas[[Date]:[Date]]=$BJ$1)*(TableauDatas[[Perf]:[Perf]]))=0,"",SUMPRODUCT((TableauDatas[[Test]:[Test]]=$BI$2)*(TableauDatas[[Prénom]:[Prénom]]=V9)*(TableauDatas[[Date]:[Date]]=$BJ$1)*(TableauDatas[[Perf]:[Perf]])))</f>
        <v/>
      </c>
      <c r="BK9" s="118" t="str" cm="1">
        <f t="array" ref="BK9">IF(SUMPRODUCT((TableauDatas[[Test]:[Test]]=$BK$2)*(TableauDatas[[Prénom]:[Prénom]]=V9)*(TableauDatas[[Date]:[Date]]=$BK$1)*(TableauDatas[[Perf]:[Perf]]))=0,"",SUMPRODUCT((TableauDatas[[Test]:[Test]]=$BK$2)*(TableauDatas[[Prénom]:[Prénom]]=V9)*(TableauDatas[[Date]:[Date]]=$BK$1)*(TableauDatas[[Perf]:[Perf]])))</f>
        <v/>
      </c>
      <c r="BL9" s="118" t="str" cm="1">
        <f t="array" ref="BL9">IF(SUMPRODUCT((TableauDatas[[Test]:[Test]]=$BK$2)*(TableauDatas[[Prénom]:[Prénom]]=V9)*(TableauDatas[[Date]:[Date]]=$BL$1)*(TableauDatas[[Perf]:[Perf]]))=0,"",SUMPRODUCT((TableauDatas[[Test]:[Test]]=$BK$2)*(TableauDatas[[Prénom]:[Prénom]]=V9)*(TableauDatas[[Date]:[Date]]=$BL$1)*(TableauDatas[[Perf]:[Perf]])))</f>
        <v/>
      </c>
      <c r="BM9" s="118" t="str" cm="1">
        <f t="array" ref="BM9">IF(SUMPRODUCT((TableauDatas[[Test]:[Test]]=$BM$2)*(TableauDatas[[Prénom]:[Prénom]]=V9)*(TableauDatas[[Date]:[Date]]=$BM$1)*(TableauDatas[[Perf]:[Perf]]))=0,"",SUMPRODUCT((TableauDatas[[Test]:[Test]]=$BM$2)*(TableauDatas[[Prénom]:[Prénom]]=V9)*(TableauDatas[[Date]:[Date]]=$BM$1)*(TableauDatas[[Perf]:[Perf]])))</f>
        <v/>
      </c>
      <c r="BN9" s="118" t="str" cm="1">
        <f t="array" ref="BN9">IF(SUMPRODUCT((TableauDatas[[Test]:[Test]]=$BM$2)*(TableauDatas[[Prénom]:[Prénom]]=V9)*(TableauDatas[[Date]:[Date]]=$BN$1)*(TableauDatas[[Perf]:[Perf]]))=0,"",SUMPRODUCT((TableauDatas[[Test]:[Test]]=$BM$2)*(TableauDatas[[Prénom]:[Prénom]]=V9)*(TableauDatas[[Date]:[Date]]=$BN$1)*(TableauDatas[[Perf]:[Perf]])))</f>
        <v/>
      </c>
      <c r="BO9" s="118" t="str" cm="1">
        <f t="array" ref="BO9">IF(SUMPRODUCT((TableauDatas[[Test]:[Test]]=$BO$2)*(TableauDatas[[Prénom]:[Prénom]]=V9)*(TableauDatas[[Date]:[Date]]=$BO$1)*(TableauDatas[[Perf]:[Perf]]))=0,"",SUMPRODUCT((TableauDatas[[Test]:[Test]]=$BO$2)*(TableauDatas[[Prénom]:[Prénom]]=V9)*(TableauDatas[[Date]:[Date]]=$BO$1)*(TableauDatas[[Perf]:[Perf]])))</f>
        <v/>
      </c>
      <c r="BP9" s="119" t="str" cm="1">
        <f t="array" ref="BP9">IF(SUMPRODUCT((TableauDatas[[Test]:[Test]]=$BO$2)*(TableauDatas[[Prénom]:[Prénom]]=V9)*(TableauDatas[[Date]:[Date]]=$BP$1)*(TableauDatas[[Perf]:[Perf]]))=0,"",SUMPRODUCT((TableauDatas[[Test]:[Test]]=$BO$2)*(TableauDatas[[Prénom]:[Prénom]]=V9)*(TableauDatas[[Date]:[Date]]=$BP$1)*(TableauDatas[[Perf]:[Perf]])))</f>
        <v/>
      </c>
      <c r="BQ9" s="18"/>
      <c r="BR9" s="18"/>
      <c r="BS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DA9" s="97"/>
      <c r="DB9" s="97"/>
      <c r="DC9" s="97"/>
      <c r="DD9" s="97"/>
      <c r="DE9" s="97"/>
      <c r="DF9" s="97"/>
      <c r="DG9" s="97"/>
      <c r="DH9" s="97"/>
      <c r="DI9" s="97"/>
      <c r="DJ9" s="97"/>
      <c r="DK9" s="97"/>
      <c r="DL9" s="97"/>
      <c r="DM9" s="97"/>
      <c r="DN9" s="97"/>
      <c r="DO9" s="97"/>
      <c r="DQ9" s="97"/>
      <c r="DR9" s="97"/>
      <c r="DS9" s="97"/>
      <c r="DT9" s="97"/>
      <c r="DU9" s="97"/>
      <c r="DV9" s="97"/>
      <c r="DW9" s="97"/>
      <c r="DX9" s="97"/>
      <c r="DY9" s="97"/>
      <c r="DZ9" s="97"/>
      <c r="EA9" s="97"/>
      <c r="EB9" s="97"/>
      <c r="EC9" s="97"/>
      <c r="ED9" s="97"/>
      <c r="EE9" s="97"/>
      <c r="EG9" s="97"/>
      <c r="EH9" s="97"/>
      <c r="EI9" s="97"/>
      <c r="EJ9" s="97"/>
      <c r="EK9" s="97"/>
      <c r="EL9" s="97"/>
      <c r="EM9" s="97"/>
      <c r="EN9" s="97"/>
      <c r="EO9" s="97"/>
      <c r="EP9" s="97"/>
      <c r="EQ9" s="97"/>
      <c r="ER9" s="97"/>
      <c r="ES9" s="97"/>
      <c r="ET9" s="97"/>
      <c r="EU9" s="97"/>
      <c r="EW9" s="97"/>
      <c r="EX9" s="97"/>
      <c r="EY9" s="97"/>
      <c r="EZ9" s="97"/>
      <c r="FA9" s="97"/>
      <c r="FB9" s="97"/>
      <c r="FC9" s="97"/>
      <c r="FD9" s="97"/>
      <c r="FE9" s="97"/>
      <c r="FF9" s="97"/>
      <c r="FG9" s="97"/>
      <c r="FH9" s="97"/>
      <c r="FI9" s="97"/>
      <c r="FJ9" s="97"/>
      <c r="FK9" s="97"/>
      <c r="FM9" s="97"/>
      <c r="FN9" s="97"/>
      <c r="FO9" s="97"/>
      <c r="FP9" s="97"/>
      <c r="FQ9" s="97"/>
      <c r="FR9" s="97"/>
      <c r="FS9" s="97"/>
      <c r="FT9" s="97"/>
      <c r="FU9" s="97"/>
      <c r="FV9" s="97"/>
      <c r="FW9" s="97"/>
      <c r="FX9" s="97"/>
      <c r="FY9" s="97"/>
      <c r="FZ9" s="97"/>
      <c r="GA9" s="97"/>
      <c r="GC9" s="97"/>
      <c r="GD9" s="97"/>
      <c r="GE9" s="97"/>
      <c r="GF9" s="97"/>
      <c r="GG9" s="97"/>
      <c r="GH9" s="97"/>
      <c r="GI9" s="97"/>
      <c r="GJ9" s="97"/>
      <c r="GK9" s="97"/>
      <c r="GL9" s="97"/>
      <c r="GM9" s="97"/>
      <c r="GN9" s="97"/>
      <c r="GO9" s="97"/>
      <c r="GP9" s="97"/>
      <c r="GQ9" s="97"/>
      <c r="GS9" s="97"/>
      <c r="GT9" s="97"/>
      <c r="GU9" s="97"/>
      <c r="GV9" s="97"/>
      <c r="GW9" s="97"/>
      <c r="GX9" s="97"/>
      <c r="GY9" s="97"/>
      <c r="GZ9" s="97"/>
      <c r="HA9" s="97"/>
      <c r="HB9" s="97"/>
      <c r="HC9" s="97"/>
      <c r="HD9" s="97"/>
      <c r="HE9" s="97"/>
      <c r="HF9" s="97"/>
      <c r="HG9" s="97"/>
      <c r="HI9" s="97"/>
      <c r="HJ9" s="97"/>
      <c r="HK9" s="97"/>
      <c r="HL9" s="97"/>
      <c r="HM9" s="97"/>
      <c r="HN9" s="97"/>
      <c r="HO9" s="97"/>
      <c r="HP9" s="97"/>
      <c r="HQ9" s="97"/>
      <c r="HR9" s="97"/>
      <c r="HS9" s="97"/>
      <c r="HT9" s="97"/>
      <c r="HU9" s="97"/>
      <c r="HV9" s="97"/>
      <c r="HW9" s="97"/>
      <c r="HY9" s="97"/>
      <c r="HZ9" s="97"/>
      <c r="IA9" s="97"/>
      <c r="IB9" s="97"/>
      <c r="IC9" s="97"/>
      <c r="ID9" s="97"/>
      <c r="IE9" s="97"/>
      <c r="IF9" s="97"/>
      <c r="IG9" s="97"/>
      <c r="IH9" s="97"/>
      <c r="II9" s="97"/>
      <c r="IJ9" s="97"/>
      <c r="IK9" s="97"/>
      <c r="IL9" s="97"/>
      <c r="IM9" s="97"/>
      <c r="IO9" s="97"/>
      <c r="IP9" s="97"/>
      <c r="IQ9" s="97"/>
      <c r="IR9" s="97"/>
      <c r="IS9" s="97"/>
      <c r="IT9" s="97"/>
      <c r="IU9" s="24"/>
      <c r="IV9" s="24"/>
      <c r="IW9" s="24"/>
      <c r="IX9" s="24"/>
      <c r="IY9" s="24"/>
      <c r="IZ9" s="24"/>
      <c r="JA9" s="24"/>
      <c r="JB9" s="24"/>
      <c r="JC9" s="24"/>
    </row>
    <row r="10" spans="1:263" ht="20.25" thickTop="1" thickBot="1" x14ac:dyDescent="0.35">
      <c r="A10" s="184" t="s">
        <v>10</v>
      </c>
      <c r="B10" s="185"/>
      <c r="C10" s="185"/>
      <c r="D10" s="185"/>
      <c r="E10" s="185"/>
      <c r="F10" s="185"/>
      <c r="G10" s="186"/>
      <c r="H10" s="38"/>
      <c r="I10" s="27"/>
      <c r="J10" s="28"/>
      <c r="N10" s="66"/>
      <c r="O10" s="68"/>
      <c r="P10" s="69"/>
      <c r="Q10" s="69"/>
      <c r="R10" s="69"/>
      <c r="S10" s="70"/>
      <c r="T10" s="49"/>
      <c r="U10" s="103"/>
      <c r="V10" s="89">
        <f t="shared" si="0"/>
        <v>0</v>
      </c>
      <c r="W10" s="86" t="str" cm="1">
        <f t="array" ref="W10">IF(SUMPRODUCT((TableauDatas[[Test]:[Test]]=$W$2)*(TableauDatas[[Prénom]:[Prénom]]=V10)*(TableauDatas[[Date]:[Date]]=$W$1)*(TableauDatas[[Perf]:[Perf]]))=0,"",SUMPRODUCT((TableauDatas[[Test]:[Test]]=$W$2)*(TableauDatas[[Prénom]:[Prénom]]=V10)*(TableauDatas[[Date]:[Date]]=$W$1)*(TableauDatas[[Perf]:[Perf]])))</f>
        <v/>
      </c>
      <c r="X10" s="86" t="str" cm="1">
        <f t="array" ref="X10">IF(SUMPRODUCT((TableauDatas[[Test]:[Test]]=$X$2)*(TableauDatas[[Prénom]:[Prénom]]=V10)*(TableauDatas[[Date]:[Date]]=$X$1)*(TableauDatas[[Perf]:[Perf]]))=0,"",SUMPRODUCT((TableauDatas[[Test]:[Test]]=$X$2)*(TableauDatas[[Prénom]:[Prénom]]=V10)*(TableauDatas[[Date]:[Date]]=$X$1)*(TableauDatas[[Perf]:[Perf]])))</f>
        <v/>
      </c>
      <c r="Y10" s="86" t="str" cm="1">
        <f t="array" ref="Y10">IF(SUMPRODUCT((TableauDatas[[Test]:[Test]]=$Y$2)*(TableauDatas[[Prénom]:[Prénom]]=V10)*(TableauDatas[[Date]:[Date]]=$Y$1)*(TableauDatas[[Perf]:[Perf]]))=0,"",SUMPRODUCT((TableauDatas[[Test]:[Test]]=$Y$2)*(TableauDatas[[Prénom]:[Prénom]]=V10)*(TableauDatas[[Date]:[Date]]=$Y$1)*(TableauDatas[[Perf]:[Perf]])))</f>
        <v/>
      </c>
      <c r="Z10" s="86" t="str" cm="1">
        <f t="array" ref="Z10">IF(SUMPRODUCT((TableauDatas[[Test]:[Test]]=$Z$2)*(TableauDatas[[Prénom]:[Prénom]]=V10)*(TableauDatas[[Date]:[Date]]=$Z$1)*(TableauDatas[[Perf]:[Perf]]))=0,"",SUMPRODUCT((TableauDatas[[Test]:[Test]]=$Z$2)*(TableauDatas[[Prénom]:[Prénom]]=V10)*(TableauDatas[[Date]:[Date]]=$Z$1)*(TableauDatas[[Perf]:[Perf]])))</f>
        <v/>
      </c>
      <c r="AA10" s="86" t="str" cm="1">
        <f t="array" ref="AA10">IF(SUMPRODUCT((TableauDatas[[Test]:[Test]]=$AA$2)*(TableauDatas[[Prénom]:[Prénom]]=V10)*(TableauDatas[[Date]:[Date]]=$AA$1)*(TableauDatas[[Perf]:[Perf]]))=0,"",SUMPRODUCT((TableauDatas[[Test]:[Test]]=$AA$2)*(TableauDatas[[Prénom]:[Prénom]]=V10)*(TableauDatas[[Date]:[Date]]=$AA$1)*(TableauDatas[[Perf]:[Perf]])))</f>
        <v/>
      </c>
      <c r="AB10" s="86" t="str" cm="1">
        <f t="array" ref="AB10">IF(SUMPRODUCT((TableauDatas[[Test]:[Test]]=$AB$2)*(TableauDatas[[Prénom]:[Prénom]]=V10)*(TableauDatas[[Date]:[Date]]=$AB$1)*(TableauDatas[[Perf]:[Perf]]))=0,"",SUMPRODUCT((TableauDatas[[Test]:[Test]]=$AB$2)*(TableauDatas[[Prénom]:[Prénom]]=V10)*(TableauDatas[[Date]:[Date]]=$AB$1)*(TableauDatas[[Perf]:[Perf]])))</f>
        <v/>
      </c>
      <c r="AC10" s="86" t="str" cm="1">
        <f t="array" ref="AC10">IF(SUMPRODUCT((TableauDatas[[Test]:[Test]]=$AC$2)*(TableauDatas[[Prénom]:[Prénom]]=V10)*(TableauDatas[[Date]:[Date]]=$AC$1)*(TableauDatas[[Perf]:[Perf]]))=0,"",SUMPRODUCT((TableauDatas[[Test]:[Test]]=$AC$2)*(TableauDatas[[Prénom]:[Prénom]]=V10)*(TableauDatas[[Date]:[Date]]=$AC$1)*(TableauDatas[[Perf]:[Perf]])))</f>
        <v/>
      </c>
      <c r="AD10" s="86" t="str" cm="1">
        <f t="array" ref="AD10">IF(SUMPRODUCT((TableauDatas[[Test]:[Test]]=$AD$2)*(TableauDatas[[Prénom]:[Prénom]]=V10)*(TableauDatas[[Date]:[Date]]=$AD$1)*(TableauDatas[[Perf]:[Perf]]))=0,"",SUMPRODUCT((TableauDatas[[Test]:[Test]]=$AD$2)*(TableauDatas[[Prénom]:[Prénom]]=V10)*(TableauDatas[[Date]:[Date]]=$AD$1)*(TableauDatas[[Perf]:[Perf]])))</f>
        <v/>
      </c>
      <c r="AE10" s="86" t="str" cm="1">
        <f t="array" ref="AE10">IF(SUMPRODUCT((TableauDatas[[Test]:[Test]]=$AE$2)*(TableauDatas[[Prénom]:[Prénom]]=V10)*(TableauDatas[[Date]:[Date]]=$AE$1)*(TableauDatas[[Perf]:[Perf]]))=0,"",SUMPRODUCT((TableauDatas[[Test]:[Test]]=$AE$2)*(TableauDatas[[Prénom]:[Prénom]]=V10)*(TableauDatas[[Date]:[Date]]=$AE$1)*(TableauDatas[[Perf]:[Perf]])))</f>
        <v/>
      </c>
      <c r="AF10" s="86" t="str" cm="1">
        <f t="array" ref="AF10">IF(SUMPRODUCT((TableauDatas[[Test]:[Test]]=$AF$2)*(TableauDatas[[Prénom]:[Prénom]]=V10)*(TableauDatas[[Date]:[Date]]=$AF$1)*(TableauDatas[[Perf]:[Perf]]))=0,"",SUMPRODUCT((TableauDatas[[Test]:[Test]]=$AF$2)*(TableauDatas[[Prénom]:[Prénom]]=V10)*(TableauDatas[[Date]:[Date]]=$AF$1)*(TableauDatas[[Perf]:[Perf]])))</f>
        <v/>
      </c>
      <c r="AG10" s="86" t="str" cm="1">
        <f t="array" ref="AG10">IF(SUMPRODUCT((TableauDatas[[Test]:[Test]]=$AG$2)*(TableauDatas[[Prénom]:[Prénom]]=V10)*(TableauDatas[[Date]:[Date]]=$AG$1)*(TableauDatas[[Perf]:[Perf]]))=0,"",SUMPRODUCT((TableauDatas[[Test]:[Test]]=$AG$2)*(TableauDatas[[Prénom]:[Prénom]]=V10)*(TableauDatas[[Date]:[Date]]=$AG$1)*(TableauDatas[[Perf]:[Perf]])))</f>
        <v/>
      </c>
      <c r="AH10" s="86" t="str" cm="1">
        <f t="array" ref="AH10">IF(SUMPRODUCT((TableauDatas[[Test]:[Test]]=$AH$2)*(TableauDatas[[Prénom]:[Prénom]]=V10)*(TableauDatas[[Date]:[Date]]=$AH$1)*(TableauDatas[[Perf]:[Perf]]))=0,"",SUMPRODUCT((TableauDatas[[Test]:[Test]]=$AH$2)*(TableauDatas[[Prénom]:[Prénom]]=V10)*(TableauDatas[[Date]:[Date]]=$AH$1)*(TableauDatas[[Perf]:[Perf]])))</f>
        <v/>
      </c>
      <c r="AI10" s="86" t="str" cm="1">
        <f t="array" ref="AI10">IF(SUMPRODUCT((TableauDatas[[Test]:[Test]]=$AI$2)*(TableauDatas[[Prénom]:[Prénom]]=V10)*(TableauDatas[[Date]:[Date]]=$AI$1)*(TableauDatas[[Perf]:[Perf]]))=0,"",SUMPRODUCT((TableauDatas[[Test]:[Test]]=$AI$2)*(TableauDatas[[Prénom]:[Prénom]]=V10)*(TableauDatas[[Date]:[Date]]=$AI$1)*(TableauDatas[[Perf]:[Perf]])))</f>
        <v/>
      </c>
      <c r="AJ10" s="86" t="str" cm="1">
        <f t="array" ref="AJ10">IF(SUMPRODUCT((TableauDatas[[Test]:[Test]]=$AJ$2)*(TableauDatas[[Prénom]:[Prénom]]=V10)*(TableauDatas[[Date]:[Date]]=$AJ$1)*(TableauDatas[[Perf]:[Perf]]))=0,"",SUMPRODUCT((TableauDatas[[Test]:[Test]]=$AJ$2)*(TableauDatas[[Prénom]:[Prénom]]=V10)*(TableauDatas[[Date]:[Date]]=$AJ$1)*(TableauDatas[[Perf]:[Perf]])))</f>
        <v/>
      </c>
      <c r="AK10" s="87" t="str" cm="1">
        <f t="array" ref="AK10">IF(SUMPRODUCT((TableauDatas[[Test]:[Test]]=$AK$2)*(TableauDatas[[Prénom]:[Prénom]]=V10)*(TableauDatas[[Date]:[Date]]=$AK$1)*(TableauDatas[[Perf]:[Perf]]))=0,"",SUMPRODUCT((TableauDatas[[Test]:[Test]]=$AK$2)*(TableauDatas[[Prénom]:[Prénom]]=V10)*(TableauDatas[[Date]:[Date]]=$AK$1)*(TableauDatas[[Perf]:[Perf]])))</f>
        <v/>
      </c>
      <c r="AL10" s="18"/>
      <c r="AM10" s="117" t="str" cm="1">
        <f t="array" ref="AM10">IF(SUMPRODUCT((TableauDatas[[Test]:[Test]]=$AM$2)*(TableauDatas[[Prénom]:[Prénom]]=V10)*(TableauDatas[[Date]:[Date]]=$AM$1)*(TableauDatas[[Perf]:[Perf]]))=0,"",SUMPRODUCT((TableauDatas[[Test]:[Test]]=$AM$2)*(TableauDatas[[Prénom]:[Prénom]]=V10)*(TableauDatas[[Date]:[Date]]=$AM$1)*(TableauDatas[[Perf]:[Perf]])))</f>
        <v/>
      </c>
      <c r="AN10" s="120" t="str" cm="1">
        <f t="array" ref="AN10">IF(SUMPRODUCT((TableauDatas[[Test]:[Test]]=$AM$2)*(TableauDatas[[Prénom]:[Prénom]]=V10)*(TableauDatas[[Date]:[Date]]=$AN$1)*(TableauDatas[[Perf]:[Perf]]))=0,"",SUMPRODUCT((TableauDatas[[Test]:[Test]]=$AM$2)*(TableauDatas[[Prénom]:[Prénom]]=V10)*(TableauDatas[[Date]:[Date]]=$AN$1)*(TableauDatas[[Perf]:[Perf]])))</f>
        <v/>
      </c>
      <c r="AO10" s="118" t="str" cm="1">
        <f t="array" ref="AO10">IF(SUMPRODUCT((TableauDatas[[Test]:[Test]]=$AO$2)*(TableauDatas[[Prénom]:[Prénom]]=V10)*(TableauDatas[[Date]:[Date]]=$AO$1)*(TableauDatas[[Perf]:[Perf]]))=0,"",SUMPRODUCT((TableauDatas[[Test]:[Test]]=$AO$2)*(TableauDatas[[Prénom]:[Prénom]]=V10)*(TableauDatas[[Date]:[Date]]=$AO$1)*(TableauDatas[[Perf]:[Perf]])))</f>
        <v/>
      </c>
      <c r="AP10" s="118" t="str" cm="1">
        <f t="array" ref="AP10">IF(SUMPRODUCT((TableauDatas[[Test]:[Test]]=$AO$2)*(TableauDatas[[Prénom]:[Prénom]]=V10)*(TableauDatas[[Date]:[Date]]=$AP$1)*(TableauDatas[[Perf]:[Perf]]))=0,"",SUMPRODUCT((TableauDatas[[Test]:[Test]]=$AO$2)*(TableauDatas[[Prénom]:[Prénom]]=V10)*(TableauDatas[[Date]:[Date]]=$AP$1)*(TableauDatas[[Perf]:[Perf]])))</f>
        <v/>
      </c>
      <c r="AQ10" s="118" t="str" cm="1">
        <f t="array" ref="AQ10">IF(SUMPRODUCT((TableauDatas[[Test]:[Test]]=$AQ$2)*(TableauDatas[[Prénom]:[Prénom]]=V10)*(TableauDatas[[Date]:[Date]]=$AQ$1)*(TableauDatas[[Perf]:[Perf]]))=0,"",SUMPRODUCT((TableauDatas[[Test]:[Test]]=$AQ$2)*(TableauDatas[[Prénom]:[Prénom]]=V10)*(TableauDatas[[Date]:[Date]]=$AQ$1)*(TableauDatas[[Perf]:[Perf]])))</f>
        <v/>
      </c>
      <c r="AR10" s="118" t="str" cm="1">
        <f t="array" ref="AR10">IF(SUMPRODUCT((TableauDatas[[Test]:[Test]]=$AQ$2)*(TableauDatas[[Prénom]:[Prénom]]=V10)*(TableauDatas[[Date]:[Date]]=$AR$1)*(TableauDatas[[Perf]:[Perf]]))=0,"",SUMPRODUCT((TableauDatas[[Test]:[Test]]=$AQ$2)*(TableauDatas[[Prénom]:[Prénom]]=V10)*(TableauDatas[[Date]:[Date]]=$AR$1)*(TableauDatas[[Perf]:[Perf]])))</f>
        <v/>
      </c>
      <c r="AS10" s="118" t="str" cm="1">
        <f t="array" ref="AS10">IF(SUMPRODUCT((TableauDatas[[Test]:[Test]]=$AS$2)*(TableauDatas[[Prénom]:[Prénom]]=V10)*(TableauDatas[[Date]:[Date]]=$AS$1)*(TableauDatas[[Perf]:[Perf]]))=0,"",SUMPRODUCT((TableauDatas[[Test]:[Test]]=$AS$2)*(TableauDatas[[Prénom]:[Prénom]]=V10)*(TableauDatas[[Date]:[Date]]=$AS$1)*(TableauDatas[[Perf]:[Perf]])))</f>
        <v/>
      </c>
      <c r="AT10" s="118" t="str" cm="1">
        <f t="array" ref="AT10">IF(SUMPRODUCT((TableauDatas[[Test]:[Test]]=$AS$2)*(TableauDatas[[Prénom]:[Prénom]]=V10)*(TableauDatas[[Date]:[Date]]=$AT$1)*(TableauDatas[[Perf]:[Perf]]))=0,"",SUMPRODUCT((TableauDatas[[Test]:[Test]]=$AS$2)*(TableauDatas[[Prénom]:[Prénom]]=V10)*(TableauDatas[[Date]:[Date]]=$AT$1)*(TableauDatas[[Perf]:[Perf]])))</f>
        <v/>
      </c>
      <c r="AU10" s="118" t="str" cm="1">
        <f t="array" ref="AU10">IF(SUMPRODUCT((TableauDatas[[Test]:[Test]]=$AU$2)*(TableauDatas[[Prénom]:[Prénom]]=V10)*(TableauDatas[[Date]:[Date]]=$AU$1)*(TableauDatas[[Perf]:[Perf]]))=0,"",SUMPRODUCT((TableauDatas[[Test]:[Test]]=$AU$2)*(TableauDatas[[Prénom]:[Prénom]]=V10)*(TableauDatas[[Date]:[Date]]=$AU$1)*(TableauDatas[[Perf]:[Perf]])))</f>
        <v/>
      </c>
      <c r="AV10" s="118" t="str" cm="1">
        <f t="array" ref="AV10">IF(SUMPRODUCT((TableauDatas[[Test]:[Test]]=$AU$2)*(TableauDatas[[Prénom]:[Prénom]]=V10)*(TableauDatas[[Date]:[Date]]=$AV$1)*(TableauDatas[[Perf]:[Perf]]))=0,"",SUMPRODUCT((TableauDatas[[Test]:[Test]]=$AU$2)*(TableauDatas[[Prénom]:[Prénom]]=V10)*(TableauDatas[[Date]:[Date]]=$AV$1)*(TableauDatas[[Perf]:[Perf]])))</f>
        <v/>
      </c>
      <c r="AW10" s="118" t="str" cm="1">
        <f t="array" ref="AW10">IF(SUMPRODUCT((TableauDatas[[Test]:[Test]]=$AW$2)*(TableauDatas[[Prénom]:[Prénom]]=V10)*(TableauDatas[[Date]:[Date]]=$AW$1)*(TableauDatas[[Perf]:[Perf]]))=0,"",SUMPRODUCT((TableauDatas[[Test]:[Test]]=$AW$2)*(TableauDatas[[Prénom]:[Prénom]]=V10)*(TableauDatas[[Date]:[Date]]=$AW$1)*(TableauDatas[[Perf]:[Perf]])))</f>
        <v/>
      </c>
      <c r="AX10" s="118" t="str" cm="1">
        <f t="array" ref="AX10">IF(SUMPRODUCT((TableauDatas[[Test]:[Test]]=$AW$2)*(TableauDatas[[Prénom]:[Prénom]]=V10)*(TableauDatas[[Date]:[Date]]=$AX$1)*(TableauDatas[[Perf]:[Perf]]))=0,"",SUMPRODUCT((TableauDatas[[Test]:[Test]]=$AW$2)*(TableauDatas[[Prénom]:[Prénom]]=V10)*(TableauDatas[[Date]:[Date]]=$AX$1)*(TableauDatas[[Perf]:[Perf]])))</f>
        <v/>
      </c>
      <c r="AY10" s="118" t="str" cm="1">
        <f t="array" ref="AY10">IF(SUMPRODUCT((TableauDatas[[Test]:[Test]]=$AY$2)*(TableauDatas[[Prénom]:[Prénom]]=V10)*(TableauDatas[[Date]:[Date]]=$AY$1)*(TableauDatas[[Perf]:[Perf]]))=0,"",SUMPRODUCT((TableauDatas[[Test]:[Test]]=$AY$2)*(TableauDatas[[Prénom]:[Prénom]]=V10)*(TableauDatas[[Date]:[Date]]=$AY$1)*(TableauDatas[[Perf]:[Perf]])))</f>
        <v/>
      </c>
      <c r="AZ10" s="118" t="str" cm="1">
        <f t="array" ref="AZ10">IF(SUMPRODUCT((TableauDatas[[Test]:[Test]]=$AY$2)*(TableauDatas[[Prénom]:[Prénom]]=V10)*(TableauDatas[[Date]:[Date]]=$AZ$1)*(TableauDatas[[Perf]:[Perf]]))=0,"",SUMPRODUCT((TableauDatas[[Test]:[Test]]=$AY$2)*(TableauDatas[[Prénom]:[Prénom]]=V10)*(TableauDatas[[Date]:[Date]]=$AZ$1)*(TableauDatas[[Perf]:[Perf]])))</f>
        <v/>
      </c>
      <c r="BA10" s="118" t="str" cm="1">
        <f t="array" ref="BA10">IF(SUMPRODUCT((TableauDatas[[Test]:[Test]]=$BA$2)*(TableauDatas[[Prénom]:[Prénom]]=V10)*(TableauDatas[[Date]:[Date]]=$BA$1)*(TableauDatas[[Perf]:[Perf]]))=0,"",SUMPRODUCT((TableauDatas[[Test]:[Test]]=$BA$2)*(TableauDatas[[Prénom]:[Prénom]]=V10)*(TableauDatas[[Date]:[Date]]=$BA$1)*(TableauDatas[[Perf]:[Perf]])))</f>
        <v/>
      </c>
      <c r="BB10" s="118" t="str" cm="1">
        <f t="array" ref="BB10">IF(SUMPRODUCT((TableauDatas[[Test]:[Test]]=$BA$2)*(TableauDatas[[Prénom]:[Prénom]]=V10)*(TableauDatas[[Date]:[Date]]=$BB$1)*(TableauDatas[[Perf]:[Perf]]))=0,"",SUMPRODUCT((TableauDatas[[Test]:[Test]]=$BA$2)*(TableauDatas[[Prénom]:[Prénom]]=V10)*(TableauDatas[[Date]:[Date]]=$BB$1)*(TableauDatas[[Perf]:[Perf]])))</f>
        <v/>
      </c>
      <c r="BC10" s="118" t="str" cm="1">
        <f t="array" ref="BC10">IF(SUMPRODUCT((TableauDatas[[Test]:[Test]]=$BC$2)*(TableauDatas[[Prénom]:[Prénom]]=V10)*(TableauDatas[[Date]:[Date]]=$BC$1)*(TableauDatas[[Perf]:[Perf]]))=0,"",SUMPRODUCT((TableauDatas[[Test]:[Test]]=$BC$2)*(TableauDatas[[Prénom]:[Prénom]]=V10)*(TableauDatas[[Date]:[Date]]=$BC$1)*(TableauDatas[[Perf]:[Perf]])))</f>
        <v/>
      </c>
      <c r="BD10" s="121" t="str" cm="1">
        <f t="array" ref="BD10">IF(SUMPRODUCT((TableauDatas[[Test]:[Test]]=$BC$2)*(TableauDatas[[Prénom]:[Prénom]]=V10)*(TableauDatas[[Date]:[Date]]=$BD$1)*(TableauDatas[[Perf]:[Perf]]))=0,"",SUMPRODUCT((TableauDatas[[Test]:[Test]]=$BC$2)*(TableauDatas[[Prénom]:[Prénom]]=V10)*(TableauDatas[[Date]:[Date]]=$BD$1)*(TableauDatas[[Perf]:[Perf]])))</f>
        <v/>
      </c>
      <c r="BE10" s="118" t="str" cm="1">
        <f t="array" ref="BE10">IF(SUMPRODUCT((TableauDatas[[Test]:[Test]]=$BE$2)*(TableauDatas[[Prénom]:[Prénom]]=V10)*(TableauDatas[[Date]:[Date]]=$BE$1)*(TableauDatas[[Perf]:[Perf]]))=0,"",SUMPRODUCT((TableauDatas[[Test]:[Test]]=$BE$2)*(TableauDatas[[Prénom]:[Prénom]]=V10)*(TableauDatas[[Date]:[Date]]=$BE$1)*(TableauDatas[[Perf]:[Perf]])))</f>
        <v/>
      </c>
      <c r="BF10" s="118" t="str" cm="1">
        <f t="array" ref="BF10">IF(SUMPRODUCT((TableauDatas[[Test]:[Test]]=$BE$2)*(TableauDatas[[Prénom]:[Prénom]]=V10)*(TableauDatas[[Date]:[Date]]=$BF$1)*(TableauDatas[[Perf]:[Perf]]))=0,"",SUMPRODUCT((TableauDatas[[Test]:[Test]]=$BE$2)*(TableauDatas[[Prénom]:[Prénom]]=V10)*(TableauDatas[[Date]:[Date]]=$BF$1)*(TableauDatas[[Perf]:[Perf]])))</f>
        <v/>
      </c>
      <c r="BG10" s="118" t="str" cm="1">
        <f t="array" ref="BG10">IF(SUMPRODUCT((TableauDatas[[Test]:[Test]]=$BG$2)*(TableauDatas[[Prénom]:[Prénom]]=V10)*(TableauDatas[[Date]:[Date]]=$BG$1)*(TableauDatas[[Perf]:[Perf]]))=0,"",SUMPRODUCT((TableauDatas[[Test]:[Test]]=$BG$2)*(TableauDatas[[Prénom]:[Prénom]]=V10)*(TableauDatas[[Date]:[Date]]=$BG$1)*(TableauDatas[[Perf]:[Perf]])))</f>
        <v/>
      </c>
      <c r="BH10" s="118" t="str" cm="1">
        <f t="array" ref="BH10">IF(SUMPRODUCT((TableauDatas[[Test]:[Test]]=$BG$2)*(TableauDatas[[Prénom]:[Prénom]]=V10)*(TableauDatas[[Date]:[Date]]=$BH$1)*(TableauDatas[[Perf]:[Perf]]))=0,"",SUMPRODUCT((TableauDatas[[Test]:[Test]]=$BG$2)*(TableauDatas[[Prénom]:[Prénom]]=V10)*(TableauDatas[[Date]:[Date]]=$BH$1)*(TableauDatas[[Perf]:[Perf]])))</f>
        <v/>
      </c>
      <c r="BI10" s="118" t="str" cm="1">
        <f t="array" ref="BI10">IF(SUMPRODUCT((TableauDatas[[Test]:[Test]]=$BI$2)*(TableauDatas[[Prénom]:[Prénom]]=V10)*(TableauDatas[[Date]:[Date]]=$BI$1)*(TableauDatas[[Perf]:[Perf]]))=0,"",SUMPRODUCT((TableauDatas[[Test]:[Test]]=$BI$2)*(TableauDatas[[Prénom]:[Prénom]]=V10)*(TableauDatas[[Date]:[Date]]=$BI$1)*(TableauDatas[[Perf]:[Perf]])))</f>
        <v/>
      </c>
      <c r="BJ10" s="118" t="str" cm="1">
        <f t="array" ref="BJ10">IF(SUMPRODUCT((TableauDatas[[Test]:[Test]]=$BI$2)*(TableauDatas[[Prénom]:[Prénom]]=V10)*(TableauDatas[[Date]:[Date]]=$BJ$1)*(TableauDatas[[Perf]:[Perf]]))=0,"",SUMPRODUCT((TableauDatas[[Test]:[Test]]=$BI$2)*(TableauDatas[[Prénom]:[Prénom]]=V10)*(TableauDatas[[Date]:[Date]]=$BJ$1)*(TableauDatas[[Perf]:[Perf]])))</f>
        <v/>
      </c>
      <c r="BK10" s="118" t="str" cm="1">
        <f t="array" ref="BK10">IF(SUMPRODUCT((TableauDatas[[Test]:[Test]]=$BK$2)*(TableauDatas[[Prénom]:[Prénom]]=V10)*(TableauDatas[[Date]:[Date]]=$BK$1)*(TableauDatas[[Perf]:[Perf]]))=0,"",SUMPRODUCT((TableauDatas[[Test]:[Test]]=$BK$2)*(TableauDatas[[Prénom]:[Prénom]]=V10)*(TableauDatas[[Date]:[Date]]=$BK$1)*(TableauDatas[[Perf]:[Perf]])))</f>
        <v/>
      </c>
      <c r="BL10" s="118" t="str" cm="1">
        <f t="array" ref="BL10">IF(SUMPRODUCT((TableauDatas[[Test]:[Test]]=$BK$2)*(TableauDatas[[Prénom]:[Prénom]]=V10)*(TableauDatas[[Date]:[Date]]=$BL$1)*(TableauDatas[[Perf]:[Perf]]))=0,"",SUMPRODUCT((TableauDatas[[Test]:[Test]]=$BK$2)*(TableauDatas[[Prénom]:[Prénom]]=V10)*(TableauDatas[[Date]:[Date]]=$BL$1)*(TableauDatas[[Perf]:[Perf]])))</f>
        <v/>
      </c>
      <c r="BM10" s="118" t="str" cm="1">
        <f t="array" ref="BM10">IF(SUMPRODUCT((TableauDatas[[Test]:[Test]]=$BM$2)*(TableauDatas[[Prénom]:[Prénom]]=V10)*(TableauDatas[[Date]:[Date]]=$BM$1)*(TableauDatas[[Perf]:[Perf]]))=0,"",SUMPRODUCT((TableauDatas[[Test]:[Test]]=$BM$2)*(TableauDatas[[Prénom]:[Prénom]]=V10)*(TableauDatas[[Date]:[Date]]=$BM$1)*(TableauDatas[[Perf]:[Perf]])))</f>
        <v/>
      </c>
      <c r="BN10" s="118" t="str" cm="1">
        <f t="array" ref="BN10">IF(SUMPRODUCT((TableauDatas[[Test]:[Test]]=$BM$2)*(TableauDatas[[Prénom]:[Prénom]]=V10)*(TableauDatas[[Date]:[Date]]=$BN$1)*(TableauDatas[[Perf]:[Perf]]))=0,"",SUMPRODUCT((TableauDatas[[Test]:[Test]]=$BM$2)*(TableauDatas[[Prénom]:[Prénom]]=V10)*(TableauDatas[[Date]:[Date]]=$BN$1)*(TableauDatas[[Perf]:[Perf]])))</f>
        <v/>
      </c>
      <c r="BO10" s="118" t="str" cm="1">
        <f t="array" ref="BO10">IF(SUMPRODUCT((TableauDatas[[Test]:[Test]]=$BO$2)*(TableauDatas[[Prénom]:[Prénom]]=V10)*(TableauDatas[[Date]:[Date]]=$BO$1)*(TableauDatas[[Perf]:[Perf]]))=0,"",SUMPRODUCT((TableauDatas[[Test]:[Test]]=$BO$2)*(TableauDatas[[Prénom]:[Prénom]]=V10)*(TableauDatas[[Date]:[Date]]=$BO$1)*(TableauDatas[[Perf]:[Perf]])))</f>
        <v/>
      </c>
      <c r="BP10" s="119" t="str" cm="1">
        <f t="array" ref="BP10">IF(SUMPRODUCT((TableauDatas[[Test]:[Test]]=$BO$2)*(TableauDatas[[Prénom]:[Prénom]]=V10)*(TableauDatas[[Date]:[Date]]=$BP$1)*(TableauDatas[[Perf]:[Perf]]))=0,"",SUMPRODUCT((TableauDatas[[Test]:[Test]]=$BO$2)*(TableauDatas[[Prénom]:[Prénom]]=V10)*(TableauDatas[[Date]:[Date]]=$BP$1)*(TableauDatas[[Perf]:[Perf]])))</f>
        <v/>
      </c>
      <c r="BQ10" s="18"/>
      <c r="BR10" s="18"/>
      <c r="BS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DA10" s="97"/>
      <c r="DB10" s="97"/>
      <c r="DC10" s="97"/>
      <c r="DD10" s="97"/>
      <c r="DE10" s="97"/>
      <c r="DF10" s="97"/>
      <c r="DG10" s="97"/>
      <c r="DH10" s="97"/>
      <c r="DI10" s="97"/>
      <c r="DJ10" s="97"/>
      <c r="DK10" s="97"/>
      <c r="DL10" s="97"/>
      <c r="DM10" s="97"/>
      <c r="DN10" s="97"/>
      <c r="DO10" s="97"/>
      <c r="DQ10" s="97"/>
      <c r="DR10" s="97"/>
      <c r="DS10" s="97"/>
      <c r="DT10" s="97"/>
      <c r="DU10" s="97"/>
      <c r="DV10" s="97"/>
      <c r="DW10" s="97"/>
      <c r="DX10" s="97"/>
      <c r="DY10" s="97"/>
      <c r="DZ10" s="97"/>
      <c r="EA10" s="97"/>
      <c r="EB10" s="97"/>
      <c r="EC10" s="97"/>
      <c r="ED10" s="97"/>
      <c r="EE10" s="97"/>
      <c r="EG10" s="97"/>
      <c r="EH10" s="97"/>
      <c r="EI10" s="97"/>
      <c r="EJ10" s="97"/>
      <c r="EK10" s="97"/>
      <c r="EL10" s="97"/>
      <c r="EM10" s="97"/>
      <c r="EN10" s="97"/>
      <c r="EO10" s="97"/>
      <c r="EP10" s="97"/>
      <c r="EQ10" s="97"/>
      <c r="ER10" s="97"/>
      <c r="ES10" s="97"/>
      <c r="ET10" s="97"/>
      <c r="EU10" s="97"/>
      <c r="EW10" s="97"/>
      <c r="EX10" s="97"/>
      <c r="EY10" s="97"/>
      <c r="EZ10" s="97"/>
      <c r="FA10" s="97"/>
      <c r="FB10" s="97"/>
      <c r="FC10" s="97"/>
      <c r="FD10" s="97"/>
      <c r="FE10" s="97"/>
      <c r="FF10" s="97"/>
      <c r="FG10" s="97"/>
      <c r="FH10" s="97"/>
      <c r="FI10" s="97"/>
      <c r="FJ10" s="97"/>
      <c r="FK10" s="97"/>
      <c r="FM10" s="97"/>
      <c r="FN10" s="97"/>
      <c r="FO10" s="97"/>
      <c r="FP10" s="97"/>
      <c r="FQ10" s="97"/>
      <c r="FR10" s="97"/>
      <c r="FS10" s="97"/>
      <c r="FT10" s="97"/>
      <c r="FU10" s="97"/>
      <c r="FV10" s="97"/>
      <c r="FW10" s="97"/>
      <c r="FX10" s="97"/>
      <c r="FY10" s="97"/>
      <c r="FZ10" s="97"/>
      <c r="GA10" s="97"/>
      <c r="GC10" s="97"/>
      <c r="GD10" s="97"/>
      <c r="GE10" s="97"/>
      <c r="GF10" s="97"/>
      <c r="GG10" s="97"/>
      <c r="GH10" s="97"/>
      <c r="GI10" s="97"/>
      <c r="GJ10" s="97"/>
      <c r="GK10" s="97"/>
      <c r="GL10" s="97"/>
      <c r="GM10" s="97"/>
      <c r="GN10" s="97"/>
      <c r="GO10" s="97"/>
      <c r="GP10" s="97"/>
      <c r="GQ10" s="97"/>
      <c r="GS10" s="97"/>
      <c r="GT10" s="97"/>
      <c r="GU10" s="97"/>
      <c r="GV10" s="97"/>
      <c r="GW10" s="97"/>
      <c r="GX10" s="97"/>
      <c r="GY10" s="97"/>
      <c r="GZ10" s="97"/>
      <c r="HA10" s="97"/>
      <c r="HB10" s="97"/>
      <c r="HC10" s="97"/>
      <c r="HD10" s="97"/>
      <c r="HE10" s="97"/>
      <c r="HF10" s="97"/>
      <c r="HG10" s="97"/>
      <c r="HI10" s="97"/>
      <c r="HJ10" s="97"/>
      <c r="HK10" s="97"/>
      <c r="HL10" s="97"/>
      <c r="HM10" s="97"/>
      <c r="HN10" s="97"/>
      <c r="HO10" s="97"/>
      <c r="HP10" s="97"/>
      <c r="HQ10" s="97"/>
      <c r="HR10" s="97"/>
      <c r="HS10" s="97"/>
      <c r="HT10" s="97"/>
      <c r="HU10" s="97"/>
      <c r="HV10" s="97"/>
      <c r="HW10" s="97"/>
      <c r="HY10" s="97"/>
      <c r="HZ10" s="97"/>
      <c r="IA10" s="97"/>
      <c r="IB10" s="97"/>
      <c r="IC10" s="97"/>
      <c r="ID10" s="97"/>
      <c r="IE10" s="97"/>
      <c r="IF10" s="97"/>
      <c r="IG10" s="97"/>
      <c r="IH10" s="97"/>
      <c r="II10" s="97"/>
      <c r="IJ10" s="97"/>
      <c r="IK10" s="97"/>
      <c r="IL10" s="97"/>
      <c r="IM10" s="97"/>
      <c r="IO10" s="97"/>
      <c r="IP10" s="97"/>
      <c r="IQ10" s="97"/>
      <c r="IR10" s="97"/>
      <c r="IS10" s="97"/>
      <c r="IT10" s="97"/>
      <c r="IU10" s="24"/>
      <c r="IV10" s="24"/>
      <c r="IW10" s="24"/>
      <c r="IX10" s="24"/>
      <c r="IY10" s="24"/>
      <c r="IZ10" s="24"/>
      <c r="JA10" s="24"/>
      <c r="JB10" s="24"/>
      <c r="JC10" s="24"/>
    </row>
    <row r="11" spans="1:263" ht="20.25" thickTop="1" thickBot="1" x14ac:dyDescent="0.35">
      <c r="A11" s="160"/>
      <c r="B11" s="150" t="s">
        <v>8</v>
      </c>
      <c r="C11" s="151" t="s">
        <v>9</v>
      </c>
      <c r="D11" s="151" t="s">
        <v>11</v>
      </c>
      <c r="E11" s="152" t="s">
        <v>12</v>
      </c>
      <c r="F11" s="161" t="s">
        <v>13</v>
      </c>
      <c r="G11" s="154" t="s">
        <v>30</v>
      </c>
      <c r="H11" s="38"/>
      <c r="I11" s="27"/>
      <c r="J11" s="28"/>
      <c r="N11" s="108"/>
      <c r="O11" s="105"/>
      <c r="P11" s="106"/>
      <c r="Q11" s="106"/>
      <c r="R11" s="106"/>
      <c r="S11" s="107"/>
      <c r="T11" s="109"/>
      <c r="U11" s="103"/>
      <c r="V11" s="89">
        <f t="shared" si="0"/>
        <v>0</v>
      </c>
      <c r="W11" s="86" t="str" cm="1">
        <f t="array" ref="W11">IF(SUMPRODUCT((TableauDatas[[Test]:[Test]]=$W$2)*(TableauDatas[[Prénom]:[Prénom]]=V11)*(TableauDatas[[Date]:[Date]]=$W$1)*(TableauDatas[[Perf]:[Perf]]))=0,"",SUMPRODUCT((TableauDatas[[Test]:[Test]]=$W$2)*(TableauDatas[[Prénom]:[Prénom]]=V11)*(TableauDatas[[Date]:[Date]]=$W$1)*(TableauDatas[[Perf]:[Perf]])))</f>
        <v/>
      </c>
      <c r="X11" s="86" t="str" cm="1">
        <f t="array" ref="X11">IF(SUMPRODUCT((TableauDatas[[Test]:[Test]]=$X$2)*(TableauDatas[[Prénom]:[Prénom]]=V11)*(TableauDatas[[Date]:[Date]]=$X$1)*(TableauDatas[[Perf]:[Perf]]))=0,"",SUMPRODUCT((TableauDatas[[Test]:[Test]]=$X$2)*(TableauDatas[[Prénom]:[Prénom]]=V11)*(TableauDatas[[Date]:[Date]]=$X$1)*(TableauDatas[[Perf]:[Perf]])))</f>
        <v/>
      </c>
      <c r="Y11" s="86" t="str" cm="1">
        <f t="array" ref="Y11">IF(SUMPRODUCT((TableauDatas[[Test]:[Test]]=$Y$2)*(TableauDatas[[Prénom]:[Prénom]]=V11)*(TableauDatas[[Date]:[Date]]=$Y$1)*(TableauDatas[[Perf]:[Perf]]))=0,"",SUMPRODUCT((TableauDatas[[Test]:[Test]]=$Y$2)*(TableauDatas[[Prénom]:[Prénom]]=V11)*(TableauDatas[[Date]:[Date]]=$Y$1)*(TableauDatas[[Perf]:[Perf]])))</f>
        <v/>
      </c>
      <c r="Z11" s="86" t="str" cm="1">
        <f t="array" ref="Z11">IF(SUMPRODUCT((TableauDatas[[Test]:[Test]]=$Z$2)*(TableauDatas[[Prénom]:[Prénom]]=V11)*(TableauDatas[[Date]:[Date]]=$Z$1)*(TableauDatas[[Perf]:[Perf]]))=0,"",SUMPRODUCT((TableauDatas[[Test]:[Test]]=$Z$2)*(TableauDatas[[Prénom]:[Prénom]]=V11)*(TableauDatas[[Date]:[Date]]=$Z$1)*(TableauDatas[[Perf]:[Perf]])))</f>
        <v/>
      </c>
      <c r="AA11" s="86" t="str" cm="1">
        <f t="array" ref="AA11">IF(SUMPRODUCT((TableauDatas[[Test]:[Test]]=$AA$2)*(TableauDatas[[Prénom]:[Prénom]]=V11)*(TableauDatas[[Date]:[Date]]=$AA$1)*(TableauDatas[[Perf]:[Perf]]))=0,"",SUMPRODUCT((TableauDatas[[Test]:[Test]]=$AA$2)*(TableauDatas[[Prénom]:[Prénom]]=V11)*(TableauDatas[[Date]:[Date]]=$AA$1)*(TableauDatas[[Perf]:[Perf]])))</f>
        <v/>
      </c>
      <c r="AB11" s="86" t="str" cm="1">
        <f t="array" ref="AB11">IF(SUMPRODUCT((TableauDatas[[Test]:[Test]]=$AB$2)*(TableauDatas[[Prénom]:[Prénom]]=V11)*(TableauDatas[[Date]:[Date]]=$AB$1)*(TableauDatas[[Perf]:[Perf]]))=0,"",SUMPRODUCT((TableauDatas[[Test]:[Test]]=$AB$2)*(TableauDatas[[Prénom]:[Prénom]]=V11)*(TableauDatas[[Date]:[Date]]=$AB$1)*(TableauDatas[[Perf]:[Perf]])))</f>
        <v/>
      </c>
      <c r="AC11" s="86" t="str" cm="1">
        <f t="array" ref="AC11">IF(SUMPRODUCT((TableauDatas[[Test]:[Test]]=$AC$2)*(TableauDatas[[Prénom]:[Prénom]]=V11)*(TableauDatas[[Date]:[Date]]=$AC$1)*(TableauDatas[[Perf]:[Perf]]))=0,"",SUMPRODUCT((TableauDatas[[Test]:[Test]]=$AC$2)*(TableauDatas[[Prénom]:[Prénom]]=V11)*(TableauDatas[[Date]:[Date]]=$AC$1)*(TableauDatas[[Perf]:[Perf]])))</f>
        <v/>
      </c>
      <c r="AD11" s="86" t="str" cm="1">
        <f t="array" ref="AD11">IF(SUMPRODUCT((TableauDatas[[Test]:[Test]]=$AD$2)*(TableauDatas[[Prénom]:[Prénom]]=V11)*(TableauDatas[[Date]:[Date]]=$AD$1)*(TableauDatas[[Perf]:[Perf]]))=0,"",SUMPRODUCT((TableauDatas[[Test]:[Test]]=$AD$2)*(TableauDatas[[Prénom]:[Prénom]]=V11)*(TableauDatas[[Date]:[Date]]=$AD$1)*(TableauDatas[[Perf]:[Perf]])))</f>
        <v/>
      </c>
      <c r="AE11" s="86" t="str" cm="1">
        <f t="array" ref="AE11">IF(SUMPRODUCT((TableauDatas[[Test]:[Test]]=$AE$2)*(TableauDatas[[Prénom]:[Prénom]]=V11)*(TableauDatas[[Date]:[Date]]=$AE$1)*(TableauDatas[[Perf]:[Perf]]))=0,"",SUMPRODUCT((TableauDatas[[Test]:[Test]]=$AE$2)*(TableauDatas[[Prénom]:[Prénom]]=V11)*(TableauDatas[[Date]:[Date]]=$AE$1)*(TableauDatas[[Perf]:[Perf]])))</f>
        <v/>
      </c>
      <c r="AF11" s="86" t="str" cm="1">
        <f t="array" ref="AF11">IF(SUMPRODUCT((TableauDatas[[Test]:[Test]]=$AF$2)*(TableauDatas[[Prénom]:[Prénom]]=V11)*(TableauDatas[[Date]:[Date]]=$AF$1)*(TableauDatas[[Perf]:[Perf]]))=0,"",SUMPRODUCT((TableauDatas[[Test]:[Test]]=$AF$2)*(TableauDatas[[Prénom]:[Prénom]]=V11)*(TableauDatas[[Date]:[Date]]=$AF$1)*(TableauDatas[[Perf]:[Perf]])))</f>
        <v/>
      </c>
      <c r="AG11" s="86" t="str" cm="1">
        <f t="array" ref="AG11">IF(SUMPRODUCT((TableauDatas[[Test]:[Test]]=$AG$2)*(TableauDatas[[Prénom]:[Prénom]]=V11)*(TableauDatas[[Date]:[Date]]=$AG$1)*(TableauDatas[[Perf]:[Perf]]))=0,"",SUMPRODUCT((TableauDatas[[Test]:[Test]]=$AG$2)*(TableauDatas[[Prénom]:[Prénom]]=V11)*(TableauDatas[[Date]:[Date]]=$AG$1)*(TableauDatas[[Perf]:[Perf]])))</f>
        <v/>
      </c>
      <c r="AH11" s="86" t="str" cm="1">
        <f t="array" ref="AH11">IF(SUMPRODUCT((TableauDatas[[Test]:[Test]]=$AH$2)*(TableauDatas[[Prénom]:[Prénom]]=V11)*(TableauDatas[[Date]:[Date]]=$AH$1)*(TableauDatas[[Perf]:[Perf]]))=0,"",SUMPRODUCT((TableauDatas[[Test]:[Test]]=$AH$2)*(TableauDatas[[Prénom]:[Prénom]]=V11)*(TableauDatas[[Date]:[Date]]=$AH$1)*(TableauDatas[[Perf]:[Perf]])))</f>
        <v/>
      </c>
      <c r="AI11" s="86" t="str" cm="1">
        <f t="array" ref="AI11">IF(SUMPRODUCT((TableauDatas[[Test]:[Test]]=$AI$2)*(TableauDatas[[Prénom]:[Prénom]]=V11)*(TableauDatas[[Date]:[Date]]=$AI$1)*(TableauDatas[[Perf]:[Perf]]))=0,"",SUMPRODUCT((TableauDatas[[Test]:[Test]]=$AI$2)*(TableauDatas[[Prénom]:[Prénom]]=V11)*(TableauDatas[[Date]:[Date]]=$AI$1)*(TableauDatas[[Perf]:[Perf]])))</f>
        <v/>
      </c>
      <c r="AJ11" s="86" t="str" cm="1">
        <f t="array" ref="AJ11">IF(SUMPRODUCT((TableauDatas[[Test]:[Test]]=$AJ$2)*(TableauDatas[[Prénom]:[Prénom]]=V11)*(TableauDatas[[Date]:[Date]]=$AJ$1)*(TableauDatas[[Perf]:[Perf]]))=0,"",SUMPRODUCT((TableauDatas[[Test]:[Test]]=$AJ$2)*(TableauDatas[[Prénom]:[Prénom]]=V11)*(TableauDatas[[Date]:[Date]]=$AJ$1)*(TableauDatas[[Perf]:[Perf]])))</f>
        <v/>
      </c>
      <c r="AK11" s="87" t="str" cm="1">
        <f t="array" ref="AK11">IF(SUMPRODUCT((TableauDatas[[Test]:[Test]]=$AK$2)*(TableauDatas[[Prénom]:[Prénom]]=V11)*(TableauDatas[[Date]:[Date]]=$AK$1)*(TableauDatas[[Perf]:[Perf]]))=0,"",SUMPRODUCT((TableauDatas[[Test]:[Test]]=$AK$2)*(TableauDatas[[Prénom]:[Prénom]]=V11)*(TableauDatas[[Date]:[Date]]=$AK$1)*(TableauDatas[[Perf]:[Perf]])))</f>
        <v/>
      </c>
      <c r="AL11" s="18"/>
      <c r="AM11" s="117" t="str" cm="1">
        <f t="array" ref="AM11">IF(SUMPRODUCT((TableauDatas[[Test]:[Test]]=$AM$2)*(TableauDatas[[Prénom]:[Prénom]]=V11)*(TableauDatas[[Date]:[Date]]=$AM$1)*(TableauDatas[[Perf]:[Perf]]))=0,"",SUMPRODUCT((TableauDatas[[Test]:[Test]]=$AM$2)*(TableauDatas[[Prénom]:[Prénom]]=V11)*(TableauDatas[[Date]:[Date]]=$AM$1)*(TableauDatas[[Perf]:[Perf]])))</f>
        <v/>
      </c>
      <c r="AN11" s="120" t="str" cm="1">
        <f t="array" ref="AN11">IF(SUMPRODUCT((TableauDatas[[Test]:[Test]]=$AM$2)*(TableauDatas[[Prénom]:[Prénom]]=V11)*(TableauDatas[[Date]:[Date]]=$AN$1)*(TableauDatas[[Perf]:[Perf]]))=0,"",SUMPRODUCT((TableauDatas[[Test]:[Test]]=$AM$2)*(TableauDatas[[Prénom]:[Prénom]]=V11)*(TableauDatas[[Date]:[Date]]=$AN$1)*(TableauDatas[[Perf]:[Perf]])))</f>
        <v/>
      </c>
      <c r="AO11" s="118" t="str" cm="1">
        <f t="array" ref="AO11">IF(SUMPRODUCT((TableauDatas[[Test]:[Test]]=$AO$2)*(TableauDatas[[Prénom]:[Prénom]]=V11)*(TableauDatas[[Date]:[Date]]=$AO$1)*(TableauDatas[[Perf]:[Perf]]))=0,"",SUMPRODUCT((TableauDatas[[Test]:[Test]]=$AO$2)*(TableauDatas[[Prénom]:[Prénom]]=V11)*(TableauDatas[[Date]:[Date]]=$AO$1)*(TableauDatas[[Perf]:[Perf]])))</f>
        <v/>
      </c>
      <c r="AP11" s="118" t="str" cm="1">
        <f t="array" ref="AP11">IF(SUMPRODUCT((TableauDatas[[Test]:[Test]]=$AO$2)*(TableauDatas[[Prénom]:[Prénom]]=V11)*(TableauDatas[[Date]:[Date]]=$AP$1)*(TableauDatas[[Perf]:[Perf]]))=0,"",SUMPRODUCT((TableauDatas[[Test]:[Test]]=$AO$2)*(TableauDatas[[Prénom]:[Prénom]]=V11)*(TableauDatas[[Date]:[Date]]=$AP$1)*(TableauDatas[[Perf]:[Perf]])))</f>
        <v/>
      </c>
      <c r="AQ11" s="118" t="str" cm="1">
        <f t="array" ref="AQ11">IF(SUMPRODUCT((TableauDatas[[Test]:[Test]]=$AQ$2)*(TableauDatas[[Prénom]:[Prénom]]=V11)*(TableauDatas[[Date]:[Date]]=$AQ$1)*(TableauDatas[[Perf]:[Perf]]))=0,"",SUMPRODUCT((TableauDatas[[Test]:[Test]]=$AQ$2)*(TableauDatas[[Prénom]:[Prénom]]=V11)*(TableauDatas[[Date]:[Date]]=$AQ$1)*(TableauDatas[[Perf]:[Perf]])))</f>
        <v/>
      </c>
      <c r="AR11" s="118" t="str" cm="1">
        <f t="array" ref="AR11">IF(SUMPRODUCT((TableauDatas[[Test]:[Test]]=$AQ$2)*(TableauDatas[[Prénom]:[Prénom]]=V11)*(TableauDatas[[Date]:[Date]]=$AR$1)*(TableauDatas[[Perf]:[Perf]]))=0,"",SUMPRODUCT((TableauDatas[[Test]:[Test]]=$AQ$2)*(TableauDatas[[Prénom]:[Prénom]]=V11)*(TableauDatas[[Date]:[Date]]=$AR$1)*(TableauDatas[[Perf]:[Perf]])))</f>
        <v/>
      </c>
      <c r="AS11" s="118" t="str" cm="1">
        <f t="array" ref="AS11">IF(SUMPRODUCT((TableauDatas[[Test]:[Test]]=$AS$2)*(TableauDatas[[Prénom]:[Prénom]]=V11)*(TableauDatas[[Date]:[Date]]=$AS$1)*(TableauDatas[[Perf]:[Perf]]))=0,"",SUMPRODUCT((TableauDatas[[Test]:[Test]]=$AS$2)*(TableauDatas[[Prénom]:[Prénom]]=V11)*(TableauDatas[[Date]:[Date]]=$AS$1)*(TableauDatas[[Perf]:[Perf]])))</f>
        <v/>
      </c>
      <c r="AT11" s="118" t="str" cm="1">
        <f t="array" ref="AT11">IF(SUMPRODUCT((TableauDatas[[Test]:[Test]]=$AS$2)*(TableauDatas[[Prénom]:[Prénom]]=V11)*(TableauDatas[[Date]:[Date]]=$AT$1)*(TableauDatas[[Perf]:[Perf]]))=0,"",SUMPRODUCT((TableauDatas[[Test]:[Test]]=$AS$2)*(TableauDatas[[Prénom]:[Prénom]]=V11)*(TableauDatas[[Date]:[Date]]=$AT$1)*(TableauDatas[[Perf]:[Perf]])))</f>
        <v/>
      </c>
      <c r="AU11" s="118" t="str" cm="1">
        <f t="array" ref="AU11">IF(SUMPRODUCT((TableauDatas[[Test]:[Test]]=$AU$2)*(TableauDatas[[Prénom]:[Prénom]]=V11)*(TableauDatas[[Date]:[Date]]=$AU$1)*(TableauDatas[[Perf]:[Perf]]))=0,"",SUMPRODUCT((TableauDatas[[Test]:[Test]]=$AU$2)*(TableauDatas[[Prénom]:[Prénom]]=V11)*(TableauDatas[[Date]:[Date]]=$AU$1)*(TableauDatas[[Perf]:[Perf]])))</f>
        <v/>
      </c>
      <c r="AV11" s="118" t="str" cm="1">
        <f t="array" ref="AV11">IF(SUMPRODUCT((TableauDatas[[Test]:[Test]]=$AU$2)*(TableauDatas[[Prénom]:[Prénom]]=V11)*(TableauDatas[[Date]:[Date]]=$AV$1)*(TableauDatas[[Perf]:[Perf]]))=0,"",SUMPRODUCT((TableauDatas[[Test]:[Test]]=$AU$2)*(TableauDatas[[Prénom]:[Prénom]]=V11)*(TableauDatas[[Date]:[Date]]=$AV$1)*(TableauDatas[[Perf]:[Perf]])))</f>
        <v/>
      </c>
      <c r="AW11" s="118" t="str" cm="1">
        <f t="array" ref="AW11">IF(SUMPRODUCT((TableauDatas[[Test]:[Test]]=$AW$2)*(TableauDatas[[Prénom]:[Prénom]]=V11)*(TableauDatas[[Date]:[Date]]=$AW$1)*(TableauDatas[[Perf]:[Perf]]))=0,"",SUMPRODUCT((TableauDatas[[Test]:[Test]]=$AW$2)*(TableauDatas[[Prénom]:[Prénom]]=V11)*(TableauDatas[[Date]:[Date]]=$AW$1)*(TableauDatas[[Perf]:[Perf]])))</f>
        <v/>
      </c>
      <c r="AX11" s="118" t="str" cm="1">
        <f t="array" ref="AX11">IF(SUMPRODUCT((TableauDatas[[Test]:[Test]]=$AW$2)*(TableauDatas[[Prénom]:[Prénom]]=V11)*(TableauDatas[[Date]:[Date]]=$AX$1)*(TableauDatas[[Perf]:[Perf]]))=0,"",SUMPRODUCT((TableauDatas[[Test]:[Test]]=$AW$2)*(TableauDatas[[Prénom]:[Prénom]]=V11)*(TableauDatas[[Date]:[Date]]=$AX$1)*(TableauDatas[[Perf]:[Perf]])))</f>
        <v/>
      </c>
      <c r="AY11" s="118" t="str" cm="1">
        <f t="array" ref="AY11">IF(SUMPRODUCT((TableauDatas[[Test]:[Test]]=$AY$2)*(TableauDatas[[Prénom]:[Prénom]]=V11)*(TableauDatas[[Date]:[Date]]=$AY$1)*(TableauDatas[[Perf]:[Perf]]))=0,"",SUMPRODUCT((TableauDatas[[Test]:[Test]]=$AY$2)*(TableauDatas[[Prénom]:[Prénom]]=V11)*(TableauDatas[[Date]:[Date]]=$AY$1)*(TableauDatas[[Perf]:[Perf]])))</f>
        <v/>
      </c>
      <c r="AZ11" s="118" t="str" cm="1">
        <f t="array" ref="AZ11">IF(SUMPRODUCT((TableauDatas[[Test]:[Test]]=$AY$2)*(TableauDatas[[Prénom]:[Prénom]]=V11)*(TableauDatas[[Date]:[Date]]=$AZ$1)*(TableauDatas[[Perf]:[Perf]]))=0,"",SUMPRODUCT((TableauDatas[[Test]:[Test]]=$AY$2)*(TableauDatas[[Prénom]:[Prénom]]=V11)*(TableauDatas[[Date]:[Date]]=$AZ$1)*(TableauDatas[[Perf]:[Perf]])))</f>
        <v/>
      </c>
      <c r="BA11" s="118" t="str" cm="1">
        <f t="array" ref="BA11">IF(SUMPRODUCT((TableauDatas[[Test]:[Test]]=$BA$2)*(TableauDatas[[Prénom]:[Prénom]]=V11)*(TableauDatas[[Date]:[Date]]=$BA$1)*(TableauDatas[[Perf]:[Perf]]))=0,"",SUMPRODUCT((TableauDatas[[Test]:[Test]]=$BA$2)*(TableauDatas[[Prénom]:[Prénom]]=V11)*(TableauDatas[[Date]:[Date]]=$BA$1)*(TableauDatas[[Perf]:[Perf]])))</f>
        <v/>
      </c>
      <c r="BB11" s="118" t="str" cm="1">
        <f t="array" ref="BB11">IF(SUMPRODUCT((TableauDatas[[Test]:[Test]]=$BA$2)*(TableauDatas[[Prénom]:[Prénom]]=V11)*(TableauDatas[[Date]:[Date]]=$BB$1)*(TableauDatas[[Perf]:[Perf]]))=0,"",SUMPRODUCT((TableauDatas[[Test]:[Test]]=$BA$2)*(TableauDatas[[Prénom]:[Prénom]]=V11)*(TableauDatas[[Date]:[Date]]=$BB$1)*(TableauDatas[[Perf]:[Perf]])))</f>
        <v/>
      </c>
      <c r="BC11" s="118" t="str" cm="1">
        <f t="array" ref="BC11">IF(SUMPRODUCT((TableauDatas[[Test]:[Test]]=$BC$2)*(TableauDatas[[Prénom]:[Prénom]]=V11)*(TableauDatas[[Date]:[Date]]=$BC$1)*(TableauDatas[[Perf]:[Perf]]))=0,"",SUMPRODUCT((TableauDatas[[Test]:[Test]]=$BC$2)*(TableauDatas[[Prénom]:[Prénom]]=V11)*(TableauDatas[[Date]:[Date]]=$BC$1)*(TableauDatas[[Perf]:[Perf]])))</f>
        <v/>
      </c>
      <c r="BD11" s="121" t="str" cm="1">
        <f t="array" ref="BD11">IF(SUMPRODUCT((TableauDatas[[Test]:[Test]]=$BC$2)*(TableauDatas[[Prénom]:[Prénom]]=V11)*(TableauDatas[[Date]:[Date]]=$BD$1)*(TableauDatas[[Perf]:[Perf]]))=0,"",SUMPRODUCT((TableauDatas[[Test]:[Test]]=$BC$2)*(TableauDatas[[Prénom]:[Prénom]]=V11)*(TableauDatas[[Date]:[Date]]=$BD$1)*(TableauDatas[[Perf]:[Perf]])))</f>
        <v/>
      </c>
      <c r="BE11" s="118" t="str" cm="1">
        <f t="array" ref="BE11">IF(SUMPRODUCT((TableauDatas[[Test]:[Test]]=$BE$2)*(TableauDatas[[Prénom]:[Prénom]]=V11)*(TableauDatas[[Date]:[Date]]=$BE$1)*(TableauDatas[[Perf]:[Perf]]))=0,"",SUMPRODUCT((TableauDatas[[Test]:[Test]]=$BE$2)*(TableauDatas[[Prénom]:[Prénom]]=V11)*(TableauDatas[[Date]:[Date]]=$BE$1)*(TableauDatas[[Perf]:[Perf]])))</f>
        <v/>
      </c>
      <c r="BF11" s="118" t="str" cm="1">
        <f t="array" ref="BF11">IF(SUMPRODUCT((TableauDatas[[Test]:[Test]]=$BE$2)*(TableauDatas[[Prénom]:[Prénom]]=V11)*(TableauDatas[[Date]:[Date]]=$BF$1)*(TableauDatas[[Perf]:[Perf]]))=0,"",SUMPRODUCT((TableauDatas[[Test]:[Test]]=$BE$2)*(TableauDatas[[Prénom]:[Prénom]]=V11)*(TableauDatas[[Date]:[Date]]=$BF$1)*(TableauDatas[[Perf]:[Perf]])))</f>
        <v/>
      </c>
      <c r="BG11" s="118" t="str" cm="1">
        <f t="array" ref="BG11">IF(SUMPRODUCT((TableauDatas[[Test]:[Test]]=$BG$2)*(TableauDatas[[Prénom]:[Prénom]]=V11)*(TableauDatas[[Date]:[Date]]=$BG$1)*(TableauDatas[[Perf]:[Perf]]))=0,"",SUMPRODUCT((TableauDatas[[Test]:[Test]]=$BG$2)*(TableauDatas[[Prénom]:[Prénom]]=V11)*(TableauDatas[[Date]:[Date]]=$BG$1)*(TableauDatas[[Perf]:[Perf]])))</f>
        <v/>
      </c>
      <c r="BH11" s="118" t="str" cm="1">
        <f t="array" ref="BH11">IF(SUMPRODUCT((TableauDatas[[Test]:[Test]]=$BG$2)*(TableauDatas[[Prénom]:[Prénom]]=V11)*(TableauDatas[[Date]:[Date]]=$BH$1)*(TableauDatas[[Perf]:[Perf]]))=0,"",SUMPRODUCT((TableauDatas[[Test]:[Test]]=$BG$2)*(TableauDatas[[Prénom]:[Prénom]]=V11)*(TableauDatas[[Date]:[Date]]=$BH$1)*(TableauDatas[[Perf]:[Perf]])))</f>
        <v/>
      </c>
      <c r="BI11" s="118" t="str" cm="1">
        <f t="array" ref="BI11">IF(SUMPRODUCT((TableauDatas[[Test]:[Test]]=$BI$2)*(TableauDatas[[Prénom]:[Prénom]]=V11)*(TableauDatas[[Date]:[Date]]=$BI$1)*(TableauDatas[[Perf]:[Perf]]))=0,"",SUMPRODUCT((TableauDatas[[Test]:[Test]]=$BI$2)*(TableauDatas[[Prénom]:[Prénom]]=V11)*(TableauDatas[[Date]:[Date]]=$BI$1)*(TableauDatas[[Perf]:[Perf]])))</f>
        <v/>
      </c>
      <c r="BJ11" s="118" t="str" cm="1">
        <f t="array" ref="BJ11">IF(SUMPRODUCT((TableauDatas[[Test]:[Test]]=$BI$2)*(TableauDatas[[Prénom]:[Prénom]]=V11)*(TableauDatas[[Date]:[Date]]=$BJ$1)*(TableauDatas[[Perf]:[Perf]]))=0,"",SUMPRODUCT((TableauDatas[[Test]:[Test]]=$BI$2)*(TableauDatas[[Prénom]:[Prénom]]=V11)*(TableauDatas[[Date]:[Date]]=$BJ$1)*(TableauDatas[[Perf]:[Perf]])))</f>
        <v/>
      </c>
      <c r="BK11" s="118" t="str" cm="1">
        <f t="array" ref="BK11">IF(SUMPRODUCT((TableauDatas[[Test]:[Test]]=$BK$2)*(TableauDatas[[Prénom]:[Prénom]]=V11)*(TableauDatas[[Date]:[Date]]=$BK$1)*(TableauDatas[[Perf]:[Perf]]))=0,"",SUMPRODUCT((TableauDatas[[Test]:[Test]]=$BK$2)*(TableauDatas[[Prénom]:[Prénom]]=V11)*(TableauDatas[[Date]:[Date]]=$BK$1)*(TableauDatas[[Perf]:[Perf]])))</f>
        <v/>
      </c>
      <c r="BL11" s="118" t="str" cm="1">
        <f t="array" ref="BL11">IF(SUMPRODUCT((TableauDatas[[Test]:[Test]]=$BK$2)*(TableauDatas[[Prénom]:[Prénom]]=V11)*(TableauDatas[[Date]:[Date]]=$BL$1)*(TableauDatas[[Perf]:[Perf]]))=0,"",SUMPRODUCT((TableauDatas[[Test]:[Test]]=$BK$2)*(TableauDatas[[Prénom]:[Prénom]]=V11)*(TableauDatas[[Date]:[Date]]=$BL$1)*(TableauDatas[[Perf]:[Perf]])))</f>
        <v/>
      </c>
      <c r="BM11" s="118" t="str" cm="1">
        <f t="array" ref="BM11">IF(SUMPRODUCT((TableauDatas[[Test]:[Test]]=$BM$2)*(TableauDatas[[Prénom]:[Prénom]]=V11)*(TableauDatas[[Date]:[Date]]=$BM$1)*(TableauDatas[[Perf]:[Perf]]))=0,"",SUMPRODUCT((TableauDatas[[Test]:[Test]]=$BM$2)*(TableauDatas[[Prénom]:[Prénom]]=V11)*(TableauDatas[[Date]:[Date]]=$BM$1)*(TableauDatas[[Perf]:[Perf]])))</f>
        <v/>
      </c>
      <c r="BN11" s="118" t="str" cm="1">
        <f t="array" ref="BN11">IF(SUMPRODUCT((TableauDatas[[Test]:[Test]]=$BM$2)*(TableauDatas[[Prénom]:[Prénom]]=V11)*(TableauDatas[[Date]:[Date]]=$BN$1)*(TableauDatas[[Perf]:[Perf]]))=0,"",SUMPRODUCT((TableauDatas[[Test]:[Test]]=$BM$2)*(TableauDatas[[Prénom]:[Prénom]]=V11)*(TableauDatas[[Date]:[Date]]=$BN$1)*(TableauDatas[[Perf]:[Perf]])))</f>
        <v/>
      </c>
      <c r="BO11" s="118" t="str" cm="1">
        <f t="array" ref="BO11">IF(SUMPRODUCT((TableauDatas[[Test]:[Test]]=$BO$2)*(TableauDatas[[Prénom]:[Prénom]]=V11)*(TableauDatas[[Date]:[Date]]=$BO$1)*(TableauDatas[[Perf]:[Perf]]))=0,"",SUMPRODUCT((TableauDatas[[Test]:[Test]]=$BO$2)*(TableauDatas[[Prénom]:[Prénom]]=V11)*(TableauDatas[[Date]:[Date]]=$BO$1)*(TableauDatas[[Perf]:[Perf]])))</f>
        <v/>
      </c>
      <c r="BP11" s="119" t="str" cm="1">
        <f t="array" ref="BP11">IF(SUMPRODUCT((TableauDatas[[Test]:[Test]]=$BO$2)*(TableauDatas[[Prénom]:[Prénom]]=V11)*(TableauDatas[[Date]:[Date]]=$BP$1)*(TableauDatas[[Perf]:[Perf]]))=0,"",SUMPRODUCT((TableauDatas[[Test]:[Test]]=$BO$2)*(TableauDatas[[Prénom]:[Prénom]]=V11)*(TableauDatas[[Date]:[Date]]=$BP$1)*(TableauDatas[[Perf]:[Perf]])))</f>
        <v/>
      </c>
      <c r="BQ11" s="18"/>
      <c r="BR11" s="18"/>
      <c r="BS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DA11" s="97"/>
      <c r="DB11" s="97"/>
      <c r="DC11" s="97"/>
      <c r="DD11" s="97"/>
      <c r="DE11" s="97"/>
      <c r="DF11" s="97"/>
      <c r="DG11" s="97"/>
      <c r="DH11" s="97"/>
      <c r="DI11" s="97"/>
      <c r="DJ11" s="97"/>
      <c r="DK11" s="97"/>
      <c r="DL11" s="97"/>
      <c r="DM11" s="97"/>
      <c r="DN11" s="97"/>
      <c r="DO11" s="97"/>
      <c r="DQ11" s="97"/>
      <c r="DR11" s="97"/>
      <c r="DS11" s="97"/>
      <c r="DT11" s="97"/>
      <c r="DU11" s="97"/>
      <c r="DV11" s="97"/>
      <c r="DW11" s="97"/>
      <c r="DX11" s="97"/>
      <c r="DY11" s="97"/>
      <c r="DZ11" s="97"/>
      <c r="EA11" s="97"/>
      <c r="EB11" s="97"/>
      <c r="EC11" s="97"/>
      <c r="ED11" s="97"/>
      <c r="EE11" s="97"/>
      <c r="EG11" s="97"/>
      <c r="EH11" s="97"/>
      <c r="EI11" s="97"/>
      <c r="EJ11" s="97"/>
      <c r="EK11" s="97"/>
      <c r="EL11" s="97"/>
      <c r="EM11" s="97"/>
      <c r="EN11" s="97"/>
      <c r="EO11" s="97"/>
      <c r="EP11" s="97"/>
      <c r="EQ11" s="97"/>
      <c r="ER11" s="97"/>
      <c r="ES11" s="97"/>
      <c r="ET11" s="97"/>
      <c r="EU11" s="97"/>
      <c r="EW11" s="97"/>
      <c r="EX11" s="97"/>
      <c r="EY11" s="97"/>
      <c r="EZ11" s="97"/>
      <c r="FA11" s="97"/>
      <c r="FB11" s="97"/>
      <c r="FC11" s="97"/>
      <c r="FD11" s="97"/>
      <c r="FE11" s="97"/>
      <c r="FF11" s="97"/>
      <c r="FG11" s="97"/>
      <c r="FH11" s="97"/>
      <c r="FI11" s="97"/>
      <c r="FJ11" s="97"/>
      <c r="FK11" s="97"/>
      <c r="FM11" s="97"/>
      <c r="FN11" s="97"/>
      <c r="FO11" s="97"/>
      <c r="FP11" s="97"/>
      <c r="FQ11" s="97"/>
      <c r="FR11" s="97"/>
      <c r="FS11" s="97"/>
      <c r="FT11" s="97"/>
      <c r="FU11" s="97"/>
      <c r="FV11" s="97"/>
      <c r="FW11" s="97"/>
      <c r="FX11" s="97"/>
      <c r="FY11" s="97"/>
      <c r="FZ11" s="97"/>
      <c r="GA11" s="97"/>
      <c r="GC11" s="97"/>
      <c r="GD11" s="97"/>
      <c r="GE11" s="97"/>
      <c r="GF11" s="97"/>
      <c r="GG11" s="97"/>
      <c r="GH11" s="97"/>
      <c r="GI11" s="97"/>
      <c r="GJ11" s="97"/>
      <c r="GK11" s="97"/>
      <c r="GL11" s="97"/>
      <c r="GM11" s="97"/>
      <c r="GN11" s="97"/>
      <c r="GO11" s="97"/>
      <c r="GP11" s="97"/>
      <c r="GQ11" s="97"/>
      <c r="GS11" s="97"/>
      <c r="GT11" s="97"/>
      <c r="GU11" s="97"/>
      <c r="GV11" s="97"/>
      <c r="GW11" s="97"/>
      <c r="GX11" s="97"/>
      <c r="GY11" s="97"/>
      <c r="GZ11" s="97"/>
      <c r="HA11" s="97"/>
      <c r="HB11" s="97"/>
      <c r="HC11" s="97"/>
      <c r="HD11" s="97"/>
      <c r="HE11" s="97"/>
      <c r="HF11" s="97"/>
      <c r="HG11" s="97"/>
      <c r="HI11" s="97"/>
      <c r="HJ11" s="97"/>
      <c r="HK11" s="97"/>
      <c r="HL11" s="97"/>
      <c r="HM11" s="97"/>
      <c r="HN11" s="97"/>
      <c r="HO11" s="97"/>
      <c r="HP11" s="97"/>
      <c r="HQ11" s="97"/>
      <c r="HR11" s="97"/>
      <c r="HS11" s="97"/>
      <c r="HT11" s="97"/>
      <c r="HU11" s="97"/>
      <c r="HV11" s="97"/>
      <c r="HW11" s="97"/>
      <c r="HY11" s="97"/>
      <c r="HZ11" s="97"/>
      <c r="IA11" s="97"/>
      <c r="IB11" s="97"/>
      <c r="IC11" s="97"/>
      <c r="ID11" s="97"/>
      <c r="IE11" s="97"/>
      <c r="IF11" s="97"/>
      <c r="IG11" s="97"/>
      <c r="IH11" s="97"/>
      <c r="II11" s="97"/>
      <c r="IJ11" s="97"/>
      <c r="IK11" s="97"/>
      <c r="IL11" s="97"/>
      <c r="IM11" s="97"/>
      <c r="IO11" s="97"/>
      <c r="IP11" s="97"/>
      <c r="IQ11" s="97"/>
      <c r="IR11" s="97"/>
      <c r="IS11" s="97"/>
      <c r="IT11" s="97"/>
      <c r="IU11" s="24"/>
      <c r="IV11" s="24"/>
      <c r="IW11" s="24"/>
      <c r="IX11" s="24"/>
      <c r="IY11" s="24"/>
      <c r="IZ11" s="24"/>
      <c r="JA11" s="24"/>
      <c r="JB11" s="24"/>
      <c r="JC11" s="24"/>
    </row>
    <row r="12" spans="1:263" x14ac:dyDescent="0.25">
      <c r="A12" s="155"/>
      <c r="B12" s="21"/>
      <c r="C12" s="55" t="str" cm="1">
        <f t="array" ref="C12">IF(SUMPRODUCT((TableauDatas[[Prénom]:[Prénom]]=$C$4)*(TableauDatas[[Date]:[Date]]=B12)*(TableauDatas[[Test]:[Test]]=A12)*(TableauDatas[[Perf]:[Perf]]))=0,"",SUMPRODUCT((TableauDatas[[Prénom]:[Prénom]]=$C$4)*(TableauDatas[[Date]:[Date]]=B12)*(TableauDatas[[Test]:[Test]]=A12)*(TableauDatas[[Perf]:[Perf]])))</f>
        <v/>
      </c>
      <c r="D12" s="54" t="str">
        <f>IFERROR(W30,"")</f>
        <v/>
      </c>
      <c r="E12" s="59" t="str">
        <f>IFERROR(W31,"")</f>
        <v/>
      </c>
      <c r="F12" s="58" t="str">
        <f>IFERROR(W32,"")</f>
        <v/>
      </c>
      <c r="G12" s="162" t="str">
        <f>IFERROR(W33,"")</f>
        <v/>
      </c>
      <c r="H12" s="40" t="str">
        <f>IFERROR(W28,"")</f>
        <v/>
      </c>
      <c r="I12" s="27"/>
      <c r="J12" s="28"/>
      <c r="N12" s="66"/>
      <c r="O12" s="68"/>
      <c r="P12" s="69"/>
      <c r="Q12" s="69"/>
      <c r="R12" s="69"/>
      <c r="S12" s="70"/>
      <c r="T12" s="49"/>
      <c r="U12" s="103"/>
      <c r="V12" s="89">
        <f t="shared" si="0"/>
        <v>0</v>
      </c>
      <c r="W12" s="86" t="str" cm="1">
        <f t="array" ref="W12">IF(SUMPRODUCT((TableauDatas[[Test]:[Test]]=$W$2)*(TableauDatas[[Prénom]:[Prénom]]=V12)*(TableauDatas[[Date]:[Date]]=$W$1)*(TableauDatas[[Perf]:[Perf]]))=0,"",SUMPRODUCT((TableauDatas[[Test]:[Test]]=$W$2)*(TableauDatas[[Prénom]:[Prénom]]=V12)*(TableauDatas[[Date]:[Date]]=$W$1)*(TableauDatas[[Perf]:[Perf]])))</f>
        <v/>
      </c>
      <c r="X12" s="86" t="str" cm="1">
        <f t="array" ref="X12">IF(SUMPRODUCT((TableauDatas[[Test]:[Test]]=$X$2)*(TableauDatas[[Prénom]:[Prénom]]=V12)*(TableauDatas[[Date]:[Date]]=$X$1)*(TableauDatas[[Perf]:[Perf]]))=0,"",SUMPRODUCT((TableauDatas[[Test]:[Test]]=$X$2)*(TableauDatas[[Prénom]:[Prénom]]=V12)*(TableauDatas[[Date]:[Date]]=$X$1)*(TableauDatas[[Perf]:[Perf]])))</f>
        <v/>
      </c>
      <c r="Y12" s="86" t="str" cm="1">
        <f t="array" ref="Y12">IF(SUMPRODUCT((TableauDatas[[Test]:[Test]]=$Y$2)*(TableauDatas[[Prénom]:[Prénom]]=V12)*(TableauDatas[[Date]:[Date]]=$Y$1)*(TableauDatas[[Perf]:[Perf]]))=0,"",SUMPRODUCT((TableauDatas[[Test]:[Test]]=$Y$2)*(TableauDatas[[Prénom]:[Prénom]]=V12)*(TableauDatas[[Date]:[Date]]=$Y$1)*(TableauDatas[[Perf]:[Perf]])))</f>
        <v/>
      </c>
      <c r="Z12" s="86" t="str" cm="1">
        <f t="array" ref="Z12">IF(SUMPRODUCT((TableauDatas[[Test]:[Test]]=$Z$2)*(TableauDatas[[Prénom]:[Prénom]]=V12)*(TableauDatas[[Date]:[Date]]=$Z$1)*(TableauDatas[[Perf]:[Perf]]))=0,"",SUMPRODUCT((TableauDatas[[Test]:[Test]]=$Z$2)*(TableauDatas[[Prénom]:[Prénom]]=V12)*(TableauDatas[[Date]:[Date]]=$Z$1)*(TableauDatas[[Perf]:[Perf]])))</f>
        <v/>
      </c>
      <c r="AA12" s="86" t="str" cm="1">
        <f t="array" ref="AA12">IF(SUMPRODUCT((TableauDatas[[Test]:[Test]]=$AA$2)*(TableauDatas[[Prénom]:[Prénom]]=V12)*(TableauDatas[[Date]:[Date]]=$AA$1)*(TableauDatas[[Perf]:[Perf]]))=0,"",SUMPRODUCT((TableauDatas[[Test]:[Test]]=$AA$2)*(TableauDatas[[Prénom]:[Prénom]]=V12)*(TableauDatas[[Date]:[Date]]=$AA$1)*(TableauDatas[[Perf]:[Perf]])))</f>
        <v/>
      </c>
      <c r="AB12" s="86" t="str" cm="1">
        <f t="array" ref="AB12">IF(SUMPRODUCT((TableauDatas[[Test]:[Test]]=$AB$2)*(TableauDatas[[Prénom]:[Prénom]]=V12)*(TableauDatas[[Date]:[Date]]=$AB$1)*(TableauDatas[[Perf]:[Perf]]))=0,"",SUMPRODUCT((TableauDatas[[Test]:[Test]]=$AB$2)*(TableauDatas[[Prénom]:[Prénom]]=V12)*(TableauDatas[[Date]:[Date]]=$AB$1)*(TableauDatas[[Perf]:[Perf]])))</f>
        <v/>
      </c>
      <c r="AC12" s="86" t="str" cm="1">
        <f t="array" ref="AC12">IF(SUMPRODUCT((TableauDatas[[Test]:[Test]]=$AC$2)*(TableauDatas[[Prénom]:[Prénom]]=V12)*(TableauDatas[[Date]:[Date]]=$AC$1)*(TableauDatas[[Perf]:[Perf]]))=0,"",SUMPRODUCT((TableauDatas[[Test]:[Test]]=$AC$2)*(TableauDatas[[Prénom]:[Prénom]]=V12)*(TableauDatas[[Date]:[Date]]=$AC$1)*(TableauDatas[[Perf]:[Perf]])))</f>
        <v/>
      </c>
      <c r="AD12" s="86" t="str" cm="1">
        <f t="array" ref="AD12">IF(SUMPRODUCT((TableauDatas[[Test]:[Test]]=$AD$2)*(TableauDatas[[Prénom]:[Prénom]]=V12)*(TableauDatas[[Date]:[Date]]=$AD$1)*(TableauDatas[[Perf]:[Perf]]))=0,"",SUMPRODUCT((TableauDatas[[Test]:[Test]]=$AD$2)*(TableauDatas[[Prénom]:[Prénom]]=V12)*(TableauDatas[[Date]:[Date]]=$AD$1)*(TableauDatas[[Perf]:[Perf]])))</f>
        <v/>
      </c>
      <c r="AE12" s="86" t="str" cm="1">
        <f t="array" ref="AE12">IF(SUMPRODUCT((TableauDatas[[Test]:[Test]]=$AE$2)*(TableauDatas[[Prénom]:[Prénom]]=V12)*(TableauDatas[[Date]:[Date]]=$AE$1)*(TableauDatas[[Perf]:[Perf]]))=0,"",SUMPRODUCT((TableauDatas[[Test]:[Test]]=$AE$2)*(TableauDatas[[Prénom]:[Prénom]]=V12)*(TableauDatas[[Date]:[Date]]=$AE$1)*(TableauDatas[[Perf]:[Perf]])))</f>
        <v/>
      </c>
      <c r="AF12" s="86" t="str" cm="1">
        <f t="array" ref="AF12">IF(SUMPRODUCT((TableauDatas[[Test]:[Test]]=$AF$2)*(TableauDatas[[Prénom]:[Prénom]]=V12)*(TableauDatas[[Date]:[Date]]=$AF$1)*(TableauDatas[[Perf]:[Perf]]))=0,"",SUMPRODUCT((TableauDatas[[Test]:[Test]]=$AF$2)*(TableauDatas[[Prénom]:[Prénom]]=V12)*(TableauDatas[[Date]:[Date]]=$AF$1)*(TableauDatas[[Perf]:[Perf]])))</f>
        <v/>
      </c>
      <c r="AG12" s="86" t="str" cm="1">
        <f t="array" ref="AG12">IF(SUMPRODUCT((TableauDatas[[Test]:[Test]]=$AG$2)*(TableauDatas[[Prénom]:[Prénom]]=V12)*(TableauDatas[[Date]:[Date]]=$AG$1)*(TableauDatas[[Perf]:[Perf]]))=0,"",SUMPRODUCT((TableauDatas[[Test]:[Test]]=$AG$2)*(TableauDatas[[Prénom]:[Prénom]]=V12)*(TableauDatas[[Date]:[Date]]=$AG$1)*(TableauDatas[[Perf]:[Perf]])))</f>
        <v/>
      </c>
      <c r="AH12" s="86" t="str" cm="1">
        <f t="array" ref="AH12">IF(SUMPRODUCT((TableauDatas[[Test]:[Test]]=$AH$2)*(TableauDatas[[Prénom]:[Prénom]]=V12)*(TableauDatas[[Date]:[Date]]=$AH$1)*(TableauDatas[[Perf]:[Perf]]))=0,"",SUMPRODUCT((TableauDatas[[Test]:[Test]]=$AH$2)*(TableauDatas[[Prénom]:[Prénom]]=V12)*(TableauDatas[[Date]:[Date]]=$AH$1)*(TableauDatas[[Perf]:[Perf]])))</f>
        <v/>
      </c>
      <c r="AI12" s="86" t="str" cm="1">
        <f t="array" ref="AI12">IF(SUMPRODUCT((TableauDatas[[Test]:[Test]]=$AI$2)*(TableauDatas[[Prénom]:[Prénom]]=V12)*(TableauDatas[[Date]:[Date]]=$AI$1)*(TableauDatas[[Perf]:[Perf]]))=0,"",SUMPRODUCT((TableauDatas[[Test]:[Test]]=$AI$2)*(TableauDatas[[Prénom]:[Prénom]]=V12)*(TableauDatas[[Date]:[Date]]=$AI$1)*(TableauDatas[[Perf]:[Perf]])))</f>
        <v/>
      </c>
      <c r="AJ12" s="86" t="str" cm="1">
        <f t="array" ref="AJ12">IF(SUMPRODUCT((TableauDatas[[Test]:[Test]]=$AJ$2)*(TableauDatas[[Prénom]:[Prénom]]=V12)*(TableauDatas[[Date]:[Date]]=$AJ$1)*(TableauDatas[[Perf]:[Perf]]))=0,"",SUMPRODUCT((TableauDatas[[Test]:[Test]]=$AJ$2)*(TableauDatas[[Prénom]:[Prénom]]=V12)*(TableauDatas[[Date]:[Date]]=$AJ$1)*(TableauDatas[[Perf]:[Perf]])))</f>
        <v/>
      </c>
      <c r="AK12" s="87" t="str" cm="1">
        <f t="array" ref="AK12">IF(SUMPRODUCT((TableauDatas[[Test]:[Test]]=$AK$2)*(TableauDatas[[Prénom]:[Prénom]]=V12)*(TableauDatas[[Date]:[Date]]=$AK$1)*(TableauDatas[[Perf]:[Perf]]))=0,"",SUMPRODUCT((TableauDatas[[Test]:[Test]]=$AK$2)*(TableauDatas[[Prénom]:[Prénom]]=V12)*(TableauDatas[[Date]:[Date]]=$AK$1)*(TableauDatas[[Perf]:[Perf]])))</f>
        <v/>
      </c>
      <c r="AL12" s="18"/>
      <c r="AM12" s="117" t="str" cm="1">
        <f t="array" ref="AM12">IF(SUMPRODUCT((TableauDatas[[Test]:[Test]]=$AM$2)*(TableauDatas[[Prénom]:[Prénom]]=V12)*(TableauDatas[[Date]:[Date]]=$AM$1)*(TableauDatas[[Perf]:[Perf]]))=0,"",SUMPRODUCT((TableauDatas[[Test]:[Test]]=$AM$2)*(TableauDatas[[Prénom]:[Prénom]]=V12)*(TableauDatas[[Date]:[Date]]=$AM$1)*(TableauDatas[[Perf]:[Perf]])))</f>
        <v/>
      </c>
      <c r="AN12" s="120" t="str" cm="1">
        <f t="array" ref="AN12">IF(SUMPRODUCT((TableauDatas[[Test]:[Test]]=$AM$2)*(TableauDatas[[Prénom]:[Prénom]]=V12)*(TableauDatas[[Date]:[Date]]=$AN$1)*(TableauDatas[[Perf]:[Perf]]))=0,"",SUMPRODUCT((TableauDatas[[Test]:[Test]]=$AM$2)*(TableauDatas[[Prénom]:[Prénom]]=V12)*(TableauDatas[[Date]:[Date]]=$AN$1)*(TableauDatas[[Perf]:[Perf]])))</f>
        <v/>
      </c>
      <c r="AO12" s="118" t="str" cm="1">
        <f t="array" ref="AO12">IF(SUMPRODUCT((TableauDatas[[Test]:[Test]]=$AO$2)*(TableauDatas[[Prénom]:[Prénom]]=V12)*(TableauDatas[[Date]:[Date]]=$AO$1)*(TableauDatas[[Perf]:[Perf]]))=0,"",SUMPRODUCT((TableauDatas[[Test]:[Test]]=$AO$2)*(TableauDatas[[Prénom]:[Prénom]]=V12)*(TableauDatas[[Date]:[Date]]=$AO$1)*(TableauDatas[[Perf]:[Perf]])))</f>
        <v/>
      </c>
      <c r="AP12" s="118" t="str" cm="1">
        <f t="array" ref="AP12">IF(SUMPRODUCT((TableauDatas[[Test]:[Test]]=$AO$2)*(TableauDatas[[Prénom]:[Prénom]]=V12)*(TableauDatas[[Date]:[Date]]=$AP$1)*(TableauDatas[[Perf]:[Perf]]))=0,"",SUMPRODUCT((TableauDatas[[Test]:[Test]]=$AO$2)*(TableauDatas[[Prénom]:[Prénom]]=V12)*(TableauDatas[[Date]:[Date]]=$AP$1)*(TableauDatas[[Perf]:[Perf]])))</f>
        <v/>
      </c>
      <c r="AQ12" s="118" t="str" cm="1">
        <f t="array" ref="AQ12">IF(SUMPRODUCT((TableauDatas[[Test]:[Test]]=$AQ$2)*(TableauDatas[[Prénom]:[Prénom]]=V12)*(TableauDatas[[Date]:[Date]]=$AQ$1)*(TableauDatas[[Perf]:[Perf]]))=0,"",SUMPRODUCT((TableauDatas[[Test]:[Test]]=$AQ$2)*(TableauDatas[[Prénom]:[Prénom]]=V12)*(TableauDatas[[Date]:[Date]]=$AQ$1)*(TableauDatas[[Perf]:[Perf]])))</f>
        <v/>
      </c>
      <c r="AR12" s="118" t="str" cm="1">
        <f t="array" ref="AR12">IF(SUMPRODUCT((TableauDatas[[Test]:[Test]]=$AQ$2)*(TableauDatas[[Prénom]:[Prénom]]=V12)*(TableauDatas[[Date]:[Date]]=$AR$1)*(TableauDatas[[Perf]:[Perf]]))=0,"",SUMPRODUCT((TableauDatas[[Test]:[Test]]=$AQ$2)*(TableauDatas[[Prénom]:[Prénom]]=V12)*(TableauDatas[[Date]:[Date]]=$AR$1)*(TableauDatas[[Perf]:[Perf]])))</f>
        <v/>
      </c>
      <c r="AS12" s="118" t="str" cm="1">
        <f t="array" ref="AS12">IF(SUMPRODUCT((TableauDatas[[Test]:[Test]]=$AS$2)*(TableauDatas[[Prénom]:[Prénom]]=V12)*(TableauDatas[[Date]:[Date]]=$AS$1)*(TableauDatas[[Perf]:[Perf]]))=0,"",SUMPRODUCT((TableauDatas[[Test]:[Test]]=$AS$2)*(TableauDatas[[Prénom]:[Prénom]]=V12)*(TableauDatas[[Date]:[Date]]=$AS$1)*(TableauDatas[[Perf]:[Perf]])))</f>
        <v/>
      </c>
      <c r="AT12" s="118" t="str" cm="1">
        <f t="array" ref="AT12">IF(SUMPRODUCT((TableauDatas[[Test]:[Test]]=$AS$2)*(TableauDatas[[Prénom]:[Prénom]]=V12)*(TableauDatas[[Date]:[Date]]=$AT$1)*(TableauDatas[[Perf]:[Perf]]))=0,"",SUMPRODUCT((TableauDatas[[Test]:[Test]]=$AS$2)*(TableauDatas[[Prénom]:[Prénom]]=V12)*(TableauDatas[[Date]:[Date]]=$AT$1)*(TableauDatas[[Perf]:[Perf]])))</f>
        <v/>
      </c>
      <c r="AU12" s="118" t="str" cm="1">
        <f t="array" ref="AU12">IF(SUMPRODUCT((TableauDatas[[Test]:[Test]]=$AU$2)*(TableauDatas[[Prénom]:[Prénom]]=V12)*(TableauDatas[[Date]:[Date]]=$AU$1)*(TableauDatas[[Perf]:[Perf]]))=0,"",SUMPRODUCT((TableauDatas[[Test]:[Test]]=$AU$2)*(TableauDatas[[Prénom]:[Prénom]]=V12)*(TableauDatas[[Date]:[Date]]=$AU$1)*(TableauDatas[[Perf]:[Perf]])))</f>
        <v/>
      </c>
      <c r="AV12" s="118" t="str" cm="1">
        <f t="array" ref="AV12">IF(SUMPRODUCT((TableauDatas[[Test]:[Test]]=$AU$2)*(TableauDatas[[Prénom]:[Prénom]]=V12)*(TableauDatas[[Date]:[Date]]=$AV$1)*(TableauDatas[[Perf]:[Perf]]))=0,"",SUMPRODUCT((TableauDatas[[Test]:[Test]]=$AU$2)*(TableauDatas[[Prénom]:[Prénom]]=V12)*(TableauDatas[[Date]:[Date]]=$AV$1)*(TableauDatas[[Perf]:[Perf]])))</f>
        <v/>
      </c>
      <c r="AW12" s="118" t="str" cm="1">
        <f t="array" ref="AW12">IF(SUMPRODUCT((TableauDatas[[Test]:[Test]]=$AW$2)*(TableauDatas[[Prénom]:[Prénom]]=V12)*(TableauDatas[[Date]:[Date]]=$AW$1)*(TableauDatas[[Perf]:[Perf]]))=0,"",SUMPRODUCT((TableauDatas[[Test]:[Test]]=$AW$2)*(TableauDatas[[Prénom]:[Prénom]]=V12)*(TableauDatas[[Date]:[Date]]=$AW$1)*(TableauDatas[[Perf]:[Perf]])))</f>
        <v/>
      </c>
      <c r="AX12" s="118" t="str" cm="1">
        <f t="array" ref="AX12">IF(SUMPRODUCT((TableauDatas[[Test]:[Test]]=$AW$2)*(TableauDatas[[Prénom]:[Prénom]]=V12)*(TableauDatas[[Date]:[Date]]=$AX$1)*(TableauDatas[[Perf]:[Perf]]))=0,"",SUMPRODUCT((TableauDatas[[Test]:[Test]]=$AW$2)*(TableauDatas[[Prénom]:[Prénom]]=V12)*(TableauDatas[[Date]:[Date]]=$AX$1)*(TableauDatas[[Perf]:[Perf]])))</f>
        <v/>
      </c>
      <c r="AY12" s="118" t="str" cm="1">
        <f t="array" ref="AY12">IF(SUMPRODUCT((TableauDatas[[Test]:[Test]]=$AY$2)*(TableauDatas[[Prénom]:[Prénom]]=V12)*(TableauDatas[[Date]:[Date]]=$AY$1)*(TableauDatas[[Perf]:[Perf]]))=0,"",SUMPRODUCT((TableauDatas[[Test]:[Test]]=$AY$2)*(TableauDatas[[Prénom]:[Prénom]]=V12)*(TableauDatas[[Date]:[Date]]=$AY$1)*(TableauDatas[[Perf]:[Perf]])))</f>
        <v/>
      </c>
      <c r="AZ12" s="118" t="str" cm="1">
        <f t="array" ref="AZ12">IF(SUMPRODUCT((TableauDatas[[Test]:[Test]]=$AY$2)*(TableauDatas[[Prénom]:[Prénom]]=V12)*(TableauDatas[[Date]:[Date]]=$AZ$1)*(TableauDatas[[Perf]:[Perf]]))=0,"",SUMPRODUCT((TableauDatas[[Test]:[Test]]=$AY$2)*(TableauDatas[[Prénom]:[Prénom]]=V12)*(TableauDatas[[Date]:[Date]]=$AZ$1)*(TableauDatas[[Perf]:[Perf]])))</f>
        <v/>
      </c>
      <c r="BA12" s="118" t="str" cm="1">
        <f t="array" ref="BA12">IF(SUMPRODUCT((TableauDatas[[Test]:[Test]]=$BA$2)*(TableauDatas[[Prénom]:[Prénom]]=V12)*(TableauDatas[[Date]:[Date]]=$BA$1)*(TableauDatas[[Perf]:[Perf]]))=0,"",SUMPRODUCT((TableauDatas[[Test]:[Test]]=$BA$2)*(TableauDatas[[Prénom]:[Prénom]]=V12)*(TableauDatas[[Date]:[Date]]=$BA$1)*(TableauDatas[[Perf]:[Perf]])))</f>
        <v/>
      </c>
      <c r="BB12" s="118" t="str" cm="1">
        <f t="array" ref="BB12">IF(SUMPRODUCT((TableauDatas[[Test]:[Test]]=$BA$2)*(TableauDatas[[Prénom]:[Prénom]]=V12)*(TableauDatas[[Date]:[Date]]=$BB$1)*(TableauDatas[[Perf]:[Perf]]))=0,"",SUMPRODUCT((TableauDatas[[Test]:[Test]]=$BA$2)*(TableauDatas[[Prénom]:[Prénom]]=V12)*(TableauDatas[[Date]:[Date]]=$BB$1)*(TableauDatas[[Perf]:[Perf]])))</f>
        <v/>
      </c>
      <c r="BC12" s="118" t="str" cm="1">
        <f t="array" ref="BC12">IF(SUMPRODUCT((TableauDatas[[Test]:[Test]]=$BC$2)*(TableauDatas[[Prénom]:[Prénom]]=V12)*(TableauDatas[[Date]:[Date]]=$BC$1)*(TableauDatas[[Perf]:[Perf]]))=0,"",SUMPRODUCT((TableauDatas[[Test]:[Test]]=$BC$2)*(TableauDatas[[Prénom]:[Prénom]]=V12)*(TableauDatas[[Date]:[Date]]=$BC$1)*(TableauDatas[[Perf]:[Perf]])))</f>
        <v/>
      </c>
      <c r="BD12" s="121" t="str" cm="1">
        <f t="array" ref="BD12">IF(SUMPRODUCT((TableauDatas[[Test]:[Test]]=$BC$2)*(TableauDatas[[Prénom]:[Prénom]]=V12)*(TableauDatas[[Date]:[Date]]=$BD$1)*(TableauDatas[[Perf]:[Perf]]))=0,"",SUMPRODUCT((TableauDatas[[Test]:[Test]]=$BC$2)*(TableauDatas[[Prénom]:[Prénom]]=V12)*(TableauDatas[[Date]:[Date]]=$BD$1)*(TableauDatas[[Perf]:[Perf]])))</f>
        <v/>
      </c>
      <c r="BE12" s="118" t="str" cm="1">
        <f t="array" ref="BE12">IF(SUMPRODUCT((TableauDatas[[Test]:[Test]]=$BE$2)*(TableauDatas[[Prénom]:[Prénom]]=V12)*(TableauDatas[[Date]:[Date]]=$BE$1)*(TableauDatas[[Perf]:[Perf]]))=0,"",SUMPRODUCT((TableauDatas[[Test]:[Test]]=$BE$2)*(TableauDatas[[Prénom]:[Prénom]]=V12)*(TableauDatas[[Date]:[Date]]=$BE$1)*(TableauDatas[[Perf]:[Perf]])))</f>
        <v/>
      </c>
      <c r="BF12" s="118" t="str" cm="1">
        <f t="array" ref="BF12">IF(SUMPRODUCT((TableauDatas[[Test]:[Test]]=$BE$2)*(TableauDatas[[Prénom]:[Prénom]]=V12)*(TableauDatas[[Date]:[Date]]=$BF$1)*(TableauDatas[[Perf]:[Perf]]))=0,"",SUMPRODUCT((TableauDatas[[Test]:[Test]]=$BE$2)*(TableauDatas[[Prénom]:[Prénom]]=V12)*(TableauDatas[[Date]:[Date]]=$BF$1)*(TableauDatas[[Perf]:[Perf]])))</f>
        <v/>
      </c>
      <c r="BG12" s="118" t="str" cm="1">
        <f t="array" ref="BG12">IF(SUMPRODUCT((TableauDatas[[Test]:[Test]]=$BG$2)*(TableauDatas[[Prénom]:[Prénom]]=V12)*(TableauDatas[[Date]:[Date]]=$BG$1)*(TableauDatas[[Perf]:[Perf]]))=0,"",SUMPRODUCT((TableauDatas[[Test]:[Test]]=$BG$2)*(TableauDatas[[Prénom]:[Prénom]]=V12)*(TableauDatas[[Date]:[Date]]=$BG$1)*(TableauDatas[[Perf]:[Perf]])))</f>
        <v/>
      </c>
      <c r="BH12" s="118" t="str" cm="1">
        <f t="array" ref="BH12">IF(SUMPRODUCT((TableauDatas[[Test]:[Test]]=$BG$2)*(TableauDatas[[Prénom]:[Prénom]]=V12)*(TableauDatas[[Date]:[Date]]=$BH$1)*(TableauDatas[[Perf]:[Perf]]))=0,"",SUMPRODUCT((TableauDatas[[Test]:[Test]]=$BG$2)*(TableauDatas[[Prénom]:[Prénom]]=V12)*(TableauDatas[[Date]:[Date]]=$BH$1)*(TableauDatas[[Perf]:[Perf]])))</f>
        <v/>
      </c>
      <c r="BI12" s="118" t="str" cm="1">
        <f t="array" ref="BI12">IF(SUMPRODUCT((TableauDatas[[Test]:[Test]]=$BI$2)*(TableauDatas[[Prénom]:[Prénom]]=V12)*(TableauDatas[[Date]:[Date]]=$BI$1)*(TableauDatas[[Perf]:[Perf]]))=0,"",SUMPRODUCT((TableauDatas[[Test]:[Test]]=$BI$2)*(TableauDatas[[Prénom]:[Prénom]]=V12)*(TableauDatas[[Date]:[Date]]=$BI$1)*(TableauDatas[[Perf]:[Perf]])))</f>
        <v/>
      </c>
      <c r="BJ12" s="118" t="str" cm="1">
        <f t="array" ref="BJ12">IF(SUMPRODUCT((TableauDatas[[Test]:[Test]]=$BI$2)*(TableauDatas[[Prénom]:[Prénom]]=V12)*(TableauDatas[[Date]:[Date]]=$BJ$1)*(TableauDatas[[Perf]:[Perf]]))=0,"",SUMPRODUCT((TableauDatas[[Test]:[Test]]=$BI$2)*(TableauDatas[[Prénom]:[Prénom]]=V12)*(TableauDatas[[Date]:[Date]]=$BJ$1)*(TableauDatas[[Perf]:[Perf]])))</f>
        <v/>
      </c>
      <c r="BK12" s="118" t="str" cm="1">
        <f t="array" ref="BK12">IF(SUMPRODUCT((TableauDatas[[Test]:[Test]]=$BK$2)*(TableauDatas[[Prénom]:[Prénom]]=V12)*(TableauDatas[[Date]:[Date]]=$BK$1)*(TableauDatas[[Perf]:[Perf]]))=0,"",SUMPRODUCT((TableauDatas[[Test]:[Test]]=$BK$2)*(TableauDatas[[Prénom]:[Prénom]]=V12)*(TableauDatas[[Date]:[Date]]=$BK$1)*(TableauDatas[[Perf]:[Perf]])))</f>
        <v/>
      </c>
      <c r="BL12" s="118" t="str" cm="1">
        <f t="array" ref="BL12">IF(SUMPRODUCT((TableauDatas[[Test]:[Test]]=$BK$2)*(TableauDatas[[Prénom]:[Prénom]]=V12)*(TableauDatas[[Date]:[Date]]=$BL$1)*(TableauDatas[[Perf]:[Perf]]))=0,"",SUMPRODUCT((TableauDatas[[Test]:[Test]]=$BK$2)*(TableauDatas[[Prénom]:[Prénom]]=V12)*(TableauDatas[[Date]:[Date]]=$BL$1)*(TableauDatas[[Perf]:[Perf]])))</f>
        <v/>
      </c>
      <c r="BM12" s="118" t="str" cm="1">
        <f t="array" ref="BM12">IF(SUMPRODUCT((TableauDatas[[Test]:[Test]]=$BM$2)*(TableauDatas[[Prénom]:[Prénom]]=V12)*(TableauDatas[[Date]:[Date]]=$BM$1)*(TableauDatas[[Perf]:[Perf]]))=0,"",SUMPRODUCT((TableauDatas[[Test]:[Test]]=$BM$2)*(TableauDatas[[Prénom]:[Prénom]]=V12)*(TableauDatas[[Date]:[Date]]=$BM$1)*(TableauDatas[[Perf]:[Perf]])))</f>
        <v/>
      </c>
      <c r="BN12" s="118" t="str" cm="1">
        <f t="array" ref="BN12">IF(SUMPRODUCT((TableauDatas[[Test]:[Test]]=$BM$2)*(TableauDatas[[Prénom]:[Prénom]]=V12)*(TableauDatas[[Date]:[Date]]=$BN$1)*(TableauDatas[[Perf]:[Perf]]))=0,"",SUMPRODUCT((TableauDatas[[Test]:[Test]]=$BM$2)*(TableauDatas[[Prénom]:[Prénom]]=V12)*(TableauDatas[[Date]:[Date]]=$BN$1)*(TableauDatas[[Perf]:[Perf]])))</f>
        <v/>
      </c>
      <c r="BO12" s="118" t="str" cm="1">
        <f t="array" ref="BO12">IF(SUMPRODUCT((TableauDatas[[Test]:[Test]]=$BO$2)*(TableauDatas[[Prénom]:[Prénom]]=V12)*(TableauDatas[[Date]:[Date]]=$BO$1)*(TableauDatas[[Perf]:[Perf]]))=0,"",SUMPRODUCT((TableauDatas[[Test]:[Test]]=$BO$2)*(TableauDatas[[Prénom]:[Prénom]]=V12)*(TableauDatas[[Date]:[Date]]=$BO$1)*(TableauDatas[[Perf]:[Perf]])))</f>
        <v/>
      </c>
      <c r="BP12" s="119" t="str" cm="1">
        <f t="array" ref="BP12">IF(SUMPRODUCT((TableauDatas[[Test]:[Test]]=$BO$2)*(TableauDatas[[Prénom]:[Prénom]]=V12)*(TableauDatas[[Date]:[Date]]=$BP$1)*(TableauDatas[[Perf]:[Perf]]))=0,"",SUMPRODUCT((TableauDatas[[Test]:[Test]]=$BO$2)*(TableauDatas[[Prénom]:[Prénom]]=V12)*(TableauDatas[[Date]:[Date]]=$BP$1)*(TableauDatas[[Perf]:[Perf]])))</f>
        <v/>
      </c>
      <c r="BQ12" s="18"/>
      <c r="BR12" s="18"/>
      <c r="BS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DA12" s="97"/>
      <c r="DB12" s="97"/>
      <c r="DC12" s="97"/>
      <c r="DD12" s="97"/>
      <c r="DE12" s="97"/>
      <c r="DF12" s="97"/>
      <c r="DG12" s="97"/>
      <c r="DH12" s="97"/>
      <c r="DI12" s="97"/>
      <c r="DJ12" s="97"/>
      <c r="DK12" s="97"/>
      <c r="DL12" s="97"/>
      <c r="DM12" s="97"/>
      <c r="DN12" s="97"/>
      <c r="DO12" s="97"/>
      <c r="DQ12" s="97"/>
      <c r="DR12" s="97"/>
      <c r="DS12" s="97"/>
      <c r="DT12" s="97"/>
      <c r="DU12" s="97"/>
      <c r="DV12" s="97"/>
      <c r="DW12" s="97"/>
      <c r="DX12" s="97"/>
      <c r="DY12" s="97"/>
      <c r="DZ12" s="97"/>
      <c r="EA12" s="97"/>
      <c r="EB12" s="97"/>
      <c r="EC12" s="97"/>
      <c r="ED12" s="97"/>
      <c r="EE12" s="97"/>
      <c r="EG12" s="97"/>
      <c r="EH12" s="97"/>
      <c r="EI12" s="97"/>
      <c r="EJ12" s="97"/>
      <c r="EK12" s="97"/>
      <c r="EL12" s="97"/>
      <c r="EM12" s="97"/>
      <c r="EN12" s="97"/>
      <c r="EO12" s="97"/>
      <c r="EP12" s="97"/>
      <c r="EQ12" s="97"/>
      <c r="ER12" s="97"/>
      <c r="ES12" s="97"/>
      <c r="ET12" s="97"/>
      <c r="EU12" s="97"/>
      <c r="EW12" s="97"/>
      <c r="EX12" s="97"/>
      <c r="EY12" s="97"/>
      <c r="EZ12" s="97"/>
      <c r="FA12" s="97"/>
      <c r="FB12" s="97"/>
      <c r="FC12" s="97"/>
      <c r="FD12" s="97"/>
      <c r="FE12" s="97"/>
      <c r="FF12" s="97"/>
      <c r="FG12" s="97"/>
      <c r="FH12" s="97"/>
      <c r="FI12" s="97"/>
      <c r="FJ12" s="97"/>
      <c r="FK12" s="97"/>
      <c r="FM12" s="97"/>
      <c r="FN12" s="97"/>
      <c r="FO12" s="97"/>
      <c r="FP12" s="97"/>
      <c r="FQ12" s="97"/>
      <c r="FR12" s="97"/>
      <c r="FS12" s="97"/>
      <c r="FT12" s="97"/>
      <c r="FU12" s="97"/>
      <c r="FV12" s="97"/>
      <c r="FW12" s="97"/>
      <c r="FX12" s="97"/>
      <c r="FY12" s="97"/>
      <c r="FZ12" s="97"/>
      <c r="GA12" s="97"/>
      <c r="GC12" s="97"/>
      <c r="GD12" s="97"/>
      <c r="GE12" s="97"/>
      <c r="GF12" s="97"/>
      <c r="GG12" s="97"/>
      <c r="GH12" s="97"/>
      <c r="GI12" s="97"/>
      <c r="GJ12" s="97"/>
      <c r="GK12" s="97"/>
      <c r="GL12" s="97"/>
      <c r="GM12" s="97"/>
      <c r="GN12" s="97"/>
      <c r="GO12" s="97"/>
      <c r="GP12" s="97"/>
      <c r="GQ12" s="97"/>
      <c r="GS12" s="97"/>
      <c r="GT12" s="97"/>
      <c r="GU12" s="97"/>
      <c r="GV12" s="97"/>
      <c r="GW12" s="97"/>
      <c r="GX12" s="97"/>
      <c r="GY12" s="97"/>
      <c r="GZ12" s="97"/>
      <c r="HA12" s="97"/>
      <c r="HB12" s="97"/>
      <c r="HC12" s="97"/>
      <c r="HD12" s="97"/>
      <c r="HE12" s="97"/>
      <c r="HF12" s="97"/>
      <c r="HG12" s="97"/>
      <c r="HI12" s="97"/>
      <c r="HJ12" s="97"/>
      <c r="HK12" s="97"/>
      <c r="HL12" s="97"/>
      <c r="HM12" s="97"/>
      <c r="HN12" s="97"/>
      <c r="HO12" s="97"/>
      <c r="HP12" s="97"/>
      <c r="HQ12" s="97"/>
      <c r="HR12" s="97"/>
      <c r="HS12" s="97"/>
      <c r="HT12" s="97"/>
      <c r="HU12" s="97"/>
      <c r="HV12" s="97"/>
      <c r="HW12" s="97"/>
      <c r="HY12" s="97"/>
      <c r="HZ12" s="97"/>
      <c r="IA12" s="97"/>
      <c r="IB12" s="97"/>
      <c r="IC12" s="97"/>
      <c r="ID12" s="97"/>
      <c r="IE12" s="97"/>
      <c r="IF12" s="97"/>
      <c r="IG12" s="97"/>
      <c r="IH12" s="97"/>
      <c r="II12" s="97"/>
      <c r="IJ12" s="97"/>
      <c r="IK12" s="97"/>
      <c r="IL12" s="97"/>
      <c r="IM12" s="97"/>
      <c r="IO12" s="97"/>
      <c r="IP12" s="97"/>
      <c r="IQ12" s="97"/>
      <c r="IR12" s="97"/>
      <c r="IS12" s="97"/>
      <c r="IT12" s="97"/>
      <c r="IU12" s="24"/>
      <c r="IV12" s="24"/>
      <c r="IW12" s="24"/>
      <c r="IX12" s="24"/>
      <c r="IY12" s="24"/>
      <c r="IZ12" s="24"/>
      <c r="JA12" s="24"/>
      <c r="JB12" s="24"/>
      <c r="JC12" s="24"/>
    </row>
    <row r="13" spans="1:263" x14ac:dyDescent="0.25">
      <c r="A13" s="155"/>
      <c r="B13" s="21"/>
      <c r="C13" s="56" t="str" cm="1">
        <f t="array" ref="C13">IF(SUMPRODUCT((TableauDatas[[Prénom]:[Prénom]]=$C$4)*(TableauDatas[[Date]:[Date]]=B13)*(TableauDatas[[Test]:[Test]]=A13)*(TableauDatas[[Perf]:[Perf]]))=0,"",SUMPRODUCT((TableauDatas[[Prénom]:[Prénom]]=$C$4)*(TableauDatas[[Date]:[Date]]=B13)*(TableauDatas[[Test]:[Test]]=A13)*(TableauDatas[[Perf]:[Perf]])))</f>
        <v/>
      </c>
      <c r="D13" s="32" t="str">
        <f>IFERROR(X30,"")</f>
        <v/>
      </c>
      <c r="E13" s="30" t="str">
        <f>IFERROR(X31,"")</f>
        <v/>
      </c>
      <c r="F13" s="31" t="str">
        <f>IFERROR(X32,"")</f>
        <v/>
      </c>
      <c r="G13" s="163" t="str">
        <f>IFERROR(X33,"")</f>
        <v/>
      </c>
      <c r="H13" s="40" t="str">
        <f>IFERROR(X28,"")</f>
        <v/>
      </c>
      <c r="I13" s="27"/>
      <c r="J13" s="28"/>
      <c r="N13" s="108"/>
      <c r="O13" s="105"/>
      <c r="P13" s="106"/>
      <c r="Q13" s="106"/>
      <c r="R13" s="106"/>
      <c r="S13" s="107"/>
      <c r="T13" s="109"/>
      <c r="U13" s="103"/>
      <c r="V13" s="89">
        <f t="shared" si="0"/>
        <v>0</v>
      </c>
      <c r="W13" s="86" t="str" cm="1">
        <f t="array" ref="W13">IF(SUMPRODUCT((TableauDatas[[Test]:[Test]]=$W$2)*(TableauDatas[[Prénom]:[Prénom]]=V13)*(TableauDatas[[Date]:[Date]]=$W$1)*(TableauDatas[[Perf]:[Perf]]))=0,"",SUMPRODUCT((TableauDatas[[Test]:[Test]]=$W$2)*(TableauDatas[[Prénom]:[Prénom]]=V13)*(TableauDatas[[Date]:[Date]]=$W$1)*(TableauDatas[[Perf]:[Perf]])))</f>
        <v/>
      </c>
      <c r="X13" s="86" t="str" cm="1">
        <f t="array" ref="X13">IF(SUMPRODUCT((TableauDatas[[Test]:[Test]]=$X$2)*(TableauDatas[[Prénom]:[Prénom]]=V13)*(TableauDatas[[Date]:[Date]]=$X$1)*(TableauDatas[[Perf]:[Perf]]))=0,"",SUMPRODUCT((TableauDatas[[Test]:[Test]]=$X$2)*(TableauDatas[[Prénom]:[Prénom]]=V13)*(TableauDatas[[Date]:[Date]]=$X$1)*(TableauDatas[[Perf]:[Perf]])))</f>
        <v/>
      </c>
      <c r="Y13" s="86" t="str" cm="1">
        <f t="array" ref="Y13">IF(SUMPRODUCT((TableauDatas[[Test]:[Test]]=$Y$2)*(TableauDatas[[Prénom]:[Prénom]]=V13)*(TableauDatas[[Date]:[Date]]=$Y$1)*(TableauDatas[[Perf]:[Perf]]))=0,"",SUMPRODUCT((TableauDatas[[Test]:[Test]]=$Y$2)*(TableauDatas[[Prénom]:[Prénom]]=V13)*(TableauDatas[[Date]:[Date]]=$Y$1)*(TableauDatas[[Perf]:[Perf]])))</f>
        <v/>
      </c>
      <c r="Z13" s="86" t="str" cm="1">
        <f t="array" ref="Z13">IF(SUMPRODUCT((TableauDatas[[Test]:[Test]]=$Z$2)*(TableauDatas[[Prénom]:[Prénom]]=V13)*(TableauDatas[[Date]:[Date]]=$Z$1)*(TableauDatas[[Perf]:[Perf]]))=0,"",SUMPRODUCT((TableauDatas[[Test]:[Test]]=$Z$2)*(TableauDatas[[Prénom]:[Prénom]]=V13)*(TableauDatas[[Date]:[Date]]=$Z$1)*(TableauDatas[[Perf]:[Perf]])))</f>
        <v/>
      </c>
      <c r="AA13" s="86" t="str" cm="1">
        <f t="array" ref="AA13">IF(SUMPRODUCT((TableauDatas[[Test]:[Test]]=$AA$2)*(TableauDatas[[Prénom]:[Prénom]]=V13)*(TableauDatas[[Date]:[Date]]=$AA$1)*(TableauDatas[[Perf]:[Perf]]))=0,"",SUMPRODUCT((TableauDatas[[Test]:[Test]]=$AA$2)*(TableauDatas[[Prénom]:[Prénom]]=V13)*(TableauDatas[[Date]:[Date]]=$AA$1)*(TableauDatas[[Perf]:[Perf]])))</f>
        <v/>
      </c>
      <c r="AB13" s="86" t="str" cm="1">
        <f t="array" ref="AB13">IF(SUMPRODUCT((TableauDatas[[Test]:[Test]]=$AB$2)*(TableauDatas[[Prénom]:[Prénom]]=V13)*(TableauDatas[[Date]:[Date]]=$AB$1)*(TableauDatas[[Perf]:[Perf]]))=0,"",SUMPRODUCT((TableauDatas[[Test]:[Test]]=$AB$2)*(TableauDatas[[Prénom]:[Prénom]]=V13)*(TableauDatas[[Date]:[Date]]=$AB$1)*(TableauDatas[[Perf]:[Perf]])))</f>
        <v/>
      </c>
      <c r="AC13" s="86" t="str" cm="1">
        <f t="array" ref="AC13">IF(SUMPRODUCT((TableauDatas[[Test]:[Test]]=$AC$2)*(TableauDatas[[Prénom]:[Prénom]]=V13)*(TableauDatas[[Date]:[Date]]=$AC$1)*(TableauDatas[[Perf]:[Perf]]))=0,"",SUMPRODUCT((TableauDatas[[Test]:[Test]]=$AC$2)*(TableauDatas[[Prénom]:[Prénom]]=V13)*(TableauDatas[[Date]:[Date]]=$AC$1)*(TableauDatas[[Perf]:[Perf]])))</f>
        <v/>
      </c>
      <c r="AD13" s="86" t="str" cm="1">
        <f t="array" ref="AD13">IF(SUMPRODUCT((TableauDatas[[Test]:[Test]]=$AD$2)*(TableauDatas[[Prénom]:[Prénom]]=V13)*(TableauDatas[[Date]:[Date]]=$AD$1)*(TableauDatas[[Perf]:[Perf]]))=0,"",SUMPRODUCT((TableauDatas[[Test]:[Test]]=$AD$2)*(TableauDatas[[Prénom]:[Prénom]]=V13)*(TableauDatas[[Date]:[Date]]=$AD$1)*(TableauDatas[[Perf]:[Perf]])))</f>
        <v/>
      </c>
      <c r="AE13" s="86" t="str" cm="1">
        <f t="array" ref="AE13">IF(SUMPRODUCT((TableauDatas[[Test]:[Test]]=$AE$2)*(TableauDatas[[Prénom]:[Prénom]]=V13)*(TableauDatas[[Date]:[Date]]=$AE$1)*(TableauDatas[[Perf]:[Perf]]))=0,"",SUMPRODUCT((TableauDatas[[Test]:[Test]]=$AE$2)*(TableauDatas[[Prénom]:[Prénom]]=V13)*(TableauDatas[[Date]:[Date]]=$AE$1)*(TableauDatas[[Perf]:[Perf]])))</f>
        <v/>
      </c>
      <c r="AF13" s="86" t="str" cm="1">
        <f t="array" ref="AF13">IF(SUMPRODUCT((TableauDatas[[Test]:[Test]]=$AF$2)*(TableauDatas[[Prénom]:[Prénom]]=V13)*(TableauDatas[[Date]:[Date]]=$AF$1)*(TableauDatas[[Perf]:[Perf]]))=0,"",SUMPRODUCT((TableauDatas[[Test]:[Test]]=$AF$2)*(TableauDatas[[Prénom]:[Prénom]]=V13)*(TableauDatas[[Date]:[Date]]=$AF$1)*(TableauDatas[[Perf]:[Perf]])))</f>
        <v/>
      </c>
      <c r="AG13" s="86" t="str" cm="1">
        <f t="array" ref="AG13">IF(SUMPRODUCT((TableauDatas[[Test]:[Test]]=$AG$2)*(TableauDatas[[Prénom]:[Prénom]]=V13)*(TableauDatas[[Date]:[Date]]=$AG$1)*(TableauDatas[[Perf]:[Perf]]))=0,"",SUMPRODUCT((TableauDatas[[Test]:[Test]]=$AG$2)*(TableauDatas[[Prénom]:[Prénom]]=V13)*(TableauDatas[[Date]:[Date]]=$AG$1)*(TableauDatas[[Perf]:[Perf]])))</f>
        <v/>
      </c>
      <c r="AH13" s="86" t="str" cm="1">
        <f t="array" ref="AH13">IF(SUMPRODUCT((TableauDatas[[Test]:[Test]]=$AH$2)*(TableauDatas[[Prénom]:[Prénom]]=V13)*(TableauDatas[[Date]:[Date]]=$AH$1)*(TableauDatas[[Perf]:[Perf]]))=0,"",SUMPRODUCT((TableauDatas[[Test]:[Test]]=$AH$2)*(TableauDatas[[Prénom]:[Prénom]]=V13)*(TableauDatas[[Date]:[Date]]=$AH$1)*(TableauDatas[[Perf]:[Perf]])))</f>
        <v/>
      </c>
      <c r="AI13" s="86" t="str" cm="1">
        <f t="array" ref="AI13">IF(SUMPRODUCT((TableauDatas[[Test]:[Test]]=$AI$2)*(TableauDatas[[Prénom]:[Prénom]]=V13)*(TableauDatas[[Date]:[Date]]=$AI$1)*(TableauDatas[[Perf]:[Perf]]))=0,"",SUMPRODUCT((TableauDatas[[Test]:[Test]]=$AI$2)*(TableauDatas[[Prénom]:[Prénom]]=V13)*(TableauDatas[[Date]:[Date]]=$AI$1)*(TableauDatas[[Perf]:[Perf]])))</f>
        <v/>
      </c>
      <c r="AJ13" s="86" t="str" cm="1">
        <f t="array" ref="AJ13">IF(SUMPRODUCT((TableauDatas[[Test]:[Test]]=$AJ$2)*(TableauDatas[[Prénom]:[Prénom]]=V13)*(TableauDatas[[Date]:[Date]]=$AJ$1)*(TableauDatas[[Perf]:[Perf]]))=0,"",SUMPRODUCT((TableauDatas[[Test]:[Test]]=$AJ$2)*(TableauDatas[[Prénom]:[Prénom]]=V13)*(TableauDatas[[Date]:[Date]]=$AJ$1)*(TableauDatas[[Perf]:[Perf]])))</f>
        <v/>
      </c>
      <c r="AK13" s="87" t="str" cm="1">
        <f t="array" ref="AK13">IF(SUMPRODUCT((TableauDatas[[Test]:[Test]]=$AK$2)*(TableauDatas[[Prénom]:[Prénom]]=V13)*(TableauDatas[[Date]:[Date]]=$AK$1)*(TableauDatas[[Perf]:[Perf]]))=0,"",SUMPRODUCT((TableauDatas[[Test]:[Test]]=$AK$2)*(TableauDatas[[Prénom]:[Prénom]]=V13)*(TableauDatas[[Date]:[Date]]=$AK$1)*(TableauDatas[[Perf]:[Perf]])))</f>
        <v/>
      </c>
      <c r="AL13" s="18"/>
      <c r="AM13" s="117" t="str" cm="1">
        <f t="array" ref="AM13">IF(SUMPRODUCT((TableauDatas[[Test]:[Test]]=$AM$2)*(TableauDatas[[Prénom]:[Prénom]]=V13)*(TableauDatas[[Date]:[Date]]=$AM$1)*(TableauDatas[[Perf]:[Perf]]))=0,"",SUMPRODUCT((TableauDatas[[Test]:[Test]]=$AM$2)*(TableauDatas[[Prénom]:[Prénom]]=V13)*(TableauDatas[[Date]:[Date]]=$AM$1)*(TableauDatas[[Perf]:[Perf]])))</f>
        <v/>
      </c>
      <c r="AN13" s="120" t="str" cm="1">
        <f t="array" ref="AN13">IF(SUMPRODUCT((TableauDatas[[Test]:[Test]]=$AM$2)*(TableauDatas[[Prénom]:[Prénom]]=V13)*(TableauDatas[[Date]:[Date]]=$AN$1)*(TableauDatas[[Perf]:[Perf]]))=0,"",SUMPRODUCT((TableauDatas[[Test]:[Test]]=$AM$2)*(TableauDatas[[Prénom]:[Prénom]]=V13)*(TableauDatas[[Date]:[Date]]=$AN$1)*(TableauDatas[[Perf]:[Perf]])))</f>
        <v/>
      </c>
      <c r="AO13" s="118" t="str" cm="1">
        <f t="array" ref="AO13">IF(SUMPRODUCT((TableauDatas[[Test]:[Test]]=$AO$2)*(TableauDatas[[Prénom]:[Prénom]]=V13)*(TableauDatas[[Date]:[Date]]=$AO$1)*(TableauDatas[[Perf]:[Perf]]))=0,"",SUMPRODUCT((TableauDatas[[Test]:[Test]]=$AO$2)*(TableauDatas[[Prénom]:[Prénom]]=V13)*(TableauDatas[[Date]:[Date]]=$AO$1)*(TableauDatas[[Perf]:[Perf]])))</f>
        <v/>
      </c>
      <c r="AP13" s="118" t="str" cm="1">
        <f t="array" ref="AP13">IF(SUMPRODUCT((TableauDatas[[Test]:[Test]]=$AO$2)*(TableauDatas[[Prénom]:[Prénom]]=V13)*(TableauDatas[[Date]:[Date]]=$AP$1)*(TableauDatas[[Perf]:[Perf]]))=0,"",SUMPRODUCT((TableauDatas[[Test]:[Test]]=$AO$2)*(TableauDatas[[Prénom]:[Prénom]]=V13)*(TableauDatas[[Date]:[Date]]=$AP$1)*(TableauDatas[[Perf]:[Perf]])))</f>
        <v/>
      </c>
      <c r="AQ13" s="118" t="str" cm="1">
        <f t="array" ref="AQ13">IF(SUMPRODUCT((TableauDatas[[Test]:[Test]]=$AQ$2)*(TableauDatas[[Prénom]:[Prénom]]=V13)*(TableauDatas[[Date]:[Date]]=$AQ$1)*(TableauDatas[[Perf]:[Perf]]))=0,"",SUMPRODUCT((TableauDatas[[Test]:[Test]]=$AQ$2)*(TableauDatas[[Prénom]:[Prénom]]=V13)*(TableauDatas[[Date]:[Date]]=$AQ$1)*(TableauDatas[[Perf]:[Perf]])))</f>
        <v/>
      </c>
      <c r="AR13" s="118" t="str" cm="1">
        <f t="array" ref="AR13">IF(SUMPRODUCT((TableauDatas[[Test]:[Test]]=$AQ$2)*(TableauDatas[[Prénom]:[Prénom]]=V13)*(TableauDatas[[Date]:[Date]]=$AR$1)*(TableauDatas[[Perf]:[Perf]]))=0,"",SUMPRODUCT((TableauDatas[[Test]:[Test]]=$AQ$2)*(TableauDatas[[Prénom]:[Prénom]]=V13)*(TableauDatas[[Date]:[Date]]=$AR$1)*(TableauDatas[[Perf]:[Perf]])))</f>
        <v/>
      </c>
      <c r="AS13" s="118" t="str" cm="1">
        <f t="array" ref="AS13">IF(SUMPRODUCT((TableauDatas[[Test]:[Test]]=$AS$2)*(TableauDatas[[Prénom]:[Prénom]]=V13)*(TableauDatas[[Date]:[Date]]=$AS$1)*(TableauDatas[[Perf]:[Perf]]))=0,"",SUMPRODUCT((TableauDatas[[Test]:[Test]]=$AS$2)*(TableauDatas[[Prénom]:[Prénom]]=V13)*(TableauDatas[[Date]:[Date]]=$AS$1)*(TableauDatas[[Perf]:[Perf]])))</f>
        <v/>
      </c>
      <c r="AT13" s="118" t="str" cm="1">
        <f t="array" ref="AT13">IF(SUMPRODUCT((TableauDatas[[Test]:[Test]]=$AS$2)*(TableauDatas[[Prénom]:[Prénom]]=V13)*(TableauDatas[[Date]:[Date]]=$AT$1)*(TableauDatas[[Perf]:[Perf]]))=0,"",SUMPRODUCT((TableauDatas[[Test]:[Test]]=$AS$2)*(TableauDatas[[Prénom]:[Prénom]]=V13)*(TableauDatas[[Date]:[Date]]=$AT$1)*(TableauDatas[[Perf]:[Perf]])))</f>
        <v/>
      </c>
      <c r="AU13" s="118" t="str" cm="1">
        <f t="array" ref="AU13">IF(SUMPRODUCT((TableauDatas[[Test]:[Test]]=$AU$2)*(TableauDatas[[Prénom]:[Prénom]]=V13)*(TableauDatas[[Date]:[Date]]=$AU$1)*(TableauDatas[[Perf]:[Perf]]))=0,"",SUMPRODUCT((TableauDatas[[Test]:[Test]]=$AU$2)*(TableauDatas[[Prénom]:[Prénom]]=V13)*(TableauDatas[[Date]:[Date]]=$AU$1)*(TableauDatas[[Perf]:[Perf]])))</f>
        <v/>
      </c>
      <c r="AV13" s="118" t="str" cm="1">
        <f t="array" ref="AV13">IF(SUMPRODUCT((TableauDatas[[Test]:[Test]]=$AU$2)*(TableauDatas[[Prénom]:[Prénom]]=V13)*(TableauDatas[[Date]:[Date]]=$AV$1)*(TableauDatas[[Perf]:[Perf]]))=0,"",SUMPRODUCT((TableauDatas[[Test]:[Test]]=$AU$2)*(TableauDatas[[Prénom]:[Prénom]]=V13)*(TableauDatas[[Date]:[Date]]=$AV$1)*(TableauDatas[[Perf]:[Perf]])))</f>
        <v/>
      </c>
      <c r="AW13" s="118" t="str" cm="1">
        <f t="array" ref="AW13">IF(SUMPRODUCT((TableauDatas[[Test]:[Test]]=$AW$2)*(TableauDatas[[Prénom]:[Prénom]]=V13)*(TableauDatas[[Date]:[Date]]=$AW$1)*(TableauDatas[[Perf]:[Perf]]))=0,"",SUMPRODUCT((TableauDatas[[Test]:[Test]]=$AW$2)*(TableauDatas[[Prénom]:[Prénom]]=V13)*(TableauDatas[[Date]:[Date]]=$AW$1)*(TableauDatas[[Perf]:[Perf]])))</f>
        <v/>
      </c>
      <c r="AX13" s="118" t="str" cm="1">
        <f t="array" ref="AX13">IF(SUMPRODUCT((TableauDatas[[Test]:[Test]]=$AW$2)*(TableauDatas[[Prénom]:[Prénom]]=V13)*(TableauDatas[[Date]:[Date]]=$AX$1)*(TableauDatas[[Perf]:[Perf]]))=0,"",SUMPRODUCT((TableauDatas[[Test]:[Test]]=$AW$2)*(TableauDatas[[Prénom]:[Prénom]]=V13)*(TableauDatas[[Date]:[Date]]=$AX$1)*(TableauDatas[[Perf]:[Perf]])))</f>
        <v/>
      </c>
      <c r="AY13" s="118" t="str" cm="1">
        <f t="array" ref="AY13">IF(SUMPRODUCT((TableauDatas[[Test]:[Test]]=$AY$2)*(TableauDatas[[Prénom]:[Prénom]]=V13)*(TableauDatas[[Date]:[Date]]=$AY$1)*(TableauDatas[[Perf]:[Perf]]))=0,"",SUMPRODUCT((TableauDatas[[Test]:[Test]]=$AY$2)*(TableauDatas[[Prénom]:[Prénom]]=V13)*(TableauDatas[[Date]:[Date]]=$AY$1)*(TableauDatas[[Perf]:[Perf]])))</f>
        <v/>
      </c>
      <c r="AZ13" s="118" t="str" cm="1">
        <f t="array" ref="AZ13">IF(SUMPRODUCT((TableauDatas[[Test]:[Test]]=$AY$2)*(TableauDatas[[Prénom]:[Prénom]]=V13)*(TableauDatas[[Date]:[Date]]=$AZ$1)*(TableauDatas[[Perf]:[Perf]]))=0,"",SUMPRODUCT((TableauDatas[[Test]:[Test]]=$AY$2)*(TableauDatas[[Prénom]:[Prénom]]=V13)*(TableauDatas[[Date]:[Date]]=$AZ$1)*(TableauDatas[[Perf]:[Perf]])))</f>
        <v/>
      </c>
      <c r="BA13" s="118" t="str" cm="1">
        <f t="array" ref="BA13">IF(SUMPRODUCT((TableauDatas[[Test]:[Test]]=$BA$2)*(TableauDatas[[Prénom]:[Prénom]]=V13)*(TableauDatas[[Date]:[Date]]=$BA$1)*(TableauDatas[[Perf]:[Perf]]))=0,"",SUMPRODUCT((TableauDatas[[Test]:[Test]]=$BA$2)*(TableauDatas[[Prénom]:[Prénom]]=V13)*(TableauDatas[[Date]:[Date]]=$BA$1)*(TableauDatas[[Perf]:[Perf]])))</f>
        <v/>
      </c>
      <c r="BB13" s="118" t="str" cm="1">
        <f t="array" ref="BB13">IF(SUMPRODUCT((TableauDatas[[Test]:[Test]]=$BA$2)*(TableauDatas[[Prénom]:[Prénom]]=V13)*(TableauDatas[[Date]:[Date]]=$BB$1)*(TableauDatas[[Perf]:[Perf]]))=0,"",SUMPRODUCT((TableauDatas[[Test]:[Test]]=$BA$2)*(TableauDatas[[Prénom]:[Prénom]]=V13)*(TableauDatas[[Date]:[Date]]=$BB$1)*(TableauDatas[[Perf]:[Perf]])))</f>
        <v/>
      </c>
      <c r="BC13" s="118" t="str" cm="1">
        <f t="array" ref="BC13">IF(SUMPRODUCT((TableauDatas[[Test]:[Test]]=$BC$2)*(TableauDatas[[Prénom]:[Prénom]]=V13)*(TableauDatas[[Date]:[Date]]=$BC$1)*(TableauDatas[[Perf]:[Perf]]))=0,"",SUMPRODUCT((TableauDatas[[Test]:[Test]]=$BC$2)*(TableauDatas[[Prénom]:[Prénom]]=V13)*(TableauDatas[[Date]:[Date]]=$BC$1)*(TableauDatas[[Perf]:[Perf]])))</f>
        <v/>
      </c>
      <c r="BD13" s="121" t="str" cm="1">
        <f t="array" ref="BD13">IF(SUMPRODUCT((TableauDatas[[Test]:[Test]]=$BC$2)*(TableauDatas[[Prénom]:[Prénom]]=V13)*(TableauDatas[[Date]:[Date]]=$BD$1)*(TableauDatas[[Perf]:[Perf]]))=0,"",SUMPRODUCT((TableauDatas[[Test]:[Test]]=$BC$2)*(TableauDatas[[Prénom]:[Prénom]]=V13)*(TableauDatas[[Date]:[Date]]=$BD$1)*(TableauDatas[[Perf]:[Perf]])))</f>
        <v/>
      </c>
      <c r="BE13" s="118" t="str" cm="1">
        <f t="array" ref="BE13">IF(SUMPRODUCT((TableauDatas[[Test]:[Test]]=$BE$2)*(TableauDatas[[Prénom]:[Prénom]]=V13)*(TableauDatas[[Date]:[Date]]=$BE$1)*(TableauDatas[[Perf]:[Perf]]))=0,"",SUMPRODUCT((TableauDatas[[Test]:[Test]]=$BE$2)*(TableauDatas[[Prénom]:[Prénom]]=V13)*(TableauDatas[[Date]:[Date]]=$BE$1)*(TableauDatas[[Perf]:[Perf]])))</f>
        <v/>
      </c>
      <c r="BF13" s="118" t="str" cm="1">
        <f t="array" ref="BF13">IF(SUMPRODUCT((TableauDatas[[Test]:[Test]]=$BE$2)*(TableauDatas[[Prénom]:[Prénom]]=V13)*(TableauDatas[[Date]:[Date]]=$BF$1)*(TableauDatas[[Perf]:[Perf]]))=0,"",SUMPRODUCT((TableauDatas[[Test]:[Test]]=$BE$2)*(TableauDatas[[Prénom]:[Prénom]]=V13)*(TableauDatas[[Date]:[Date]]=$BF$1)*(TableauDatas[[Perf]:[Perf]])))</f>
        <v/>
      </c>
      <c r="BG13" s="118" t="str" cm="1">
        <f t="array" ref="BG13">IF(SUMPRODUCT((TableauDatas[[Test]:[Test]]=$BG$2)*(TableauDatas[[Prénom]:[Prénom]]=V13)*(TableauDatas[[Date]:[Date]]=$BG$1)*(TableauDatas[[Perf]:[Perf]]))=0,"",SUMPRODUCT((TableauDatas[[Test]:[Test]]=$BG$2)*(TableauDatas[[Prénom]:[Prénom]]=V13)*(TableauDatas[[Date]:[Date]]=$BG$1)*(TableauDatas[[Perf]:[Perf]])))</f>
        <v/>
      </c>
      <c r="BH13" s="118" t="str" cm="1">
        <f t="array" ref="BH13">IF(SUMPRODUCT((TableauDatas[[Test]:[Test]]=$BG$2)*(TableauDatas[[Prénom]:[Prénom]]=V13)*(TableauDatas[[Date]:[Date]]=$BH$1)*(TableauDatas[[Perf]:[Perf]]))=0,"",SUMPRODUCT((TableauDatas[[Test]:[Test]]=$BG$2)*(TableauDatas[[Prénom]:[Prénom]]=V13)*(TableauDatas[[Date]:[Date]]=$BH$1)*(TableauDatas[[Perf]:[Perf]])))</f>
        <v/>
      </c>
      <c r="BI13" s="118" t="str" cm="1">
        <f t="array" ref="BI13">IF(SUMPRODUCT((TableauDatas[[Test]:[Test]]=$BI$2)*(TableauDatas[[Prénom]:[Prénom]]=V13)*(TableauDatas[[Date]:[Date]]=$BI$1)*(TableauDatas[[Perf]:[Perf]]))=0,"",SUMPRODUCT((TableauDatas[[Test]:[Test]]=$BI$2)*(TableauDatas[[Prénom]:[Prénom]]=V13)*(TableauDatas[[Date]:[Date]]=$BI$1)*(TableauDatas[[Perf]:[Perf]])))</f>
        <v/>
      </c>
      <c r="BJ13" s="118" t="str" cm="1">
        <f t="array" ref="BJ13">IF(SUMPRODUCT((TableauDatas[[Test]:[Test]]=$BI$2)*(TableauDatas[[Prénom]:[Prénom]]=V13)*(TableauDatas[[Date]:[Date]]=$BJ$1)*(TableauDatas[[Perf]:[Perf]]))=0,"",SUMPRODUCT((TableauDatas[[Test]:[Test]]=$BI$2)*(TableauDatas[[Prénom]:[Prénom]]=V13)*(TableauDatas[[Date]:[Date]]=$BJ$1)*(TableauDatas[[Perf]:[Perf]])))</f>
        <v/>
      </c>
      <c r="BK13" s="118" t="str" cm="1">
        <f t="array" ref="BK13">IF(SUMPRODUCT((TableauDatas[[Test]:[Test]]=$BK$2)*(TableauDatas[[Prénom]:[Prénom]]=V13)*(TableauDatas[[Date]:[Date]]=$BK$1)*(TableauDatas[[Perf]:[Perf]]))=0,"",SUMPRODUCT((TableauDatas[[Test]:[Test]]=$BK$2)*(TableauDatas[[Prénom]:[Prénom]]=V13)*(TableauDatas[[Date]:[Date]]=$BK$1)*(TableauDatas[[Perf]:[Perf]])))</f>
        <v/>
      </c>
      <c r="BL13" s="118" t="str" cm="1">
        <f t="array" ref="BL13">IF(SUMPRODUCT((TableauDatas[[Test]:[Test]]=$BK$2)*(TableauDatas[[Prénom]:[Prénom]]=V13)*(TableauDatas[[Date]:[Date]]=$BL$1)*(TableauDatas[[Perf]:[Perf]]))=0,"",SUMPRODUCT((TableauDatas[[Test]:[Test]]=$BK$2)*(TableauDatas[[Prénom]:[Prénom]]=V13)*(TableauDatas[[Date]:[Date]]=$BL$1)*(TableauDatas[[Perf]:[Perf]])))</f>
        <v/>
      </c>
      <c r="BM13" s="118" t="str" cm="1">
        <f t="array" ref="BM13">IF(SUMPRODUCT((TableauDatas[[Test]:[Test]]=$BM$2)*(TableauDatas[[Prénom]:[Prénom]]=V13)*(TableauDatas[[Date]:[Date]]=$BM$1)*(TableauDatas[[Perf]:[Perf]]))=0,"",SUMPRODUCT((TableauDatas[[Test]:[Test]]=$BM$2)*(TableauDatas[[Prénom]:[Prénom]]=V13)*(TableauDatas[[Date]:[Date]]=$BM$1)*(TableauDatas[[Perf]:[Perf]])))</f>
        <v/>
      </c>
      <c r="BN13" s="118" t="str" cm="1">
        <f t="array" ref="BN13">IF(SUMPRODUCT((TableauDatas[[Test]:[Test]]=$BM$2)*(TableauDatas[[Prénom]:[Prénom]]=V13)*(TableauDatas[[Date]:[Date]]=$BN$1)*(TableauDatas[[Perf]:[Perf]]))=0,"",SUMPRODUCT((TableauDatas[[Test]:[Test]]=$BM$2)*(TableauDatas[[Prénom]:[Prénom]]=V13)*(TableauDatas[[Date]:[Date]]=$BN$1)*(TableauDatas[[Perf]:[Perf]])))</f>
        <v/>
      </c>
      <c r="BO13" s="118" t="str" cm="1">
        <f t="array" ref="BO13">IF(SUMPRODUCT((TableauDatas[[Test]:[Test]]=$BO$2)*(TableauDatas[[Prénom]:[Prénom]]=V13)*(TableauDatas[[Date]:[Date]]=$BO$1)*(TableauDatas[[Perf]:[Perf]]))=0,"",SUMPRODUCT((TableauDatas[[Test]:[Test]]=$BO$2)*(TableauDatas[[Prénom]:[Prénom]]=V13)*(TableauDatas[[Date]:[Date]]=$BO$1)*(TableauDatas[[Perf]:[Perf]])))</f>
        <v/>
      </c>
      <c r="BP13" s="119" t="str" cm="1">
        <f t="array" ref="BP13">IF(SUMPRODUCT((TableauDatas[[Test]:[Test]]=$BO$2)*(TableauDatas[[Prénom]:[Prénom]]=V13)*(TableauDatas[[Date]:[Date]]=$BP$1)*(TableauDatas[[Perf]:[Perf]]))=0,"",SUMPRODUCT((TableauDatas[[Test]:[Test]]=$BO$2)*(TableauDatas[[Prénom]:[Prénom]]=V13)*(TableauDatas[[Date]:[Date]]=$BP$1)*(TableauDatas[[Perf]:[Perf]])))</f>
        <v/>
      </c>
      <c r="BQ13" s="18"/>
      <c r="BR13" s="18"/>
      <c r="BS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DA13" s="97"/>
      <c r="DB13" s="97"/>
      <c r="DC13" s="97"/>
      <c r="DD13" s="97"/>
      <c r="DE13" s="97"/>
      <c r="DF13" s="97"/>
      <c r="DG13" s="97"/>
      <c r="DH13" s="97"/>
      <c r="DI13" s="97"/>
      <c r="DJ13" s="97"/>
      <c r="DK13" s="97"/>
      <c r="DL13" s="97"/>
      <c r="DM13" s="97"/>
      <c r="DN13" s="97"/>
      <c r="DO13" s="97"/>
      <c r="DQ13" s="97"/>
      <c r="DR13" s="97"/>
      <c r="DS13" s="97"/>
      <c r="DT13" s="97"/>
      <c r="DU13" s="97"/>
      <c r="DV13" s="97"/>
      <c r="DW13" s="97"/>
      <c r="DX13" s="97"/>
      <c r="DY13" s="97"/>
      <c r="DZ13" s="97"/>
      <c r="EA13" s="97"/>
      <c r="EB13" s="97"/>
      <c r="EC13" s="97"/>
      <c r="ED13" s="97"/>
      <c r="EE13" s="97"/>
      <c r="EG13" s="97"/>
      <c r="EH13" s="97"/>
      <c r="EI13" s="97"/>
      <c r="EJ13" s="97"/>
      <c r="EK13" s="97"/>
      <c r="EL13" s="97"/>
      <c r="EM13" s="97"/>
      <c r="EN13" s="97"/>
      <c r="EO13" s="97"/>
      <c r="EP13" s="97"/>
      <c r="EQ13" s="97"/>
      <c r="ER13" s="97"/>
      <c r="ES13" s="97"/>
      <c r="ET13" s="97"/>
      <c r="EU13" s="97"/>
      <c r="EW13" s="97"/>
      <c r="EX13" s="97"/>
      <c r="EY13" s="97"/>
      <c r="EZ13" s="97"/>
      <c r="FA13" s="97"/>
      <c r="FB13" s="97"/>
      <c r="FC13" s="97"/>
      <c r="FD13" s="97"/>
      <c r="FE13" s="97"/>
      <c r="FF13" s="97"/>
      <c r="FG13" s="97"/>
      <c r="FH13" s="97"/>
      <c r="FI13" s="97"/>
      <c r="FJ13" s="97"/>
      <c r="FK13" s="97"/>
      <c r="FM13" s="97"/>
      <c r="FN13" s="97"/>
      <c r="FO13" s="97"/>
      <c r="FP13" s="97"/>
      <c r="FQ13" s="97"/>
      <c r="FR13" s="97"/>
      <c r="FS13" s="97"/>
      <c r="FT13" s="97"/>
      <c r="FU13" s="97"/>
      <c r="FV13" s="97"/>
      <c r="FW13" s="97"/>
      <c r="FX13" s="97"/>
      <c r="FY13" s="97"/>
      <c r="FZ13" s="97"/>
      <c r="GA13" s="97"/>
      <c r="GC13" s="97"/>
      <c r="GD13" s="97"/>
      <c r="GE13" s="97"/>
      <c r="GF13" s="97"/>
      <c r="GG13" s="97"/>
      <c r="GH13" s="97"/>
      <c r="GI13" s="97"/>
      <c r="GJ13" s="97"/>
      <c r="GK13" s="97"/>
      <c r="GL13" s="97"/>
      <c r="GM13" s="97"/>
      <c r="GN13" s="97"/>
      <c r="GO13" s="97"/>
      <c r="GP13" s="97"/>
      <c r="GQ13" s="97"/>
      <c r="GS13" s="97"/>
      <c r="GT13" s="97"/>
      <c r="GU13" s="97"/>
      <c r="GV13" s="97"/>
      <c r="GW13" s="97"/>
      <c r="GX13" s="97"/>
      <c r="GY13" s="97"/>
      <c r="GZ13" s="97"/>
      <c r="HA13" s="97"/>
      <c r="HB13" s="97"/>
      <c r="HC13" s="97"/>
      <c r="HD13" s="97"/>
      <c r="HE13" s="97"/>
      <c r="HF13" s="97"/>
      <c r="HG13" s="97"/>
      <c r="HI13" s="97"/>
      <c r="HJ13" s="97"/>
      <c r="HK13" s="97"/>
      <c r="HL13" s="97"/>
      <c r="HM13" s="97"/>
      <c r="HN13" s="97"/>
      <c r="HO13" s="97"/>
      <c r="HP13" s="97"/>
      <c r="HQ13" s="97"/>
      <c r="HR13" s="97"/>
      <c r="HS13" s="97"/>
      <c r="HT13" s="97"/>
      <c r="HU13" s="97"/>
      <c r="HV13" s="97"/>
      <c r="HW13" s="97"/>
      <c r="HY13" s="97"/>
      <c r="HZ13" s="97"/>
      <c r="IA13" s="97"/>
      <c r="IB13" s="97"/>
      <c r="IC13" s="97"/>
      <c r="ID13" s="97"/>
      <c r="IE13" s="97"/>
      <c r="IF13" s="97"/>
      <c r="IG13" s="97"/>
      <c r="IH13" s="97"/>
      <c r="II13" s="97"/>
      <c r="IJ13" s="97"/>
      <c r="IK13" s="97"/>
      <c r="IL13" s="97"/>
      <c r="IM13" s="97"/>
      <c r="IO13" s="97"/>
      <c r="IP13" s="97"/>
      <c r="IQ13" s="97"/>
      <c r="IR13" s="97"/>
      <c r="IS13" s="97"/>
      <c r="IT13" s="97"/>
      <c r="IU13" s="24"/>
      <c r="IV13" s="24"/>
      <c r="IW13" s="24"/>
      <c r="IX13" s="24"/>
      <c r="IY13" s="24"/>
      <c r="IZ13" s="24"/>
      <c r="JA13" s="24"/>
      <c r="JB13" s="24"/>
      <c r="JC13" s="24"/>
    </row>
    <row r="14" spans="1:263" x14ac:dyDescent="0.25">
      <c r="A14" s="155"/>
      <c r="B14" s="21"/>
      <c r="C14" s="56" t="str" cm="1">
        <f t="array" ref="C14">IF(SUMPRODUCT((TableauDatas[[Prénom]:[Prénom]]=$C$4)*(TableauDatas[[Date]:[Date]]=B14)*(TableauDatas[[Test]:[Test]]=A14)*(TableauDatas[[Perf]:[Perf]]))=0,"",SUMPRODUCT((TableauDatas[[Prénom]:[Prénom]]=$C$4)*(TableauDatas[[Date]:[Date]]=B14)*(TableauDatas[[Test]:[Test]]=A14)*(TableauDatas[[Perf]:[Perf]])))</f>
        <v/>
      </c>
      <c r="D14" s="32" t="str">
        <f>IFERROR(Y30,"")</f>
        <v/>
      </c>
      <c r="E14" s="30" t="str">
        <f>IFERROR(Y31,"")</f>
        <v/>
      </c>
      <c r="F14" s="33" t="str">
        <f>IFERROR(Y32,"")</f>
        <v/>
      </c>
      <c r="G14" s="163" t="str">
        <f>IFERROR(Y33,"")</f>
        <v/>
      </c>
      <c r="H14" s="40" t="str">
        <f>IFERROR(Y28,"")</f>
        <v/>
      </c>
      <c r="I14" s="27"/>
      <c r="J14" s="28"/>
      <c r="N14" s="66"/>
      <c r="O14" s="68"/>
      <c r="P14" s="69"/>
      <c r="Q14" s="69"/>
      <c r="R14" s="69"/>
      <c r="S14" s="70"/>
      <c r="T14" s="49"/>
      <c r="U14" s="103"/>
      <c r="V14" s="89">
        <f t="shared" si="0"/>
        <v>0</v>
      </c>
      <c r="W14" s="86" t="str" cm="1">
        <f t="array" ref="W14">IF(SUMPRODUCT((TableauDatas[[Test]:[Test]]=$W$2)*(TableauDatas[[Prénom]:[Prénom]]=V14)*(TableauDatas[[Date]:[Date]]=$W$1)*(TableauDatas[[Perf]:[Perf]]))=0,"",SUMPRODUCT((TableauDatas[[Test]:[Test]]=$W$2)*(TableauDatas[[Prénom]:[Prénom]]=V14)*(TableauDatas[[Date]:[Date]]=$W$1)*(TableauDatas[[Perf]:[Perf]])))</f>
        <v/>
      </c>
      <c r="X14" s="86" t="str" cm="1">
        <f t="array" ref="X14">IF(SUMPRODUCT((TableauDatas[[Test]:[Test]]=$X$2)*(TableauDatas[[Prénom]:[Prénom]]=V14)*(TableauDatas[[Date]:[Date]]=$X$1)*(TableauDatas[[Perf]:[Perf]]))=0,"",SUMPRODUCT((TableauDatas[[Test]:[Test]]=$X$2)*(TableauDatas[[Prénom]:[Prénom]]=V14)*(TableauDatas[[Date]:[Date]]=$X$1)*(TableauDatas[[Perf]:[Perf]])))</f>
        <v/>
      </c>
      <c r="Y14" s="86" t="str" cm="1">
        <f t="array" ref="Y14">IF(SUMPRODUCT((TableauDatas[[Test]:[Test]]=$Y$2)*(TableauDatas[[Prénom]:[Prénom]]=V14)*(TableauDatas[[Date]:[Date]]=$Y$1)*(TableauDatas[[Perf]:[Perf]]))=0,"",SUMPRODUCT((TableauDatas[[Test]:[Test]]=$Y$2)*(TableauDatas[[Prénom]:[Prénom]]=V14)*(TableauDatas[[Date]:[Date]]=$Y$1)*(TableauDatas[[Perf]:[Perf]])))</f>
        <v/>
      </c>
      <c r="Z14" s="86" t="str" cm="1">
        <f t="array" ref="Z14">IF(SUMPRODUCT((TableauDatas[[Test]:[Test]]=$Z$2)*(TableauDatas[[Prénom]:[Prénom]]=V14)*(TableauDatas[[Date]:[Date]]=$Z$1)*(TableauDatas[[Perf]:[Perf]]))=0,"",SUMPRODUCT((TableauDatas[[Test]:[Test]]=$Z$2)*(TableauDatas[[Prénom]:[Prénom]]=V14)*(TableauDatas[[Date]:[Date]]=$Z$1)*(TableauDatas[[Perf]:[Perf]])))</f>
        <v/>
      </c>
      <c r="AA14" s="86" t="str" cm="1">
        <f t="array" ref="AA14">IF(SUMPRODUCT((TableauDatas[[Test]:[Test]]=$AA$2)*(TableauDatas[[Prénom]:[Prénom]]=V14)*(TableauDatas[[Date]:[Date]]=$AA$1)*(TableauDatas[[Perf]:[Perf]]))=0,"",SUMPRODUCT((TableauDatas[[Test]:[Test]]=$AA$2)*(TableauDatas[[Prénom]:[Prénom]]=V14)*(TableauDatas[[Date]:[Date]]=$AA$1)*(TableauDatas[[Perf]:[Perf]])))</f>
        <v/>
      </c>
      <c r="AB14" s="86" t="str" cm="1">
        <f t="array" ref="AB14">IF(SUMPRODUCT((TableauDatas[[Test]:[Test]]=$AB$2)*(TableauDatas[[Prénom]:[Prénom]]=V14)*(TableauDatas[[Date]:[Date]]=$AB$1)*(TableauDatas[[Perf]:[Perf]]))=0,"",SUMPRODUCT((TableauDatas[[Test]:[Test]]=$AB$2)*(TableauDatas[[Prénom]:[Prénom]]=V14)*(TableauDatas[[Date]:[Date]]=$AB$1)*(TableauDatas[[Perf]:[Perf]])))</f>
        <v/>
      </c>
      <c r="AC14" s="86" t="str" cm="1">
        <f t="array" ref="AC14">IF(SUMPRODUCT((TableauDatas[[Test]:[Test]]=$AC$2)*(TableauDatas[[Prénom]:[Prénom]]=V14)*(TableauDatas[[Date]:[Date]]=$AC$1)*(TableauDatas[[Perf]:[Perf]]))=0,"",SUMPRODUCT((TableauDatas[[Test]:[Test]]=$AC$2)*(TableauDatas[[Prénom]:[Prénom]]=V14)*(TableauDatas[[Date]:[Date]]=$AC$1)*(TableauDatas[[Perf]:[Perf]])))</f>
        <v/>
      </c>
      <c r="AD14" s="86" t="str" cm="1">
        <f t="array" ref="AD14">IF(SUMPRODUCT((TableauDatas[[Test]:[Test]]=$AD$2)*(TableauDatas[[Prénom]:[Prénom]]=V14)*(TableauDatas[[Date]:[Date]]=$AD$1)*(TableauDatas[[Perf]:[Perf]]))=0,"",SUMPRODUCT((TableauDatas[[Test]:[Test]]=$AD$2)*(TableauDatas[[Prénom]:[Prénom]]=V14)*(TableauDatas[[Date]:[Date]]=$AD$1)*(TableauDatas[[Perf]:[Perf]])))</f>
        <v/>
      </c>
      <c r="AE14" s="86" t="str" cm="1">
        <f t="array" ref="AE14">IF(SUMPRODUCT((TableauDatas[[Test]:[Test]]=$AE$2)*(TableauDatas[[Prénom]:[Prénom]]=V14)*(TableauDatas[[Date]:[Date]]=$AE$1)*(TableauDatas[[Perf]:[Perf]]))=0,"",SUMPRODUCT((TableauDatas[[Test]:[Test]]=$AE$2)*(TableauDatas[[Prénom]:[Prénom]]=V14)*(TableauDatas[[Date]:[Date]]=$AE$1)*(TableauDatas[[Perf]:[Perf]])))</f>
        <v/>
      </c>
      <c r="AF14" s="86" t="str" cm="1">
        <f t="array" ref="AF14">IF(SUMPRODUCT((TableauDatas[[Test]:[Test]]=$AF$2)*(TableauDatas[[Prénom]:[Prénom]]=V14)*(TableauDatas[[Date]:[Date]]=$AF$1)*(TableauDatas[[Perf]:[Perf]]))=0,"",SUMPRODUCT((TableauDatas[[Test]:[Test]]=$AF$2)*(TableauDatas[[Prénom]:[Prénom]]=V14)*(TableauDatas[[Date]:[Date]]=$AF$1)*(TableauDatas[[Perf]:[Perf]])))</f>
        <v/>
      </c>
      <c r="AG14" s="86" t="str" cm="1">
        <f t="array" ref="AG14">IF(SUMPRODUCT((TableauDatas[[Test]:[Test]]=$AG$2)*(TableauDatas[[Prénom]:[Prénom]]=V14)*(TableauDatas[[Date]:[Date]]=$AG$1)*(TableauDatas[[Perf]:[Perf]]))=0,"",SUMPRODUCT((TableauDatas[[Test]:[Test]]=$AG$2)*(TableauDatas[[Prénom]:[Prénom]]=V14)*(TableauDatas[[Date]:[Date]]=$AG$1)*(TableauDatas[[Perf]:[Perf]])))</f>
        <v/>
      </c>
      <c r="AH14" s="86" t="str" cm="1">
        <f t="array" ref="AH14">IF(SUMPRODUCT((TableauDatas[[Test]:[Test]]=$AH$2)*(TableauDatas[[Prénom]:[Prénom]]=V14)*(TableauDatas[[Date]:[Date]]=$AH$1)*(TableauDatas[[Perf]:[Perf]]))=0,"",SUMPRODUCT((TableauDatas[[Test]:[Test]]=$AH$2)*(TableauDatas[[Prénom]:[Prénom]]=V14)*(TableauDatas[[Date]:[Date]]=$AH$1)*(TableauDatas[[Perf]:[Perf]])))</f>
        <v/>
      </c>
      <c r="AI14" s="86" t="str" cm="1">
        <f t="array" ref="AI14">IF(SUMPRODUCT((TableauDatas[[Test]:[Test]]=$AI$2)*(TableauDatas[[Prénom]:[Prénom]]=V14)*(TableauDatas[[Date]:[Date]]=$AI$1)*(TableauDatas[[Perf]:[Perf]]))=0,"",SUMPRODUCT((TableauDatas[[Test]:[Test]]=$AI$2)*(TableauDatas[[Prénom]:[Prénom]]=V14)*(TableauDatas[[Date]:[Date]]=$AI$1)*(TableauDatas[[Perf]:[Perf]])))</f>
        <v/>
      </c>
      <c r="AJ14" s="86" t="str" cm="1">
        <f t="array" ref="AJ14">IF(SUMPRODUCT((TableauDatas[[Test]:[Test]]=$AJ$2)*(TableauDatas[[Prénom]:[Prénom]]=V14)*(TableauDatas[[Date]:[Date]]=$AJ$1)*(TableauDatas[[Perf]:[Perf]]))=0,"",SUMPRODUCT((TableauDatas[[Test]:[Test]]=$AJ$2)*(TableauDatas[[Prénom]:[Prénom]]=V14)*(TableauDatas[[Date]:[Date]]=$AJ$1)*(TableauDatas[[Perf]:[Perf]])))</f>
        <v/>
      </c>
      <c r="AK14" s="87" t="str" cm="1">
        <f t="array" ref="AK14">IF(SUMPRODUCT((TableauDatas[[Test]:[Test]]=$AK$2)*(TableauDatas[[Prénom]:[Prénom]]=V14)*(TableauDatas[[Date]:[Date]]=$AK$1)*(TableauDatas[[Perf]:[Perf]]))=0,"",SUMPRODUCT((TableauDatas[[Test]:[Test]]=$AK$2)*(TableauDatas[[Prénom]:[Prénom]]=V14)*(TableauDatas[[Date]:[Date]]=$AK$1)*(TableauDatas[[Perf]:[Perf]])))</f>
        <v/>
      </c>
      <c r="AL14" s="18"/>
      <c r="AM14" s="117" t="str" cm="1">
        <f t="array" ref="AM14">IF(SUMPRODUCT((TableauDatas[[Test]:[Test]]=$AM$2)*(TableauDatas[[Prénom]:[Prénom]]=V14)*(TableauDatas[[Date]:[Date]]=$AM$1)*(TableauDatas[[Perf]:[Perf]]))=0,"",SUMPRODUCT((TableauDatas[[Test]:[Test]]=$AM$2)*(TableauDatas[[Prénom]:[Prénom]]=V14)*(TableauDatas[[Date]:[Date]]=$AM$1)*(TableauDatas[[Perf]:[Perf]])))</f>
        <v/>
      </c>
      <c r="AN14" s="120" t="str" cm="1">
        <f t="array" ref="AN14">IF(SUMPRODUCT((TableauDatas[[Test]:[Test]]=$AM$2)*(TableauDatas[[Prénom]:[Prénom]]=V14)*(TableauDatas[[Date]:[Date]]=$AN$1)*(TableauDatas[[Perf]:[Perf]]))=0,"",SUMPRODUCT((TableauDatas[[Test]:[Test]]=$AM$2)*(TableauDatas[[Prénom]:[Prénom]]=V14)*(TableauDatas[[Date]:[Date]]=$AN$1)*(TableauDatas[[Perf]:[Perf]])))</f>
        <v/>
      </c>
      <c r="AO14" s="118" t="str" cm="1">
        <f t="array" ref="AO14">IF(SUMPRODUCT((TableauDatas[[Test]:[Test]]=$AO$2)*(TableauDatas[[Prénom]:[Prénom]]=V14)*(TableauDatas[[Date]:[Date]]=$AO$1)*(TableauDatas[[Perf]:[Perf]]))=0,"",SUMPRODUCT((TableauDatas[[Test]:[Test]]=$AO$2)*(TableauDatas[[Prénom]:[Prénom]]=V14)*(TableauDatas[[Date]:[Date]]=$AO$1)*(TableauDatas[[Perf]:[Perf]])))</f>
        <v/>
      </c>
      <c r="AP14" s="118" t="str" cm="1">
        <f t="array" ref="AP14">IF(SUMPRODUCT((TableauDatas[[Test]:[Test]]=$AO$2)*(TableauDatas[[Prénom]:[Prénom]]=V14)*(TableauDatas[[Date]:[Date]]=$AP$1)*(TableauDatas[[Perf]:[Perf]]))=0,"",SUMPRODUCT((TableauDatas[[Test]:[Test]]=$AO$2)*(TableauDatas[[Prénom]:[Prénom]]=V14)*(TableauDatas[[Date]:[Date]]=$AP$1)*(TableauDatas[[Perf]:[Perf]])))</f>
        <v/>
      </c>
      <c r="AQ14" s="118" t="str" cm="1">
        <f t="array" ref="AQ14">IF(SUMPRODUCT((TableauDatas[[Test]:[Test]]=$AQ$2)*(TableauDatas[[Prénom]:[Prénom]]=V14)*(TableauDatas[[Date]:[Date]]=$AQ$1)*(TableauDatas[[Perf]:[Perf]]))=0,"",SUMPRODUCT((TableauDatas[[Test]:[Test]]=$AQ$2)*(TableauDatas[[Prénom]:[Prénom]]=V14)*(TableauDatas[[Date]:[Date]]=$AQ$1)*(TableauDatas[[Perf]:[Perf]])))</f>
        <v/>
      </c>
      <c r="AR14" s="118" t="str" cm="1">
        <f t="array" ref="AR14">IF(SUMPRODUCT((TableauDatas[[Test]:[Test]]=$AQ$2)*(TableauDatas[[Prénom]:[Prénom]]=V14)*(TableauDatas[[Date]:[Date]]=$AR$1)*(TableauDatas[[Perf]:[Perf]]))=0,"",SUMPRODUCT((TableauDatas[[Test]:[Test]]=$AQ$2)*(TableauDatas[[Prénom]:[Prénom]]=V14)*(TableauDatas[[Date]:[Date]]=$AR$1)*(TableauDatas[[Perf]:[Perf]])))</f>
        <v/>
      </c>
      <c r="AS14" s="118" t="str" cm="1">
        <f t="array" ref="AS14">IF(SUMPRODUCT((TableauDatas[[Test]:[Test]]=$AS$2)*(TableauDatas[[Prénom]:[Prénom]]=V14)*(TableauDatas[[Date]:[Date]]=$AS$1)*(TableauDatas[[Perf]:[Perf]]))=0,"",SUMPRODUCT((TableauDatas[[Test]:[Test]]=$AS$2)*(TableauDatas[[Prénom]:[Prénom]]=V14)*(TableauDatas[[Date]:[Date]]=$AS$1)*(TableauDatas[[Perf]:[Perf]])))</f>
        <v/>
      </c>
      <c r="AT14" s="118" t="str" cm="1">
        <f t="array" ref="AT14">IF(SUMPRODUCT((TableauDatas[[Test]:[Test]]=$AS$2)*(TableauDatas[[Prénom]:[Prénom]]=V14)*(TableauDatas[[Date]:[Date]]=$AT$1)*(TableauDatas[[Perf]:[Perf]]))=0,"",SUMPRODUCT((TableauDatas[[Test]:[Test]]=$AS$2)*(TableauDatas[[Prénom]:[Prénom]]=V14)*(TableauDatas[[Date]:[Date]]=$AT$1)*(TableauDatas[[Perf]:[Perf]])))</f>
        <v/>
      </c>
      <c r="AU14" s="118" t="str" cm="1">
        <f t="array" ref="AU14">IF(SUMPRODUCT((TableauDatas[[Test]:[Test]]=$AU$2)*(TableauDatas[[Prénom]:[Prénom]]=V14)*(TableauDatas[[Date]:[Date]]=$AU$1)*(TableauDatas[[Perf]:[Perf]]))=0,"",SUMPRODUCT((TableauDatas[[Test]:[Test]]=$AU$2)*(TableauDatas[[Prénom]:[Prénom]]=V14)*(TableauDatas[[Date]:[Date]]=$AU$1)*(TableauDatas[[Perf]:[Perf]])))</f>
        <v/>
      </c>
      <c r="AV14" s="118" t="str" cm="1">
        <f t="array" ref="AV14">IF(SUMPRODUCT((TableauDatas[[Test]:[Test]]=$AU$2)*(TableauDatas[[Prénom]:[Prénom]]=V14)*(TableauDatas[[Date]:[Date]]=$AV$1)*(TableauDatas[[Perf]:[Perf]]))=0,"",SUMPRODUCT((TableauDatas[[Test]:[Test]]=$AU$2)*(TableauDatas[[Prénom]:[Prénom]]=V14)*(TableauDatas[[Date]:[Date]]=$AV$1)*(TableauDatas[[Perf]:[Perf]])))</f>
        <v/>
      </c>
      <c r="AW14" s="118" t="str" cm="1">
        <f t="array" ref="AW14">IF(SUMPRODUCT((TableauDatas[[Test]:[Test]]=$AW$2)*(TableauDatas[[Prénom]:[Prénom]]=V14)*(TableauDatas[[Date]:[Date]]=$AW$1)*(TableauDatas[[Perf]:[Perf]]))=0,"",SUMPRODUCT((TableauDatas[[Test]:[Test]]=$AW$2)*(TableauDatas[[Prénom]:[Prénom]]=V14)*(TableauDatas[[Date]:[Date]]=$AW$1)*(TableauDatas[[Perf]:[Perf]])))</f>
        <v/>
      </c>
      <c r="AX14" s="118" t="str" cm="1">
        <f t="array" ref="AX14">IF(SUMPRODUCT((TableauDatas[[Test]:[Test]]=$AW$2)*(TableauDatas[[Prénom]:[Prénom]]=V14)*(TableauDatas[[Date]:[Date]]=$AX$1)*(TableauDatas[[Perf]:[Perf]]))=0,"",SUMPRODUCT((TableauDatas[[Test]:[Test]]=$AW$2)*(TableauDatas[[Prénom]:[Prénom]]=V14)*(TableauDatas[[Date]:[Date]]=$AX$1)*(TableauDatas[[Perf]:[Perf]])))</f>
        <v/>
      </c>
      <c r="AY14" s="118" t="str" cm="1">
        <f t="array" ref="AY14">IF(SUMPRODUCT((TableauDatas[[Test]:[Test]]=$AY$2)*(TableauDatas[[Prénom]:[Prénom]]=V14)*(TableauDatas[[Date]:[Date]]=$AY$1)*(TableauDatas[[Perf]:[Perf]]))=0,"",SUMPRODUCT((TableauDatas[[Test]:[Test]]=$AY$2)*(TableauDatas[[Prénom]:[Prénom]]=V14)*(TableauDatas[[Date]:[Date]]=$AY$1)*(TableauDatas[[Perf]:[Perf]])))</f>
        <v/>
      </c>
      <c r="AZ14" s="118" t="str" cm="1">
        <f t="array" ref="AZ14">IF(SUMPRODUCT((TableauDatas[[Test]:[Test]]=$AY$2)*(TableauDatas[[Prénom]:[Prénom]]=V14)*(TableauDatas[[Date]:[Date]]=$AZ$1)*(TableauDatas[[Perf]:[Perf]]))=0,"",SUMPRODUCT((TableauDatas[[Test]:[Test]]=$AY$2)*(TableauDatas[[Prénom]:[Prénom]]=V14)*(TableauDatas[[Date]:[Date]]=$AZ$1)*(TableauDatas[[Perf]:[Perf]])))</f>
        <v/>
      </c>
      <c r="BA14" s="118" t="str" cm="1">
        <f t="array" ref="BA14">IF(SUMPRODUCT((TableauDatas[[Test]:[Test]]=$BA$2)*(TableauDatas[[Prénom]:[Prénom]]=V14)*(TableauDatas[[Date]:[Date]]=$BA$1)*(TableauDatas[[Perf]:[Perf]]))=0,"",SUMPRODUCT((TableauDatas[[Test]:[Test]]=$BA$2)*(TableauDatas[[Prénom]:[Prénom]]=V14)*(TableauDatas[[Date]:[Date]]=$BA$1)*(TableauDatas[[Perf]:[Perf]])))</f>
        <v/>
      </c>
      <c r="BB14" s="118" t="str" cm="1">
        <f t="array" ref="BB14">IF(SUMPRODUCT((TableauDatas[[Test]:[Test]]=$BA$2)*(TableauDatas[[Prénom]:[Prénom]]=V14)*(TableauDatas[[Date]:[Date]]=$BB$1)*(TableauDatas[[Perf]:[Perf]]))=0,"",SUMPRODUCT((TableauDatas[[Test]:[Test]]=$BA$2)*(TableauDatas[[Prénom]:[Prénom]]=V14)*(TableauDatas[[Date]:[Date]]=$BB$1)*(TableauDatas[[Perf]:[Perf]])))</f>
        <v/>
      </c>
      <c r="BC14" s="118" t="str" cm="1">
        <f t="array" ref="BC14">IF(SUMPRODUCT((TableauDatas[[Test]:[Test]]=$BC$2)*(TableauDatas[[Prénom]:[Prénom]]=V14)*(TableauDatas[[Date]:[Date]]=$BC$1)*(TableauDatas[[Perf]:[Perf]]))=0,"",SUMPRODUCT((TableauDatas[[Test]:[Test]]=$BC$2)*(TableauDatas[[Prénom]:[Prénom]]=V14)*(TableauDatas[[Date]:[Date]]=$BC$1)*(TableauDatas[[Perf]:[Perf]])))</f>
        <v/>
      </c>
      <c r="BD14" s="121" t="str" cm="1">
        <f t="array" ref="BD14">IF(SUMPRODUCT((TableauDatas[[Test]:[Test]]=$BC$2)*(TableauDatas[[Prénom]:[Prénom]]=V14)*(TableauDatas[[Date]:[Date]]=$BD$1)*(TableauDatas[[Perf]:[Perf]]))=0,"",SUMPRODUCT((TableauDatas[[Test]:[Test]]=$BC$2)*(TableauDatas[[Prénom]:[Prénom]]=V14)*(TableauDatas[[Date]:[Date]]=$BD$1)*(TableauDatas[[Perf]:[Perf]])))</f>
        <v/>
      </c>
      <c r="BE14" s="118" t="str" cm="1">
        <f t="array" ref="BE14">IF(SUMPRODUCT((TableauDatas[[Test]:[Test]]=$BE$2)*(TableauDatas[[Prénom]:[Prénom]]=V14)*(TableauDatas[[Date]:[Date]]=$BE$1)*(TableauDatas[[Perf]:[Perf]]))=0,"",SUMPRODUCT((TableauDatas[[Test]:[Test]]=$BE$2)*(TableauDatas[[Prénom]:[Prénom]]=V14)*(TableauDatas[[Date]:[Date]]=$BE$1)*(TableauDatas[[Perf]:[Perf]])))</f>
        <v/>
      </c>
      <c r="BF14" s="118" t="str" cm="1">
        <f t="array" ref="BF14">IF(SUMPRODUCT((TableauDatas[[Test]:[Test]]=$BE$2)*(TableauDatas[[Prénom]:[Prénom]]=V14)*(TableauDatas[[Date]:[Date]]=$BF$1)*(TableauDatas[[Perf]:[Perf]]))=0,"",SUMPRODUCT((TableauDatas[[Test]:[Test]]=$BE$2)*(TableauDatas[[Prénom]:[Prénom]]=V14)*(TableauDatas[[Date]:[Date]]=$BF$1)*(TableauDatas[[Perf]:[Perf]])))</f>
        <v/>
      </c>
      <c r="BG14" s="118" t="str" cm="1">
        <f t="array" ref="BG14">IF(SUMPRODUCT((TableauDatas[[Test]:[Test]]=$BG$2)*(TableauDatas[[Prénom]:[Prénom]]=V14)*(TableauDatas[[Date]:[Date]]=$BG$1)*(TableauDatas[[Perf]:[Perf]]))=0,"",SUMPRODUCT((TableauDatas[[Test]:[Test]]=$BG$2)*(TableauDatas[[Prénom]:[Prénom]]=V14)*(TableauDatas[[Date]:[Date]]=$BG$1)*(TableauDatas[[Perf]:[Perf]])))</f>
        <v/>
      </c>
      <c r="BH14" s="118" t="str" cm="1">
        <f t="array" ref="BH14">IF(SUMPRODUCT((TableauDatas[[Test]:[Test]]=$BG$2)*(TableauDatas[[Prénom]:[Prénom]]=V14)*(TableauDatas[[Date]:[Date]]=$BH$1)*(TableauDatas[[Perf]:[Perf]]))=0,"",SUMPRODUCT((TableauDatas[[Test]:[Test]]=$BG$2)*(TableauDatas[[Prénom]:[Prénom]]=V14)*(TableauDatas[[Date]:[Date]]=$BH$1)*(TableauDatas[[Perf]:[Perf]])))</f>
        <v/>
      </c>
      <c r="BI14" s="118" t="str" cm="1">
        <f t="array" ref="BI14">IF(SUMPRODUCT((TableauDatas[[Test]:[Test]]=$BI$2)*(TableauDatas[[Prénom]:[Prénom]]=V14)*(TableauDatas[[Date]:[Date]]=$BI$1)*(TableauDatas[[Perf]:[Perf]]))=0,"",SUMPRODUCT((TableauDatas[[Test]:[Test]]=$BI$2)*(TableauDatas[[Prénom]:[Prénom]]=V14)*(TableauDatas[[Date]:[Date]]=$BI$1)*(TableauDatas[[Perf]:[Perf]])))</f>
        <v/>
      </c>
      <c r="BJ14" s="118" t="str" cm="1">
        <f t="array" ref="BJ14">IF(SUMPRODUCT((TableauDatas[[Test]:[Test]]=$BI$2)*(TableauDatas[[Prénom]:[Prénom]]=V14)*(TableauDatas[[Date]:[Date]]=$BJ$1)*(TableauDatas[[Perf]:[Perf]]))=0,"",SUMPRODUCT((TableauDatas[[Test]:[Test]]=$BI$2)*(TableauDatas[[Prénom]:[Prénom]]=V14)*(TableauDatas[[Date]:[Date]]=$BJ$1)*(TableauDatas[[Perf]:[Perf]])))</f>
        <v/>
      </c>
      <c r="BK14" s="118" t="str" cm="1">
        <f t="array" ref="BK14">IF(SUMPRODUCT((TableauDatas[[Test]:[Test]]=$BK$2)*(TableauDatas[[Prénom]:[Prénom]]=V14)*(TableauDatas[[Date]:[Date]]=$BK$1)*(TableauDatas[[Perf]:[Perf]]))=0,"",SUMPRODUCT((TableauDatas[[Test]:[Test]]=$BK$2)*(TableauDatas[[Prénom]:[Prénom]]=V14)*(TableauDatas[[Date]:[Date]]=$BK$1)*(TableauDatas[[Perf]:[Perf]])))</f>
        <v/>
      </c>
      <c r="BL14" s="118" t="str" cm="1">
        <f t="array" ref="BL14">IF(SUMPRODUCT((TableauDatas[[Test]:[Test]]=$BK$2)*(TableauDatas[[Prénom]:[Prénom]]=V14)*(TableauDatas[[Date]:[Date]]=$BL$1)*(TableauDatas[[Perf]:[Perf]]))=0,"",SUMPRODUCT((TableauDatas[[Test]:[Test]]=$BK$2)*(TableauDatas[[Prénom]:[Prénom]]=V14)*(TableauDatas[[Date]:[Date]]=$BL$1)*(TableauDatas[[Perf]:[Perf]])))</f>
        <v/>
      </c>
      <c r="BM14" s="118" t="str" cm="1">
        <f t="array" ref="BM14">IF(SUMPRODUCT((TableauDatas[[Test]:[Test]]=$BM$2)*(TableauDatas[[Prénom]:[Prénom]]=V14)*(TableauDatas[[Date]:[Date]]=$BM$1)*(TableauDatas[[Perf]:[Perf]]))=0,"",SUMPRODUCT((TableauDatas[[Test]:[Test]]=$BM$2)*(TableauDatas[[Prénom]:[Prénom]]=V14)*(TableauDatas[[Date]:[Date]]=$BM$1)*(TableauDatas[[Perf]:[Perf]])))</f>
        <v/>
      </c>
      <c r="BN14" s="118" t="str" cm="1">
        <f t="array" ref="BN14">IF(SUMPRODUCT((TableauDatas[[Test]:[Test]]=$BM$2)*(TableauDatas[[Prénom]:[Prénom]]=V14)*(TableauDatas[[Date]:[Date]]=$BN$1)*(TableauDatas[[Perf]:[Perf]]))=0,"",SUMPRODUCT((TableauDatas[[Test]:[Test]]=$BM$2)*(TableauDatas[[Prénom]:[Prénom]]=V14)*(TableauDatas[[Date]:[Date]]=$BN$1)*(TableauDatas[[Perf]:[Perf]])))</f>
        <v/>
      </c>
      <c r="BO14" s="118" t="str" cm="1">
        <f t="array" ref="BO14">IF(SUMPRODUCT((TableauDatas[[Test]:[Test]]=$BO$2)*(TableauDatas[[Prénom]:[Prénom]]=V14)*(TableauDatas[[Date]:[Date]]=$BO$1)*(TableauDatas[[Perf]:[Perf]]))=0,"",SUMPRODUCT((TableauDatas[[Test]:[Test]]=$BO$2)*(TableauDatas[[Prénom]:[Prénom]]=V14)*(TableauDatas[[Date]:[Date]]=$BO$1)*(TableauDatas[[Perf]:[Perf]])))</f>
        <v/>
      </c>
      <c r="BP14" s="119" t="str" cm="1">
        <f t="array" ref="BP14">IF(SUMPRODUCT((TableauDatas[[Test]:[Test]]=$BO$2)*(TableauDatas[[Prénom]:[Prénom]]=V14)*(TableauDatas[[Date]:[Date]]=$BP$1)*(TableauDatas[[Perf]:[Perf]]))=0,"",SUMPRODUCT((TableauDatas[[Test]:[Test]]=$BO$2)*(TableauDatas[[Prénom]:[Prénom]]=V14)*(TableauDatas[[Date]:[Date]]=$BP$1)*(TableauDatas[[Perf]:[Perf]])))</f>
        <v/>
      </c>
      <c r="BQ14" s="18"/>
      <c r="BR14" s="18"/>
      <c r="BS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DA14" s="97"/>
      <c r="DB14" s="97"/>
      <c r="DC14" s="97"/>
      <c r="DD14" s="97"/>
      <c r="DE14" s="97"/>
      <c r="DF14" s="97"/>
      <c r="DG14" s="97"/>
      <c r="DH14" s="97"/>
      <c r="DI14" s="97"/>
      <c r="DJ14" s="97"/>
      <c r="DK14" s="97"/>
      <c r="DL14" s="97"/>
      <c r="DM14" s="97"/>
      <c r="DN14" s="97"/>
      <c r="DO14" s="97"/>
      <c r="DQ14" s="97"/>
      <c r="DR14" s="97"/>
      <c r="DS14" s="97"/>
      <c r="DT14" s="97"/>
      <c r="DU14" s="97"/>
      <c r="DV14" s="97"/>
      <c r="DW14" s="97"/>
      <c r="DX14" s="97"/>
      <c r="DY14" s="97"/>
      <c r="DZ14" s="97"/>
      <c r="EA14" s="97"/>
      <c r="EB14" s="97"/>
      <c r="EC14" s="97"/>
      <c r="ED14" s="97"/>
      <c r="EE14" s="97"/>
      <c r="EG14" s="97"/>
      <c r="EH14" s="97"/>
      <c r="EI14" s="97"/>
      <c r="EJ14" s="97"/>
      <c r="EK14" s="97"/>
      <c r="EL14" s="97"/>
      <c r="EM14" s="97"/>
      <c r="EN14" s="97"/>
      <c r="EO14" s="97"/>
      <c r="EP14" s="97"/>
      <c r="EQ14" s="97"/>
      <c r="ER14" s="97"/>
      <c r="ES14" s="97"/>
      <c r="ET14" s="97"/>
      <c r="EU14" s="97"/>
      <c r="EW14" s="97"/>
      <c r="EX14" s="97"/>
      <c r="EY14" s="97"/>
      <c r="EZ14" s="97"/>
      <c r="FA14" s="97"/>
      <c r="FB14" s="97"/>
      <c r="FC14" s="97"/>
      <c r="FD14" s="97"/>
      <c r="FE14" s="97"/>
      <c r="FF14" s="97"/>
      <c r="FG14" s="97"/>
      <c r="FH14" s="97"/>
      <c r="FI14" s="97"/>
      <c r="FJ14" s="97"/>
      <c r="FK14" s="97"/>
      <c r="FM14" s="97"/>
      <c r="FN14" s="97"/>
      <c r="FO14" s="97"/>
      <c r="FP14" s="97"/>
      <c r="FQ14" s="97"/>
      <c r="FR14" s="97"/>
      <c r="FS14" s="97"/>
      <c r="FT14" s="97"/>
      <c r="FU14" s="97"/>
      <c r="FV14" s="97"/>
      <c r="FW14" s="97"/>
      <c r="FX14" s="97"/>
      <c r="FY14" s="97"/>
      <c r="FZ14" s="97"/>
      <c r="GA14" s="97"/>
      <c r="GC14" s="97"/>
      <c r="GD14" s="97"/>
      <c r="GE14" s="97"/>
      <c r="GF14" s="97"/>
      <c r="GG14" s="97"/>
      <c r="GH14" s="97"/>
      <c r="GI14" s="97"/>
      <c r="GJ14" s="97"/>
      <c r="GK14" s="97"/>
      <c r="GL14" s="97"/>
      <c r="GM14" s="97"/>
      <c r="GN14" s="97"/>
      <c r="GO14" s="97"/>
      <c r="GP14" s="97"/>
      <c r="GQ14" s="97"/>
      <c r="GS14" s="97"/>
      <c r="GT14" s="97"/>
      <c r="GU14" s="97"/>
      <c r="GV14" s="97"/>
      <c r="GW14" s="97"/>
      <c r="GX14" s="97"/>
      <c r="GY14" s="97"/>
      <c r="GZ14" s="97"/>
      <c r="HA14" s="97"/>
      <c r="HB14" s="97"/>
      <c r="HC14" s="97"/>
      <c r="HD14" s="97"/>
      <c r="HE14" s="97"/>
      <c r="HF14" s="97"/>
      <c r="HG14" s="97"/>
      <c r="HI14" s="97"/>
      <c r="HJ14" s="97"/>
      <c r="HK14" s="97"/>
      <c r="HL14" s="97"/>
      <c r="HM14" s="97"/>
      <c r="HN14" s="97"/>
      <c r="HO14" s="97"/>
      <c r="HP14" s="97"/>
      <c r="HQ14" s="97"/>
      <c r="HR14" s="97"/>
      <c r="HS14" s="97"/>
      <c r="HT14" s="97"/>
      <c r="HU14" s="97"/>
      <c r="HV14" s="97"/>
      <c r="HW14" s="97"/>
      <c r="HY14" s="97"/>
      <c r="HZ14" s="97"/>
      <c r="IA14" s="97"/>
      <c r="IB14" s="97"/>
      <c r="IC14" s="97"/>
      <c r="ID14" s="97"/>
      <c r="IE14" s="97"/>
      <c r="IF14" s="97"/>
      <c r="IG14" s="97"/>
      <c r="IH14" s="97"/>
      <c r="II14" s="97"/>
      <c r="IJ14" s="97"/>
      <c r="IK14" s="97"/>
      <c r="IL14" s="97"/>
      <c r="IM14" s="97"/>
      <c r="IO14" s="97"/>
      <c r="IP14" s="97"/>
      <c r="IQ14" s="97"/>
      <c r="IR14" s="97"/>
      <c r="IS14" s="97"/>
      <c r="IT14" s="97"/>
      <c r="IU14" s="24"/>
      <c r="IV14" s="24"/>
      <c r="IW14" s="24"/>
      <c r="IX14" s="24"/>
      <c r="IY14" s="24"/>
      <c r="IZ14" s="24"/>
      <c r="JA14" s="24"/>
      <c r="JB14" s="24"/>
      <c r="JC14" s="24"/>
    </row>
    <row r="15" spans="1:263" x14ac:dyDescent="0.25">
      <c r="A15" s="155"/>
      <c r="B15" s="21"/>
      <c r="C15" s="56" t="str" cm="1">
        <f t="array" ref="C15">IF(SUMPRODUCT((TableauDatas[[Prénom]:[Prénom]]=$C$4)*(TableauDatas[[Date]:[Date]]=B15)*(TableauDatas[[Test]:[Test]]=A15)*(TableauDatas[[Perf]:[Perf]]))=0,"",SUMPRODUCT((TableauDatas[[Prénom]:[Prénom]]=$C$4)*(TableauDatas[[Date]:[Date]]=B15)*(TableauDatas[[Test]:[Test]]=A15)*(TableauDatas[[Perf]:[Perf]])))</f>
        <v/>
      </c>
      <c r="D15" s="32" t="str">
        <f>IFERROR(Z30,"")</f>
        <v/>
      </c>
      <c r="E15" s="30" t="str">
        <f>IFERROR(Z31,"")</f>
        <v/>
      </c>
      <c r="F15" s="33" t="str">
        <f>IFERROR(Z32,"")</f>
        <v/>
      </c>
      <c r="G15" s="163" t="str">
        <f>IFERROR(Z33,"")</f>
        <v/>
      </c>
      <c r="H15" s="40" t="str">
        <f>IFERROR(Z28,"")</f>
        <v/>
      </c>
      <c r="I15" s="27"/>
      <c r="J15" s="28"/>
      <c r="N15" s="108"/>
      <c r="O15" s="105"/>
      <c r="P15" s="106"/>
      <c r="Q15" s="106"/>
      <c r="R15" s="106"/>
      <c r="S15" s="107"/>
      <c r="T15" s="109"/>
      <c r="U15" s="103"/>
      <c r="V15" s="89">
        <f t="shared" si="0"/>
        <v>0</v>
      </c>
      <c r="W15" s="86" t="str" cm="1">
        <f t="array" ref="W15">IF(SUMPRODUCT((TableauDatas[[Test]:[Test]]=$W$2)*(TableauDatas[[Prénom]:[Prénom]]=V15)*(TableauDatas[[Date]:[Date]]=$W$1)*(TableauDatas[[Perf]:[Perf]]))=0,"",SUMPRODUCT((TableauDatas[[Test]:[Test]]=$W$2)*(TableauDatas[[Prénom]:[Prénom]]=V15)*(TableauDatas[[Date]:[Date]]=$W$1)*(TableauDatas[[Perf]:[Perf]])))</f>
        <v/>
      </c>
      <c r="X15" s="86" t="str" cm="1">
        <f t="array" ref="X15">IF(SUMPRODUCT((TableauDatas[[Test]:[Test]]=$X$2)*(TableauDatas[[Prénom]:[Prénom]]=V15)*(TableauDatas[[Date]:[Date]]=$X$1)*(TableauDatas[[Perf]:[Perf]]))=0,"",SUMPRODUCT((TableauDatas[[Test]:[Test]]=$X$2)*(TableauDatas[[Prénom]:[Prénom]]=V15)*(TableauDatas[[Date]:[Date]]=$X$1)*(TableauDatas[[Perf]:[Perf]])))</f>
        <v/>
      </c>
      <c r="Y15" s="86" t="str" cm="1">
        <f t="array" ref="Y15">IF(SUMPRODUCT((TableauDatas[[Test]:[Test]]=$Y$2)*(TableauDatas[[Prénom]:[Prénom]]=V15)*(TableauDatas[[Date]:[Date]]=$Y$1)*(TableauDatas[[Perf]:[Perf]]))=0,"",SUMPRODUCT((TableauDatas[[Test]:[Test]]=$Y$2)*(TableauDatas[[Prénom]:[Prénom]]=V15)*(TableauDatas[[Date]:[Date]]=$Y$1)*(TableauDatas[[Perf]:[Perf]])))</f>
        <v/>
      </c>
      <c r="Z15" s="86" t="str" cm="1">
        <f t="array" ref="Z15">IF(SUMPRODUCT((TableauDatas[[Test]:[Test]]=$Z$2)*(TableauDatas[[Prénom]:[Prénom]]=V15)*(TableauDatas[[Date]:[Date]]=$Z$1)*(TableauDatas[[Perf]:[Perf]]))=0,"",SUMPRODUCT((TableauDatas[[Test]:[Test]]=$Z$2)*(TableauDatas[[Prénom]:[Prénom]]=V15)*(TableauDatas[[Date]:[Date]]=$Z$1)*(TableauDatas[[Perf]:[Perf]])))</f>
        <v/>
      </c>
      <c r="AA15" s="86" t="str" cm="1">
        <f t="array" ref="AA15">IF(SUMPRODUCT((TableauDatas[[Test]:[Test]]=$AA$2)*(TableauDatas[[Prénom]:[Prénom]]=V15)*(TableauDatas[[Date]:[Date]]=$AA$1)*(TableauDatas[[Perf]:[Perf]]))=0,"",SUMPRODUCT((TableauDatas[[Test]:[Test]]=$AA$2)*(TableauDatas[[Prénom]:[Prénom]]=V15)*(TableauDatas[[Date]:[Date]]=$AA$1)*(TableauDatas[[Perf]:[Perf]])))</f>
        <v/>
      </c>
      <c r="AB15" s="86" t="str" cm="1">
        <f t="array" ref="AB15">IF(SUMPRODUCT((TableauDatas[[Test]:[Test]]=$AB$2)*(TableauDatas[[Prénom]:[Prénom]]=V15)*(TableauDatas[[Date]:[Date]]=$AB$1)*(TableauDatas[[Perf]:[Perf]]))=0,"",SUMPRODUCT((TableauDatas[[Test]:[Test]]=$AB$2)*(TableauDatas[[Prénom]:[Prénom]]=V15)*(TableauDatas[[Date]:[Date]]=$AB$1)*(TableauDatas[[Perf]:[Perf]])))</f>
        <v/>
      </c>
      <c r="AC15" s="86" t="str" cm="1">
        <f t="array" ref="AC15">IF(SUMPRODUCT((TableauDatas[[Test]:[Test]]=$AC$2)*(TableauDatas[[Prénom]:[Prénom]]=V15)*(TableauDatas[[Date]:[Date]]=$AC$1)*(TableauDatas[[Perf]:[Perf]]))=0,"",SUMPRODUCT((TableauDatas[[Test]:[Test]]=$AC$2)*(TableauDatas[[Prénom]:[Prénom]]=V15)*(TableauDatas[[Date]:[Date]]=$AC$1)*(TableauDatas[[Perf]:[Perf]])))</f>
        <v/>
      </c>
      <c r="AD15" s="86" t="str" cm="1">
        <f t="array" ref="AD15">IF(SUMPRODUCT((TableauDatas[[Test]:[Test]]=$AD$2)*(TableauDatas[[Prénom]:[Prénom]]=V15)*(TableauDatas[[Date]:[Date]]=$AD$1)*(TableauDatas[[Perf]:[Perf]]))=0,"",SUMPRODUCT((TableauDatas[[Test]:[Test]]=$AD$2)*(TableauDatas[[Prénom]:[Prénom]]=V15)*(TableauDatas[[Date]:[Date]]=$AD$1)*(TableauDatas[[Perf]:[Perf]])))</f>
        <v/>
      </c>
      <c r="AE15" s="86" t="str" cm="1">
        <f t="array" ref="AE15">IF(SUMPRODUCT((TableauDatas[[Test]:[Test]]=$AE$2)*(TableauDatas[[Prénom]:[Prénom]]=V15)*(TableauDatas[[Date]:[Date]]=$AE$1)*(TableauDatas[[Perf]:[Perf]]))=0,"",SUMPRODUCT((TableauDatas[[Test]:[Test]]=$AE$2)*(TableauDatas[[Prénom]:[Prénom]]=V15)*(TableauDatas[[Date]:[Date]]=$AE$1)*(TableauDatas[[Perf]:[Perf]])))</f>
        <v/>
      </c>
      <c r="AF15" s="86" t="str" cm="1">
        <f t="array" ref="AF15">IF(SUMPRODUCT((TableauDatas[[Test]:[Test]]=$AF$2)*(TableauDatas[[Prénom]:[Prénom]]=V15)*(TableauDatas[[Date]:[Date]]=$AF$1)*(TableauDatas[[Perf]:[Perf]]))=0,"",SUMPRODUCT((TableauDatas[[Test]:[Test]]=$AF$2)*(TableauDatas[[Prénom]:[Prénom]]=V15)*(TableauDatas[[Date]:[Date]]=$AF$1)*(TableauDatas[[Perf]:[Perf]])))</f>
        <v/>
      </c>
      <c r="AG15" s="86" t="str" cm="1">
        <f t="array" ref="AG15">IF(SUMPRODUCT((TableauDatas[[Test]:[Test]]=$AG$2)*(TableauDatas[[Prénom]:[Prénom]]=V15)*(TableauDatas[[Date]:[Date]]=$AG$1)*(TableauDatas[[Perf]:[Perf]]))=0,"",SUMPRODUCT((TableauDatas[[Test]:[Test]]=$AG$2)*(TableauDatas[[Prénom]:[Prénom]]=V15)*(TableauDatas[[Date]:[Date]]=$AG$1)*(TableauDatas[[Perf]:[Perf]])))</f>
        <v/>
      </c>
      <c r="AH15" s="86" t="str" cm="1">
        <f t="array" ref="AH15">IF(SUMPRODUCT((TableauDatas[[Test]:[Test]]=$AH$2)*(TableauDatas[[Prénom]:[Prénom]]=V15)*(TableauDatas[[Date]:[Date]]=$AH$1)*(TableauDatas[[Perf]:[Perf]]))=0,"",SUMPRODUCT((TableauDatas[[Test]:[Test]]=$AH$2)*(TableauDatas[[Prénom]:[Prénom]]=V15)*(TableauDatas[[Date]:[Date]]=$AH$1)*(TableauDatas[[Perf]:[Perf]])))</f>
        <v/>
      </c>
      <c r="AI15" s="86" t="str" cm="1">
        <f t="array" ref="AI15">IF(SUMPRODUCT((TableauDatas[[Test]:[Test]]=$AI$2)*(TableauDatas[[Prénom]:[Prénom]]=V15)*(TableauDatas[[Date]:[Date]]=$AI$1)*(TableauDatas[[Perf]:[Perf]]))=0,"",SUMPRODUCT((TableauDatas[[Test]:[Test]]=$AI$2)*(TableauDatas[[Prénom]:[Prénom]]=V15)*(TableauDatas[[Date]:[Date]]=$AI$1)*(TableauDatas[[Perf]:[Perf]])))</f>
        <v/>
      </c>
      <c r="AJ15" s="86" t="str" cm="1">
        <f t="array" ref="AJ15">IF(SUMPRODUCT((TableauDatas[[Test]:[Test]]=$AJ$2)*(TableauDatas[[Prénom]:[Prénom]]=V15)*(TableauDatas[[Date]:[Date]]=$AJ$1)*(TableauDatas[[Perf]:[Perf]]))=0,"",SUMPRODUCT((TableauDatas[[Test]:[Test]]=$AJ$2)*(TableauDatas[[Prénom]:[Prénom]]=V15)*(TableauDatas[[Date]:[Date]]=$AJ$1)*(TableauDatas[[Perf]:[Perf]])))</f>
        <v/>
      </c>
      <c r="AK15" s="87" t="str" cm="1">
        <f t="array" ref="AK15">IF(SUMPRODUCT((TableauDatas[[Test]:[Test]]=$AK$2)*(TableauDatas[[Prénom]:[Prénom]]=V15)*(TableauDatas[[Date]:[Date]]=$AK$1)*(TableauDatas[[Perf]:[Perf]]))=0,"",SUMPRODUCT((TableauDatas[[Test]:[Test]]=$AK$2)*(TableauDatas[[Prénom]:[Prénom]]=V15)*(TableauDatas[[Date]:[Date]]=$AK$1)*(TableauDatas[[Perf]:[Perf]])))</f>
        <v/>
      </c>
      <c r="AL15" s="18"/>
      <c r="AM15" s="117" t="str" cm="1">
        <f t="array" ref="AM15">IF(SUMPRODUCT((TableauDatas[[Test]:[Test]]=$AM$2)*(TableauDatas[[Prénom]:[Prénom]]=V15)*(TableauDatas[[Date]:[Date]]=$AM$1)*(TableauDatas[[Perf]:[Perf]]))=0,"",SUMPRODUCT((TableauDatas[[Test]:[Test]]=$AM$2)*(TableauDatas[[Prénom]:[Prénom]]=V15)*(TableauDatas[[Date]:[Date]]=$AM$1)*(TableauDatas[[Perf]:[Perf]])))</f>
        <v/>
      </c>
      <c r="AN15" s="120" t="str" cm="1">
        <f t="array" ref="AN15">IF(SUMPRODUCT((TableauDatas[[Test]:[Test]]=$AM$2)*(TableauDatas[[Prénom]:[Prénom]]=V15)*(TableauDatas[[Date]:[Date]]=$AN$1)*(TableauDatas[[Perf]:[Perf]]))=0,"",SUMPRODUCT((TableauDatas[[Test]:[Test]]=$AM$2)*(TableauDatas[[Prénom]:[Prénom]]=V15)*(TableauDatas[[Date]:[Date]]=$AN$1)*(TableauDatas[[Perf]:[Perf]])))</f>
        <v/>
      </c>
      <c r="AO15" s="118" t="str" cm="1">
        <f t="array" ref="AO15">IF(SUMPRODUCT((TableauDatas[[Test]:[Test]]=$AO$2)*(TableauDatas[[Prénom]:[Prénom]]=V15)*(TableauDatas[[Date]:[Date]]=$AO$1)*(TableauDatas[[Perf]:[Perf]]))=0,"",SUMPRODUCT((TableauDatas[[Test]:[Test]]=$AO$2)*(TableauDatas[[Prénom]:[Prénom]]=V15)*(TableauDatas[[Date]:[Date]]=$AO$1)*(TableauDatas[[Perf]:[Perf]])))</f>
        <v/>
      </c>
      <c r="AP15" s="118" t="str" cm="1">
        <f t="array" ref="AP15">IF(SUMPRODUCT((TableauDatas[[Test]:[Test]]=$AO$2)*(TableauDatas[[Prénom]:[Prénom]]=V15)*(TableauDatas[[Date]:[Date]]=$AP$1)*(TableauDatas[[Perf]:[Perf]]))=0,"",SUMPRODUCT((TableauDatas[[Test]:[Test]]=$AO$2)*(TableauDatas[[Prénom]:[Prénom]]=V15)*(TableauDatas[[Date]:[Date]]=$AP$1)*(TableauDatas[[Perf]:[Perf]])))</f>
        <v/>
      </c>
      <c r="AQ15" s="118" t="str" cm="1">
        <f t="array" ref="AQ15">IF(SUMPRODUCT((TableauDatas[[Test]:[Test]]=$AQ$2)*(TableauDatas[[Prénom]:[Prénom]]=V15)*(TableauDatas[[Date]:[Date]]=$AQ$1)*(TableauDatas[[Perf]:[Perf]]))=0,"",SUMPRODUCT((TableauDatas[[Test]:[Test]]=$AQ$2)*(TableauDatas[[Prénom]:[Prénom]]=V15)*(TableauDatas[[Date]:[Date]]=$AQ$1)*(TableauDatas[[Perf]:[Perf]])))</f>
        <v/>
      </c>
      <c r="AR15" s="118" t="str" cm="1">
        <f t="array" ref="AR15">IF(SUMPRODUCT((TableauDatas[[Test]:[Test]]=$AQ$2)*(TableauDatas[[Prénom]:[Prénom]]=V15)*(TableauDatas[[Date]:[Date]]=$AR$1)*(TableauDatas[[Perf]:[Perf]]))=0,"",SUMPRODUCT((TableauDatas[[Test]:[Test]]=$AQ$2)*(TableauDatas[[Prénom]:[Prénom]]=V15)*(TableauDatas[[Date]:[Date]]=$AR$1)*(TableauDatas[[Perf]:[Perf]])))</f>
        <v/>
      </c>
      <c r="AS15" s="118" t="str" cm="1">
        <f t="array" ref="AS15">IF(SUMPRODUCT((TableauDatas[[Test]:[Test]]=$AS$2)*(TableauDatas[[Prénom]:[Prénom]]=V15)*(TableauDatas[[Date]:[Date]]=$AS$1)*(TableauDatas[[Perf]:[Perf]]))=0,"",SUMPRODUCT((TableauDatas[[Test]:[Test]]=$AS$2)*(TableauDatas[[Prénom]:[Prénom]]=V15)*(TableauDatas[[Date]:[Date]]=$AS$1)*(TableauDatas[[Perf]:[Perf]])))</f>
        <v/>
      </c>
      <c r="AT15" s="118" t="str" cm="1">
        <f t="array" ref="AT15">IF(SUMPRODUCT((TableauDatas[[Test]:[Test]]=$AS$2)*(TableauDatas[[Prénom]:[Prénom]]=V15)*(TableauDatas[[Date]:[Date]]=$AT$1)*(TableauDatas[[Perf]:[Perf]]))=0,"",SUMPRODUCT((TableauDatas[[Test]:[Test]]=$AS$2)*(TableauDatas[[Prénom]:[Prénom]]=V15)*(TableauDatas[[Date]:[Date]]=$AT$1)*(TableauDatas[[Perf]:[Perf]])))</f>
        <v/>
      </c>
      <c r="AU15" s="118" t="str" cm="1">
        <f t="array" ref="AU15">IF(SUMPRODUCT((TableauDatas[[Test]:[Test]]=$AU$2)*(TableauDatas[[Prénom]:[Prénom]]=V15)*(TableauDatas[[Date]:[Date]]=$AU$1)*(TableauDatas[[Perf]:[Perf]]))=0,"",SUMPRODUCT((TableauDatas[[Test]:[Test]]=$AU$2)*(TableauDatas[[Prénom]:[Prénom]]=V15)*(TableauDatas[[Date]:[Date]]=$AU$1)*(TableauDatas[[Perf]:[Perf]])))</f>
        <v/>
      </c>
      <c r="AV15" s="118" t="str" cm="1">
        <f t="array" ref="AV15">IF(SUMPRODUCT((TableauDatas[[Test]:[Test]]=$AU$2)*(TableauDatas[[Prénom]:[Prénom]]=V15)*(TableauDatas[[Date]:[Date]]=$AV$1)*(TableauDatas[[Perf]:[Perf]]))=0,"",SUMPRODUCT((TableauDatas[[Test]:[Test]]=$AU$2)*(TableauDatas[[Prénom]:[Prénom]]=V15)*(TableauDatas[[Date]:[Date]]=$AV$1)*(TableauDatas[[Perf]:[Perf]])))</f>
        <v/>
      </c>
      <c r="AW15" s="118" t="str" cm="1">
        <f t="array" ref="AW15">IF(SUMPRODUCT((TableauDatas[[Test]:[Test]]=$AW$2)*(TableauDatas[[Prénom]:[Prénom]]=V15)*(TableauDatas[[Date]:[Date]]=$AW$1)*(TableauDatas[[Perf]:[Perf]]))=0,"",SUMPRODUCT((TableauDatas[[Test]:[Test]]=$AW$2)*(TableauDatas[[Prénom]:[Prénom]]=V15)*(TableauDatas[[Date]:[Date]]=$AW$1)*(TableauDatas[[Perf]:[Perf]])))</f>
        <v/>
      </c>
      <c r="AX15" s="118" t="str" cm="1">
        <f t="array" ref="AX15">IF(SUMPRODUCT((TableauDatas[[Test]:[Test]]=$AW$2)*(TableauDatas[[Prénom]:[Prénom]]=V15)*(TableauDatas[[Date]:[Date]]=$AX$1)*(TableauDatas[[Perf]:[Perf]]))=0,"",SUMPRODUCT((TableauDatas[[Test]:[Test]]=$AW$2)*(TableauDatas[[Prénom]:[Prénom]]=V15)*(TableauDatas[[Date]:[Date]]=$AX$1)*(TableauDatas[[Perf]:[Perf]])))</f>
        <v/>
      </c>
      <c r="AY15" s="118" t="str" cm="1">
        <f t="array" ref="AY15">IF(SUMPRODUCT((TableauDatas[[Test]:[Test]]=$AY$2)*(TableauDatas[[Prénom]:[Prénom]]=V15)*(TableauDatas[[Date]:[Date]]=$AY$1)*(TableauDatas[[Perf]:[Perf]]))=0,"",SUMPRODUCT((TableauDatas[[Test]:[Test]]=$AY$2)*(TableauDatas[[Prénom]:[Prénom]]=V15)*(TableauDatas[[Date]:[Date]]=$AY$1)*(TableauDatas[[Perf]:[Perf]])))</f>
        <v/>
      </c>
      <c r="AZ15" s="118" t="str" cm="1">
        <f t="array" ref="AZ15">IF(SUMPRODUCT((TableauDatas[[Test]:[Test]]=$AY$2)*(TableauDatas[[Prénom]:[Prénom]]=V15)*(TableauDatas[[Date]:[Date]]=$AZ$1)*(TableauDatas[[Perf]:[Perf]]))=0,"",SUMPRODUCT((TableauDatas[[Test]:[Test]]=$AY$2)*(TableauDatas[[Prénom]:[Prénom]]=V15)*(TableauDatas[[Date]:[Date]]=$AZ$1)*(TableauDatas[[Perf]:[Perf]])))</f>
        <v/>
      </c>
      <c r="BA15" s="118" t="str" cm="1">
        <f t="array" ref="BA15">IF(SUMPRODUCT((TableauDatas[[Test]:[Test]]=$BA$2)*(TableauDatas[[Prénom]:[Prénom]]=V15)*(TableauDatas[[Date]:[Date]]=$BA$1)*(TableauDatas[[Perf]:[Perf]]))=0,"",SUMPRODUCT((TableauDatas[[Test]:[Test]]=$BA$2)*(TableauDatas[[Prénom]:[Prénom]]=V15)*(TableauDatas[[Date]:[Date]]=$BA$1)*(TableauDatas[[Perf]:[Perf]])))</f>
        <v/>
      </c>
      <c r="BB15" s="118" t="str" cm="1">
        <f t="array" ref="BB15">IF(SUMPRODUCT((TableauDatas[[Test]:[Test]]=$BA$2)*(TableauDatas[[Prénom]:[Prénom]]=V15)*(TableauDatas[[Date]:[Date]]=$BB$1)*(TableauDatas[[Perf]:[Perf]]))=0,"",SUMPRODUCT((TableauDatas[[Test]:[Test]]=$BA$2)*(TableauDatas[[Prénom]:[Prénom]]=V15)*(TableauDatas[[Date]:[Date]]=$BB$1)*(TableauDatas[[Perf]:[Perf]])))</f>
        <v/>
      </c>
      <c r="BC15" s="118" t="str" cm="1">
        <f t="array" ref="BC15">IF(SUMPRODUCT((TableauDatas[[Test]:[Test]]=$BC$2)*(TableauDatas[[Prénom]:[Prénom]]=V15)*(TableauDatas[[Date]:[Date]]=$BC$1)*(TableauDatas[[Perf]:[Perf]]))=0,"",SUMPRODUCT((TableauDatas[[Test]:[Test]]=$BC$2)*(TableauDatas[[Prénom]:[Prénom]]=V15)*(TableauDatas[[Date]:[Date]]=$BC$1)*(TableauDatas[[Perf]:[Perf]])))</f>
        <v/>
      </c>
      <c r="BD15" s="121" t="str" cm="1">
        <f t="array" ref="BD15">IF(SUMPRODUCT((TableauDatas[[Test]:[Test]]=$BC$2)*(TableauDatas[[Prénom]:[Prénom]]=V15)*(TableauDatas[[Date]:[Date]]=$BD$1)*(TableauDatas[[Perf]:[Perf]]))=0,"",SUMPRODUCT((TableauDatas[[Test]:[Test]]=$BC$2)*(TableauDatas[[Prénom]:[Prénom]]=V15)*(TableauDatas[[Date]:[Date]]=$BD$1)*(TableauDatas[[Perf]:[Perf]])))</f>
        <v/>
      </c>
      <c r="BE15" s="118" t="str" cm="1">
        <f t="array" ref="BE15">IF(SUMPRODUCT((TableauDatas[[Test]:[Test]]=$BE$2)*(TableauDatas[[Prénom]:[Prénom]]=V15)*(TableauDatas[[Date]:[Date]]=$BE$1)*(TableauDatas[[Perf]:[Perf]]))=0,"",SUMPRODUCT((TableauDatas[[Test]:[Test]]=$BE$2)*(TableauDatas[[Prénom]:[Prénom]]=V15)*(TableauDatas[[Date]:[Date]]=$BE$1)*(TableauDatas[[Perf]:[Perf]])))</f>
        <v/>
      </c>
      <c r="BF15" s="118" t="str" cm="1">
        <f t="array" ref="BF15">IF(SUMPRODUCT((TableauDatas[[Test]:[Test]]=$BE$2)*(TableauDatas[[Prénom]:[Prénom]]=V15)*(TableauDatas[[Date]:[Date]]=$BF$1)*(TableauDatas[[Perf]:[Perf]]))=0,"",SUMPRODUCT((TableauDatas[[Test]:[Test]]=$BE$2)*(TableauDatas[[Prénom]:[Prénom]]=V15)*(TableauDatas[[Date]:[Date]]=$BF$1)*(TableauDatas[[Perf]:[Perf]])))</f>
        <v/>
      </c>
      <c r="BG15" s="118" t="str" cm="1">
        <f t="array" ref="BG15">IF(SUMPRODUCT((TableauDatas[[Test]:[Test]]=$BG$2)*(TableauDatas[[Prénom]:[Prénom]]=V15)*(TableauDatas[[Date]:[Date]]=$BG$1)*(TableauDatas[[Perf]:[Perf]]))=0,"",SUMPRODUCT((TableauDatas[[Test]:[Test]]=$BG$2)*(TableauDatas[[Prénom]:[Prénom]]=V15)*(TableauDatas[[Date]:[Date]]=$BG$1)*(TableauDatas[[Perf]:[Perf]])))</f>
        <v/>
      </c>
      <c r="BH15" s="118" t="str" cm="1">
        <f t="array" ref="BH15">IF(SUMPRODUCT((TableauDatas[[Test]:[Test]]=$BG$2)*(TableauDatas[[Prénom]:[Prénom]]=V15)*(TableauDatas[[Date]:[Date]]=$BH$1)*(TableauDatas[[Perf]:[Perf]]))=0,"",SUMPRODUCT((TableauDatas[[Test]:[Test]]=$BG$2)*(TableauDatas[[Prénom]:[Prénom]]=V15)*(TableauDatas[[Date]:[Date]]=$BH$1)*(TableauDatas[[Perf]:[Perf]])))</f>
        <v/>
      </c>
      <c r="BI15" s="118" t="str" cm="1">
        <f t="array" ref="BI15">IF(SUMPRODUCT((TableauDatas[[Test]:[Test]]=$BI$2)*(TableauDatas[[Prénom]:[Prénom]]=V15)*(TableauDatas[[Date]:[Date]]=$BI$1)*(TableauDatas[[Perf]:[Perf]]))=0,"",SUMPRODUCT((TableauDatas[[Test]:[Test]]=$BI$2)*(TableauDatas[[Prénom]:[Prénom]]=V15)*(TableauDatas[[Date]:[Date]]=$BI$1)*(TableauDatas[[Perf]:[Perf]])))</f>
        <v/>
      </c>
      <c r="BJ15" s="118" t="str" cm="1">
        <f t="array" ref="BJ15">IF(SUMPRODUCT((TableauDatas[[Test]:[Test]]=$BI$2)*(TableauDatas[[Prénom]:[Prénom]]=V15)*(TableauDatas[[Date]:[Date]]=$BJ$1)*(TableauDatas[[Perf]:[Perf]]))=0,"",SUMPRODUCT((TableauDatas[[Test]:[Test]]=$BI$2)*(TableauDatas[[Prénom]:[Prénom]]=V15)*(TableauDatas[[Date]:[Date]]=$BJ$1)*(TableauDatas[[Perf]:[Perf]])))</f>
        <v/>
      </c>
      <c r="BK15" s="118" t="str" cm="1">
        <f t="array" ref="BK15">IF(SUMPRODUCT((TableauDatas[[Test]:[Test]]=$BK$2)*(TableauDatas[[Prénom]:[Prénom]]=V15)*(TableauDatas[[Date]:[Date]]=$BK$1)*(TableauDatas[[Perf]:[Perf]]))=0,"",SUMPRODUCT((TableauDatas[[Test]:[Test]]=$BK$2)*(TableauDatas[[Prénom]:[Prénom]]=V15)*(TableauDatas[[Date]:[Date]]=$BK$1)*(TableauDatas[[Perf]:[Perf]])))</f>
        <v/>
      </c>
      <c r="BL15" s="118" t="str" cm="1">
        <f t="array" ref="BL15">IF(SUMPRODUCT((TableauDatas[[Test]:[Test]]=$BK$2)*(TableauDatas[[Prénom]:[Prénom]]=V15)*(TableauDatas[[Date]:[Date]]=$BL$1)*(TableauDatas[[Perf]:[Perf]]))=0,"",SUMPRODUCT((TableauDatas[[Test]:[Test]]=$BK$2)*(TableauDatas[[Prénom]:[Prénom]]=V15)*(TableauDatas[[Date]:[Date]]=$BL$1)*(TableauDatas[[Perf]:[Perf]])))</f>
        <v/>
      </c>
      <c r="BM15" s="118" t="str" cm="1">
        <f t="array" ref="BM15">IF(SUMPRODUCT((TableauDatas[[Test]:[Test]]=$BM$2)*(TableauDatas[[Prénom]:[Prénom]]=V15)*(TableauDatas[[Date]:[Date]]=$BM$1)*(TableauDatas[[Perf]:[Perf]]))=0,"",SUMPRODUCT((TableauDatas[[Test]:[Test]]=$BM$2)*(TableauDatas[[Prénom]:[Prénom]]=V15)*(TableauDatas[[Date]:[Date]]=$BM$1)*(TableauDatas[[Perf]:[Perf]])))</f>
        <v/>
      </c>
      <c r="BN15" s="118" t="str" cm="1">
        <f t="array" ref="BN15">IF(SUMPRODUCT((TableauDatas[[Test]:[Test]]=$BM$2)*(TableauDatas[[Prénom]:[Prénom]]=V15)*(TableauDatas[[Date]:[Date]]=$BN$1)*(TableauDatas[[Perf]:[Perf]]))=0,"",SUMPRODUCT((TableauDatas[[Test]:[Test]]=$BM$2)*(TableauDatas[[Prénom]:[Prénom]]=V15)*(TableauDatas[[Date]:[Date]]=$BN$1)*(TableauDatas[[Perf]:[Perf]])))</f>
        <v/>
      </c>
      <c r="BO15" s="118" t="str" cm="1">
        <f t="array" ref="BO15">IF(SUMPRODUCT((TableauDatas[[Test]:[Test]]=$BO$2)*(TableauDatas[[Prénom]:[Prénom]]=V15)*(TableauDatas[[Date]:[Date]]=$BO$1)*(TableauDatas[[Perf]:[Perf]]))=0,"",SUMPRODUCT((TableauDatas[[Test]:[Test]]=$BO$2)*(TableauDatas[[Prénom]:[Prénom]]=V15)*(TableauDatas[[Date]:[Date]]=$BO$1)*(TableauDatas[[Perf]:[Perf]])))</f>
        <v/>
      </c>
      <c r="BP15" s="119" t="str" cm="1">
        <f t="array" ref="BP15">IF(SUMPRODUCT((TableauDatas[[Test]:[Test]]=$BO$2)*(TableauDatas[[Prénom]:[Prénom]]=V15)*(TableauDatas[[Date]:[Date]]=$BP$1)*(TableauDatas[[Perf]:[Perf]]))=0,"",SUMPRODUCT((TableauDatas[[Test]:[Test]]=$BO$2)*(TableauDatas[[Prénom]:[Prénom]]=V15)*(TableauDatas[[Date]:[Date]]=$BP$1)*(TableauDatas[[Perf]:[Perf]])))</f>
        <v/>
      </c>
      <c r="BQ15" s="18"/>
      <c r="BR15" s="18"/>
      <c r="BS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  <c r="DN15" s="97"/>
      <c r="DO15" s="97"/>
      <c r="DQ15" s="97"/>
      <c r="DR15" s="97"/>
      <c r="DS15" s="97"/>
      <c r="DT15" s="97"/>
      <c r="DU15" s="97"/>
      <c r="DV15" s="97"/>
      <c r="DW15" s="97"/>
      <c r="DX15" s="97"/>
      <c r="DY15" s="97"/>
      <c r="DZ15" s="97"/>
      <c r="EA15" s="97"/>
      <c r="EB15" s="97"/>
      <c r="EC15" s="97"/>
      <c r="ED15" s="97"/>
      <c r="EE15" s="97"/>
      <c r="EG15" s="97"/>
      <c r="EH15" s="97"/>
      <c r="EI15" s="97"/>
      <c r="EJ15" s="97"/>
      <c r="EK15" s="97"/>
      <c r="EL15" s="97"/>
      <c r="EM15" s="97"/>
      <c r="EN15" s="97"/>
      <c r="EO15" s="97"/>
      <c r="EP15" s="97"/>
      <c r="EQ15" s="97"/>
      <c r="ER15" s="97"/>
      <c r="ES15" s="97"/>
      <c r="ET15" s="97"/>
      <c r="EU15" s="97"/>
      <c r="EW15" s="97"/>
      <c r="EX15" s="97"/>
      <c r="EY15" s="97"/>
      <c r="EZ15" s="97"/>
      <c r="FA15" s="97"/>
      <c r="FB15" s="97"/>
      <c r="FC15" s="97"/>
      <c r="FD15" s="97"/>
      <c r="FE15" s="97"/>
      <c r="FF15" s="97"/>
      <c r="FG15" s="97"/>
      <c r="FH15" s="97"/>
      <c r="FI15" s="97"/>
      <c r="FJ15" s="97"/>
      <c r="FK15" s="97"/>
      <c r="FM15" s="97"/>
      <c r="FN15" s="97"/>
      <c r="FO15" s="97"/>
      <c r="FP15" s="97"/>
      <c r="FQ15" s="97"/>
      <c r="FR15" s="97"/>
      <c r="FS15" s="97"/>
      <c r="FT15" s="97"/>
      <c r="FU15" s="97"/>
      <c r="FV15" s="97"/>
      <c r="FW15" s="97"/>
      <c r="FX15" s="97"/>
      <c r="FY15" s="97"/>
      <c r="FZ15" s="97"/>
      <c r="GA15" s="97"/>
      <c r="GC15" s="97"/>
      <c r="GD15" s="97"/>
      <c r="GE15" s="97"/>
      <c r="GF15" s="97"/>
      <c r="GG15" s="97"/>
      <c r="GH15" s="97"/>
      <c r="GI15" s="97"/>
      <c r="GJ15" s="97"/>
      <c r="GK15" s="97"/>
      <c r="GL15" s="97"/>
      <c r="GM15" s="97"/>
      <c r="GN15" s="97"/>
      <c r="GO15" s="97"/>
      <c r="GP15" s="97"/>
      <c r="GQ15" s="97"/>
      <c r="GS15" s="97"/>
      <c r="GT15" s="97"/>
      <c r="GU15" s="97"/>
      <c r="GV15" s="97"/>
      <c r="GW15" s="97"/>
      <c r="GX15" s="97"/>
      <c r="GY15" s="97"/>
      <c r="GZ15" s="97"/>
      <c r="HA15" s="97"/>
      <c r="HB15" s="97"/>
      <c r="HC15" s="97"/>
      <c r="HD15" s="97"/>
      <c r="HE15" s="97"/>
      <c r="HF15" s="97"/>
      <c r="HG15" s="97"/>
      <c r="HI15" s="97"/>
      <c r="HJ15" s="97"/>
      <c r="HK15" s="97"/>
      <c r="HL15" s="97"/>
      <c r="HM15" s="97"/>
      <c r="HN15" s="97"/>
      <c r="HO15" s="97"/>
      <c r="HP15" s="97"/>
      <c r="HQ15" s="97"/>
      <c r="HR15" s="97"/>
      <c r="HS15" s="97"/>
      <c r="HT15" s="97"/>
      <c r="HU15" s="97"/>
      <c r="HV15" s="97"/>
      <c r="HW15" s="97"/>
      <c r="HY15" s="97"/>
      <c r="HZ15" s="97"/>
      <c r="IA15" s="97"/>
      <c r="IB15" s="97"/>
      <c r="IC15" s="97"/>
      <c r="ID15" s="97"/>
      <c r="IE15" s="97"/>
      <c r="IF15" s="97"/>
      <c r="IG15" s="97"/>
      <c r="IH15" s="97"/>
      <c r="II15" s="97"/>
      <c r="IJ15" s="97"/>
      <c r="IK15" s="97"/>
      <c r="IL15" s="97"/>
      <c r="IM15" s="97"/>
      <c r="IO15" s="97"/>
      <c r="IP15" s="97"/>
      <c r="IQ15" s="97"/>
      <c r="IR15" s="97"/>
      <c r="IS15" s="97"/>
      <c r="IT15" s="97"/>
      <c r="IU15" s="24"/>
      <c r="IV15" s="24"/>
      <c r="IW15" s="24"/>
      <c r="IX15" s="24"/>
      <c r="IY15" s="24"/>
      <c r="IZ15" s="24"/>
      <c r="JA15" s="24"/>
      <c r="JB15" s="24"/>
      <c r="JC15" s="24"/>
    </row>
    <row r="16" spans="1:263" ht="15.95" customHeight="1" thickBot="1" x14ac:dyDescent="0.3">
      <c r="A16" s="155"/>
      <c r="B16" s="21"/>
      <c r="C16" s="56" t="str" cm="1">
        <f t="array" ref="C16">IF(SUMPRODUCT((TableauDatas[[Prénom]:[Prénom]]=$C$4)*(TableauDatas[[Date]:[Date]]=B16)*(TableauDatas[[Test]:[Test]]=A16)*(TableauDatas[[Perf]:[Perf]]))=0,"",SUMPRODUCT((TableauDatas[[Prénom]:[Prénom]]=$C$4)*(TableauDatas[[Date]:[Date]]=B16)*(TableauDatas[[Test]:[Test]]=A16)*(TableauDatas[[Perf]:[Perf]])))</f>
        <v/>
      </c>
      <c r="D16" s="32" t="str">
        <f>IFERROR(AA30,"")</f>
        <v/>
      </c>
      <c r="E16" s="30" t="str">
        <f>IFERROR(AA31,"")</f>
        <v/>
      </c>
      <c r="F16" s="33" t="str">
        <f>IFERROR(AA32,"")</f>
        <v/>
      </c>
      <c r="G16" s="163" t="str">
        <f>IFERROR(AA33,"")</f>
        <v/>
      </c>
      <c r="H16" s="40" t="str">
        <f>IFERROR(AA28,"")</f>
        <v/>
      </c>
      <c r="I16" s="27"/>
      <c r="J16" s="28"/>
      <c r="N16" s="67"/>
      <c r="O16" s="68"/>
      <c r="P16" s="69"/>
      <c r="Q16" s="69"/>
      <c r="R16" s="69"/>
      <c r="S16" s="70"/>
      <c r="T16" s="46"/>
      <c r="U16" s="103"/>
      <c r="V16" s="89">
        <f t="shared" si="0"/>
        <v>0</v>
      </c>
      <c r="W16" s="86" t="str" cm="1">
        <f t="array" ref="W16">IF(SUMPRODUCT((TableauDatas[[Test]:[Test]]=$W$2)*(TableauDatas[[Prénom]:[Prénom]]=V16)*(TableauDatas[[Date]:[Date]]=$W$1)*(TableauDatas[[Perf]:[Perf]]))=0,"",SUMPRODUCT((TableauDatas[[Test]:[Test]]=$W$2)*(TableauDatas[[Prénom]:[Prénom]]=V16)*(TableauDatas[[Date]:[Date]]=$W$1)*(TableauDatas[[Perf]:[Perf]])))</f>
        <v/>
      </c>
      <c r="X16" s="86" t="str" cm="1">
        <f t="array" ref="X16">IF(SUMPRODUCT((TableauDatas[[Test]:[Test]]=$X$2)*(TableauDatas[[Prénom]:[Prénom]]=V16)*(TableauDatas[[Date]:[Date]]=$X$1)*(TableauDatas[[Perf]:[Perf]]))=0,"",SUMPRODUCT((TableauDatas[[Test]:[Test]]=$X$2)*(TableauDatas[[Prénom]:[Prénom]]=V16)*(TableauDatas[[Date]:[Date]]=$X$1)*(TableauDatas[[Perf]:[Perf]])))</f>
        <v/>
      </c>
      <c r="Y16" s="86" t="str" cm="1">
        <f t="array" ref="Y16">IF(SUMPRODUCT((TableauDatas[[Test]:[Test]]=$Y$2)*(TableauDatas[[Prénom]:[Prénom]]=V16)*(TableauDatas[[Date]:[Date]]=$Y$1)*(TableauDatas[[Perf]:[Perf]]))=0,"",SUMPRODUCT((TableauDatas[[Test]:[Test]]=$Y$2)*(TableauDatas[[Prénom]:[Prénom]]=V16)*(TableauDatas[[Date]:[Date]]=$Y$1)*(TableauDatas[[Perf]:[Perf]])))</f>
        <v/>
      </c>
      <c r="Z16" s="86" t="str" cm="1">
        <f t="array" ref="Z16">IF(SUMPRODUCT((TableauDatas[[Test]:[Test]]=$Z$2)*(TableauDatas[[Prénom]:[Prénom]]=V16)*(TableauDatas[[Date]:[Date]]=$Z$1)*(TableauDatas[[Perf]:[Perf]]))=0,"",SUMPRODUCT((TableauDatas[[Test]:[Test]]=$Z$2)*(TableauDatas[[Prénom]:[Prénom]]=V16)*(TableauDatas[[Date]:[Date]]=$Z$1)*(TableauDatas[[Perf]:[Perf]])))</f>
        <v/>
      </c>
      <c r="AA16" s="86" t="str" cm="1">
        <f t="array" ref="AA16">IF(SUMPRODUCT((TableauDatas[[Test]:[Test]]=$AA$2)*(TableauDatas[[Prénom]:[Prénom]]=V16)*(TableauDatas[[Date]:[Date]]=$AA$1)*(TableauDatas[[Perf]:[Perf]]))=0,"",SUMPRODUCT((TableauDatas[[Test]:[Test]]=$AA$2)*(TableauDatas[[Prénom]:[Prénom]]=V16)*(TableauDatas[[Date]:[Date]]=$AA$1)*(TableauDatas[[Perf]:[Perf]])))</f>
        <v/>
      </c>
      <c r="AB16" s="86" t="str" cm="1">
        <f t="array" ref="AB16">IF(SUMPRODUCT((TableauDatas[[Test]:[Test]]=$AB$2)*(TableauDatas[[Prénom]:[Prénom]]=V16)*(TableauDatas[[Date]:[Date]]=$AB$1)*(TableauDatas[[Perf]:[Perf]]))=0,"",SUMPRODUCT((TableauDatas[[Test]:[Test]]=$AB$2)*(TableauDatas[[Prénom]:[Prénom]]=V16)*(TableauDatas[[Date]:[Date]]=$AB$1)*(TableauDatas[[Perf]:[Perf]])))</f>
        <v/>
      </c>
      <c r="AC16" s="86" t="str" cm="1">
        <f t="array" ref="AC16">IF(SUMPRODUCT((TableauDatas[[Test]:[Test]]=$AC$2)*(TableauDatas[[Prénom]:[Prénom]]=V16)*(TableauDatas[[Date]:[Date]]=$AC$1)*(TableauDatas[[Perf]:[Perf]]))=0,"",SUMPRODUCT((TableauDatas[[Test]:[Test]]=$AC$2)*(TableauDatas[[Prénom]:[Prénom]]=V16)*(TableauDatas[[Date]:[Date]]=$AC$1)*(TableauDatas[[Perf]:[Perf]])))</f>
        <v/>
      </c>
      <c r="AD16" s="86" t="str" cm="1">
        <f t="array" ref="AD16">IF(SUMPRODUCT((TableauDatas[[Test]:[Test]]=$AD$2)*(TableauDatas[[Prénom]:[Prénom]]=V16)*(TableauDatas[[Date]:[Date]]=$AD$1)*(TableauDatas[[Perf]:[Perf]]))=0,"",SUMPRODUCT((TableauDatas[[Test]:[Test]]=$AD$2)*(TableauDatas[[Prénom]:[Prénom]]=V16)*(TableauDatas[[Date]:[Date]]=$AD$1)*(TableauDatas[[Perf]:[Perf]])))</f>
        <v/>
      </c>
      <c r="AE16" s="86" t="str" cm="1">
        <f t="array" ref="AE16">IF(SUMPRODUCT((TableauDatas[[Test]:[Test]]=$AE$2)*(TableauDatas[[Prénom]:[Prénom]]=V16)*(TableauDatas[[Date]:[Date]]=$AE$1)*(TableauDatas[[Perf]:[Perf]]))=0,"",SUMPRODUCT((TableauDatas[[Test]:[Test]]=$AE$2)*(TableauDatas[[Prénom]:[Prénom]]=V16)*(TableauDatas[[Date]:[Date]]=$AE$1)*(TableauDatas[[Perf]:[Perf]])))</f>
        <v/>
      </c>
      <c r="AF16" s="86" t="str" cm="1">
        <f t="array" ref="AF16">IF(SUMPRODUCT((TableauDatas[[Test]:[Test]]=$AF$2)*(TableauDatas[[Prénom]:[Prénom]]=V16)*(TableauDatas[[Date]:[Date]]=$AF$1)*(TableauDatas[[Perf]:[Perf]]))=0,"",SUMPRODUCT((TableauDatas[[Test]:[Test]]=$AF$2)*(TableauDatas[[Prénom]:[Prénom]]=V16)*(TableauDatas[[Date]:[Date]]=$AF$1)*(TableauDatas[[Perf]:[Perf]])))</f>
        <v/>
      </c>
      <c r="AG16" s="86" t="str" cm="1">
        <f t="array" ref="AG16">IF(SUMPRODUCT((TableauDatas[[Test]:[Test]]=$AG$2)*(TableauDatas[[Prénom]:[Prénom]]=V16)*(TableauDatas[[Date]:[Date]]=$AG$1)*(TableauDatas[[Perf]:[Perf]]))=0,"",SUMPRODUCT((TableauDatas[[Test]:[Test]]=$AG$2)*(TableauDatas[[Prénom]:[Prénom]]=V16)*(TableauDatas[[Date]:[Date]]=$AG$1)*(TableauDatas[[Perf]:[Perf]])))</f>
        <v/>
      </c>
      <c r="AH16" s="86" t="str" cm="1">
        <f t="array" ref="AH16">IF(SUMPRODUCT((TableauDatas[[Test]:[Test]]=$AH$2)*(TableauDatas[[Prénom]:[Prénom]]=V16)*(TableauDatas[[Date]:[Date]]=$AH$1)*(TableauDatas[[Perf]:[Perf]]))=0,"",SUMPRODUCT((TableauDatas[[Test]:[Test]]=$AH$2)*(TableauDatas[[Prénom]:[Prénom]]=V16)*(TableauDatas[[Date]:[Date]]=$AH$1)*(TableauDatas[[Perf]:[Perf]])))</f>
        <v/>
      </c>
      <c r="AI16" s="86" t="str" cm="1">
        <f t="array" ref="AI16">IF(SUMPRODUCT((TableauDatas[[Test]:[Test]]=$AI$2)*(TableauDatas[[Prénom]:[Prénom]]=V16)*(TableauDatas[[Date]:[Date]]=$AI$1)*(TableauDatas[[Perf]:[Perf]]))=0,"",SUMPRODUCT((TableauDatas[[Test]:[Test]]=$AI$2)*(TableauDatas[[Prénom]:[Prénom]]=V16)*(TableauDatas[[Date]:[Date]]=$AI$1)*(TableauDatas[[Perf]:[Perf]])))</f>
        <v/>
      </c>
      <c r="AJ16" s="86" t="str" cm="1">
        <f t="array" ref="AJ16">IF(SUMPRODUCT((TableauDatas[[Test]:[Test]]=$AJ$2)*(TableauDatas[[Prénom]:[Prénom]]=V16)*(TableauDatas[[Date]:[Date]]=$AJ$1)*(TableauDatas[[Perf]:[Perf]]))=0,"",SUMPRODUCT((TableauDatas[[Test]:[Test]]=$AJ$2)*(TableauDatas[[Prénom]:[Prénom]]=V16)*(TableauDatas[[Date]:[Date]]=$AJ$1)*(TableauDatas[[Perf]:[Perf]])))</f>
        <v/>
      </c>
      <c r="AK16" s="87" t="str" cm="1">
        <f t="array" ref="AK16">IF(SUMPRODUCT((TableauDatas[[Test]:[Test]]=$AK$2)*(TableauDatas[[Prénom]:[Prénom]]=V16)*(TableauDatas[[Date]:[Date]]=$AK$1)*(TableauDatas[[Perf]:[Perf]]))=0,"",SUMPRODUCT((TableauDatas[[Test]:[Test]]=$AK$2)*(TableauDatas[[Prénom]:[Prénom]]=V16)*(TableauDatas[[Date]:[Date]]=$AK$1)*(TableauDatas[[Perf]:[Perf]])))</f>
        <v/>
      </c>
      <c r="AL16" s="18"/>
      <c r="AM16" s="117" t="str" cm="1">
        <f t="array" ref="AM16">IF(SUMPRODUCT((TableauDatas[[Test]:[Test]]=$AM$2)*(TableauDatas[[Prénom]:[Prénom]]=V16)*(TableauDatas[[Date]:[Date]]=$AM$1)*(TableauDatas[[Perf]:[Perf]]))=0,"",SUMPRODUCT((TableauDatas[[Test]:[Test]]=$AM$2)*(TableauDatas[[Prénom]:[Prénom]]=V16)*(TableauDatas[[Date]:[Date]]=$AM$1)*(TableauDatas[[Perf]:[Perf]])))</f>
        <v/>
      </c>
      <c r="AN16" s="120" t="str" cm="1">
        <f t="array" ref="AN16">IF(SUMPRODUCT((TableauDatas[[Test]:[Test]]=$AM$2)*(TableauDatas[[Prénom]:[Prénom]]=V16)*(TableauDatas[[Date]:[Date]]=$AN$1)*(TableauDatas[[Perf]:[Perf]]))=0,"",SUMPRODUCT((TableauDatas[[Test]:[Test]]=$AM$2)*(TableauDatas[[Prénom]:[Prénom]]=V16)*(TableauDatas[[Date]:[Date]]=$AN$1)*(TableauDatas[[Perf]:[Perf]])))</f>
        <v/>
      </c>
      <c r="AO16" s="118" t="str" cm="1">
        <f t="array" ref="AO16">IF(SUMPRODUCT((TableauDatas[[Test]:[Test]]=$AO$2)*(TableauDatas[[Prénom]:[Prénom]]=V16)*(TableauDatas[[Date]:[Date]]=$AO$1)*(TableauDatas[[Perf]:[Perf]]))=0,"",SUMPRODUCT((TableauDatas[[Test]:[Test]]=$AO$2)*(TableauDatas[[Prénom]:[Prénom]]=V16)*(TableauDatas[[Date]:[Date]]=$AO$1)*(TableauDatas[[Perf]:[Perf]])))</f>
        <v/>
      </c>
      <c r="AP16" s="118" t="str" cm="1">
        <f t="array" ref="AP16">IF(SUMPRODUCT((TableauDatas[[Test]:[Test]]=$AO$2)*(TableauDatas[[Prénom]:[Prénom]]=V16)*(TableauDatas[[Date]:[Date]]=$AP$1)*(TableauDatas[[Perf]:[Perf]]))=0,"",SUMPRODUCT((TableauDatas[[Test]:[Test]]=$AO$2)*(TableauDatas[[Prénom]:[Prénom]]=V16)*(TableauDatas[[Date]:[Date]]=$AP$1)*(TableauDatas[[Perf]:[Perf]])))</f>
        <v/>
      </c>
      <c r="AQ16" s="118" t="str" cm="1">
        <f t="array" ref="AQ16">IF(SUMPRODUCT((TableauDatas[[Test]:[Test]]=$AQ$2)*(TableauDatas[[Prénom]:[Prénom]]=V16)*(TableauDatas[[Date]:[Date]]=$AQ$1)*(TableauDatas[[Perf]:[Perf]]))=0,"",SUMPRODUCT((TableauDatas[[Test]:[Test]]=$AQ$2)*(TableauDatas[[Prénom]:[Prénom]]=V16)*(TableauDatas[[Date]:[Date]]=$AQ$1)*(TableauDatas[[Perf]:[Perf]])))</f>
        <v/>
      </c>
      <c r="AR16" s="118" t="str" cm="1">
        <f t="array" ref="AR16">IF(SUMPRODUCT((TableauDatas[[Test]:[Test]]=$AQ$2)*(TableauDatas[[Prénom]:[Prénom]]=V16)*(TableauDatas[[Date]:[Date]]=$AR$1)*(TableauDatas[[Perf]:[Perf]]))=0,"",SUMPRODUCT((TableauDatas[[Test]:[Test]]=$AQ$2)*(TableauDatas[[Prénom]:[Prénom]]=V16)*(TableauDatas[[Date]:[Date]]=$AR$1)*(TableauDatas[[Perf]:[Perf]])))</f>
        <v/>
      </c>
      <c r="AS16" s="118" t="str" cm="1">
        <f t="array" ref="AS16">IF(SUMPRODUCT((TableauDatas[[Test]:[Test]]=$AS$2)*(TableauDatas[[Prénom]:[Prénom]]=V16)*(TableauDatas[[Date]:[Date]]=$AS$1)*(TableauDatas[[Perf]:[Perf]]))=0,"",SUMPRODUCT((TableauDatas[[Test]:[Test]]=$AS$2)*(TableauDatas[[Prénom]:[Prénom]]=V16)*(TableauDatas[[Date]:[Date]]=$AS$1)*(TableauDatas[[Perf]:[Perf]])))</f>
        <v/>
      </c>
      <c r="AT16" s="118" t="str" cm="1">
        <f t="array" ref="AT16">IF(SUMPRODUCT((TableauDatas[[Test]:[Test]]=$AS$2)*(TableauDatas[[Prénom]:[Prénom]]=V16)*(TableauDatas[[Date]:[Date]]=$AT$1)*(TableauDatas[[Perf]:[Perf]]))=0,"",SUMPRODUCT((TableauDatas[[Test]:[Test]]=$AS$2)*(TableauDatas[[Prénom]:[Prénom]]=V16)*(TableauDatas[[Date]:[Date]]=$AT$1)*(TableauDatas[[Perf]:[Perf]])))</f>
        <v/>
      </c>
      <c r="AU16" s="118" t="str" cm="1">
        <f t="array" ref="AU16">IF(SUMPRODUCT((TableauDatas[[Test]:[Test]]=$AU$2)*(TableauDatas[[Prénom]:[Prénom]]=V16)*(TableauDatas[[Date]:[Date]]=$AU$1)*(TableauDatas[[Perf]:[Perf]]))=0,"",SUMPRODUCT((TableauDatas[[Test]:[Test]]=$AU$2)*(TableauDatas[[Prénom]:[Prénom]]=V16)*(TableauDatas[[Date]:[Date]]=$AU$1)*(TableauDatas[[Perf]:[Perf]])))</f>
        <v/>
      </c>
      <c r="AV16" s="118" t="str" cm="1">
        <f t="array" ref="AV16">IF(SUMPRODUCT((TableauDatas[[Test]:[Test]]=$AU$2)*(TableauDatas[[Prénom]:[Prénom]]=V16)*(TableauDatas[[Date]:[Date]]=$AV$1)*(TableauDatas[[Perf]:[Perf]]))=0,"",SUMPRODUCT((TableauDatas[[Test]:[Test]]=$AU$2)*(TableauDatas[[Prénom]:[Prénom]]=V16)*(TableauDatas[[Date]:[Date]]=$AV$1)*(TableauDatas[[Perf]:[Perf]])))</f>
        <v/>
      </c>
      <c r="AW16" s="118" t="str" cm="1">
        <f t="array" ref="AW16">IF(SUMPRODUCT((TableauDatas[[Test]:[Test]]=$AW$2)*(TableauDatas[[Prénom]:[Prénom]]=V16)*(TableauDatas[[Date]:[Date]]=$AW$1)*(TableauDatas[[Perf]:[Perf]]))=0,"",SUMPRODUCT((TableauDatas[[Test]:[Test]]=$AW$2)*(TableauDatas[[Prénom]:[Prénom]]=V16)*(TableauDatas[[Date]:[Date]]=$AW$1)*(TableauDatas[[Perf]:[Perf]])))</f>
        <v/>
      </c>
      <c r="AX16" s="118" t="str" cm="1">
        <f t="array" ref="AX16">IF(SUMPRODUCT((TableauDatas[[Test]:[Test]]=$AW$2)*(TableauDatas[[Prénom]:[Prénom]]=V16)*(TableauDatas[[Date]:[Date]]=$AX$1)*(TableauDatas[[Perf]:[Perf]]))=0,"",SUMPRODUCT((TableauDatas[[Test]:[Test]]=$AW$2)*(TableauDatas[[Prénom]:[Prénom]]=V16)*(TableauDatas[[Date]:[Date]]=$AX$1)*(TableauDatas[[Perf]:[Perf]])))</f>
        <v/>
      </c>
      <c r="AY16" s="118" t="str" cm="1">
        <f t="array" ref="AY16">IF(SUMPRODUCT((TableauDatas[[Test]:[Test]]=$AY$2)*(TableauDatas[[Prénom]:[Prénom]]=V16)*(TableauDatas[[Date]:[Date]]=$AY$1)*(TableauDatas[[Perf]:[Perf]]))=0,"",SUMPRODUCT((TableauDatas[[Test]:[Test]]=$AY$2)*(TableauDatas[[Prénom]:[Prénom]]=V16)*(TableauDatas[[Date]:[Date]]=$AY$1)*(TableauDatas[[Perf]:[Perf]])))</f>
        <v/>
      </c>
      <c r="AZ16" s="118" t="str" cm="1">
        <f t="array" ref="AZ16">IF(SUMPRODUCT((TableauDatas[[Test]:[Test]]=$AY$2)*(TableauDatas[[Prénom]:[Prénom]]=V16)*(TableauDatas[[Date]:[Date]]=$AZ$1)*(TableauDatas[[Perf]:[Perf]]))=0,"",SUMPRODUCT((TableauDatas[[Test]:[Test]]=$AY$2)*(TableauDatas[[Prénom]:[Prénom]]=V16)*(TableauDatas[[Date]:[Date]]=$AZ$1)*(TableauDatas[[Perf]:[Perf]])))</f>
        <v/>
      </c>
      <c r="BA16" s="118" t="str" cm="1">
        <f t="array" ref="BA16">IF(SUMPRODUCT((TableauDatas[[Test]:[Test]]=$BA$2)*(TableauDatas[[Prénom]:[Prénom]]=V16)*(TableauDatas[[Date]:[Date]]=$BA$1)*(TableauDatas[[Perf]:[Perf]]))=0,"",SUMPRODUCT((TableauDatas[[Test]:[Test]]=$BA$2)*(TableauDatas[[Prénom]:[Prénom]]=V16)*(TableauDatas[[Date]:[Date]]=$BA$1)*(TableauDatas[[Perf]:[Perf]])))</f>
        <v/>
      </c>
      <c r="BB16" s="118" t="str" cm="1">
        <f t="array" ref="BB16">IF(SUMPRODUCT((TableauDatas[[Test]:[Test]]=$BA$2)*(TableauDatas[[Prénom]:[Prénom]]=V16)*(TableauDatas[[Date]:[Date]]=$BB$1)*(TableauDatas[[Perf]:[Perf]]))=0,"",SUMPRODUCT((TableauDatas[[Test]:[Test]]=$BA$2)*(TableauDatas[[Prénom]:[Prénom]]=V16)*(TableauDatas[[Date]:[Date]]=$BB$1)*(TableauDatas[[Perf]:[Perf]])))</f>
        <v/>
      </c>
      <c r="BC16" s="118" t="str" cm="1">
        <f t="array" ref="BC16">IF(SUMPRODUCT((TableauDatas[[Test]:[Test]]=$BC$2)*(TableauDatas[[Prénom]:[Prénom]]=V16)*(TableauDatas[[Date]:[Date]]=$BC$1)*(TableauDatas[[Perf]:[Perf]]))=0,"",SUMPRODUCT((TableauDatas[[Test]:[Test]]=$BC$2)*(TableauDatas[[Prénom]:[Prénom]]=V16)*(TableauDatas[[Date]:[Date]]=$BC$1)*(TableauDatas[[Perf]:[Perf]])))</f>
        <v/>
      </c>
      <c r="BD16" s="121" t="str" cm="1">
        <f t="array" ref="BD16">IF(SUMPRODUCT((TableauDatas[[Test]:[Test]]=$BC$2)*(TableauDatas[[Prénom]:[Prénom]]=V16)*(TableauDatas[[Date]:[Date]]=$BD$1)*(TableauDatas[[Perf]:[Perf]]))=0,"",SUMPRODUCT((TableauDatas[[Test]:[Test]]=$BC$2)*(TableauDatas[[Prénom]:[Prénom]]=V16)*(TableauDatas[[Date]:[Date]]=$BD$1)*(TableauDatas[[Perf]:[Perf]])))</f>
        <v/>
      </c>
      <c r="BE16" s="118" t="str" cm="1">
        <f t="array" ref="BE16">IF(SUMPRODUCT((TableauDatas[[Test]:[Test]]=$BE$2)*(TableauDatas[[Prénom]:[Prénom]]=V16)*(TableauDatas[[Date]:[Date]]=$BE$1)*(TableauDatas[[Perf]:[Perf]]))=0,"",SUMPRODUCT((TableauDatas[[Test]:[Test]]=$BE$2)*(TableauDatas[[Prénom]:[Prénom]]=V16)*(TableauDatas[[Date]:[Date]]=$BE$1)*(TableauDatas[[Perf]:[Perf]])))</f>
        <v/>
      </c>
      <c r="BF16" s="118" t="str" cm="1">
        <f t="array" ref="BF16">IF(SUMPRODUCT((TableauDatas[[Test]:[Test]]=$BE$2)*(TableauDatas[[Prénom]:[Prénom]]=V16)*(TableauDatas[[Date]:[Date]]=$BF$1)*(TableauDatas[[Perf]:[Perf]]))=0,"",SUMPRODUCT((TableauDatas[[Test]:[Test]]=$BE$2)*(TableauDatas[[Prénom]:[Prénom]]=V16)*(TableauDatas[[Date]:[Date]]=$BF$1)*(TableauDatas[[Perf]:[Perf]])))</f>
        <v/>
      </c>
      <c r="BG16" s="118" t="str" cm="1">
        <f t="array" ref="BG16">IF(SUMPRODUCT((TableauDatas[[Test]:[Test]]=$BG$2)*(TableauDatas[[Prénom]:[Prénom]]=V16)*(TableauDatas[[Date]:[Date]]=$BG$1)*(TableauDatas[[Perf]:[Perf]]))=0,"",SUMPRODUCT((TableauDatas[[Test]:[Test]]=$BG$2)*(TableauDatas[[Prénom]:[Prénom]]=V16)*(TableauDatas[[Date]:[Date]]=$BG$1)*(TableauDatas[[Perf]:[Perf]])))</f>
        <v/>
      </c>
      <c r="BH16" s="118" t="str" cm="1">
        <f t="array" ref="BH16">IF(SUMPRODUCT((TableauDatas[[Test]:[Test]]=$BG$2)*(TableauDatas[[Prénom]:[Prénom]]=V16)*(TableauDatas[[Date]:[Date]]=$BH$1)*(TableauDatas[[Perf]:[Perf]]))=0,"",SUMPRODUCT((TableauDatas[[Test]:[Test]]=$BG$2)*(TableauDatas[[Prénom]:[Prénom]]=V16)*(TableauDatas[[Date]:[Date]]=$BH$1)*(TableauDatas[[Perf]:[Perf]])))</f>
        <v/>
      </c>
      <c r="BI16" s="118" t="str" cm="1">
        <f t="array" ref="BI16">IF(SUMPRODUCT((TableauDatas[[Test]:[Test]]=$BI$2)*(TableauDatas[[Prénom]:[Prénom]]=V16)*(TableauDatas[[Date]:[Date]]=$BI$1)*(TableauDatas[[Perf]:[Perf]]))=0,"",SUMPRODUCT((TableauDatas[[Test]:[Test]]=$BI$2)*(TableauDatas[[Prénom]:[Prénom]]=V16)*(TableauDatas[[Date]:[Date]]=$BI$1)*(TableauDatas[[Perf]:[Perf]])))</f>
        <v/>
      </c>
      <c r="BJ16" s="118" t="str" cm="1">
        <f t="array" ref="BJ16">IF(SUMPRODUCT((TableauDatas[[Test]:[Test]]=$BI$2)*(TableauDatas[[Prénom]:[Prénom]]=V16)*(TableauDatas[[Date]:[Date]]=$BJ$1)*(TableauDatas[[Perf]:[Perf]]))=0,"",SUMPRODUCT((TableauDatas[[Test]:[Test]]=$BI$2)*(TableauDatas[[Prénom]:[Prénom]]=V16)*(TableauDatas[[Date]:[Date]]=$BJ$1)*(TableauDatas[[Perf]:[Perf]])))</f>
        <v/>
      </c>
      <c r="BK16" s="118" t="str" cm="1">
        <f t="array" ref="BK16">IF(SUMPRODUCT((TableauDatas[[Test]:[Test]]=$BK$2)*(TableauDatas[[Prénom]:[Prénom]]=V16)*(TableauDatas[[Date]:[Date]]=$BK$1)*(TableauDatas[[Perf]:[Perf]]))=0,"",SUMPRODUCT((TableauDatas[[Test]:[Test]]=$BK$2)*(TableauDatas[[Prénom]:[Prénom]]=V16)*(TableauDatas[[Date]:[Date]]=$BK$1)*(TableauDatas[[Perf]:[Perf]])))</f>
        <v/>
      </c>
      <c r="BL16" s="118" t="str" cm="1">
        <f t="array" ref="BL16">IF(SUMPRODUCT((TableauDatas[[Test]:[Test]]=$BK$2)*(TableauDatas[[Prénom]:[Prénom]]=V16)*(TableauDatas[[Date]:[Date]]=$BL$1)*(TableauDatas[[Perf]:[Perf]]))=0,"",SUMPRODUCT((TableauDatas[[Test]:[Test]]=$BK$2)*(TableauDatas[[Prénom]:[Prénom]]=V16)*(TableauDatas[[Date]:[Date]]=$BL$1)*(TableauDatas[[Perf]:[Perf]])))</f>
        <v/>
      </c>
      <c r="BM16" s="118" t="str" cm="1">
        <f t="array" ref="BM16">IF(SUMPRODUCT((TableauDatas[[Test]:[Test]]=$BM$2)*(TableauDatas[[Prénom]:[Prénom]]=V16)*(TableauDatas[[Date]:[Date]]=$BM$1)*(TableauDatas[[Perf]:[Perf]]))=0,"",SUMPRODUCT((TableauDatas[[Test]:[Test]]=$BM$2)*(TableauDatas[[Prénom]:[Prénom]]=V16)*(TableauDatas[[Date]:[Date]]=$BM$1)*(TableauDatas[[Perf]:[Perf]])))</f>
        <v/>
      </c>
      <c r="BN16" s="118" t="str" cm="1">
        <f t="array" ref="BN16">IF(SUMPRODUCT((TableauDatas[[Test]:[Test]]=$BM$2)*(TableauDatas[[Prénom]:[Prénom]]=V16)*(TableauDatas[[Date]:[Date]]=$BN$1)*(TableauDatas[[Perf]:[Perf]]))=0,"",SUMPRODUCT((TableauDatas[[Test]:[Test]]=$BM$2)*(TableauDatas[[Prénom]:[Prénom]]=V16)*(TableauDatas[[Date]:[Date]]=$BN$1)*(TableauDatas[[Perf]:[Perf]])))</f>
        <v/>
      </c>
      <c r="BO16" s="118" t="str" cm="1">
        <f t="array" ref="BO16">IF(SUMPRODUCT((TableauDatas[[Test]:[Test]]=$BO$2)*(TableauDatas[[Prénom]:[Prénom]]=V16)*(TableauDatas[[Date]:[Date]]=$BO$1)*(TableauDatas[[Perf]:[Perf]]))=0,"",SUMPRODUCT((TableauDatas[[Test]:[Test]]=$BO$2)*(TableauDatas[[Prénom]:[Prénom]]=V16)*(TableauDatas[[Date]:[Date]]=$BO$1)*(TableauDatas[[Perf]:[Perf]])))</f>
        <v/>
      </c>
      <c r="BP16" s="119" t="str" cm="1">
        <f t="array" ref="BP16">IF(SUMPRODUCT((TableauDatas[[Test]:[Test]]=$BO$2)*(TableauDatas[[Prénom]:[Prénom]]=V16)*(TableauDatas[[Date]:[Date]]=$BP$1)*(TableauDatas[[Perf]:[Perf]]))=0,"",SUMPRODUCT((TableauDatas[[Test]:[Test]]=$BO$2)*(TableauDatas[[Prénom]:[Prénom]]=V16)*(TableauDatas[[Date]:[Date]]=$BP$1)*(TableauDatas[[Perf]:[Perf]])))</f>
        <v/>
      </c>
      <c r="BQ16" s="18"/>
      <c r="BR16" s="18"/>
      <c r="BS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DA16" s="97"/>
      <c r="DB16" s="97"/>
      <c r="DC16" s="97"/>
      <c r="DD16" s="97"/>
      <c r="DE16" s="97"/>
      <c r="DF16" s="97"/>
      <c r="DG16" s="97"/>
      <c r="DH16" s="97"/>
      <c r="DI16" s="97"/>
      <c r="DJ16" s="97"/>
      <c r="DK16" s="97"/>
      <c r="DL16" s="97"/>
      <c r="DM16" s="97"/>
      <c r="DN16" s="97"/>
      <c r="DO16" s="97"/>
      <c r="DQ16" s="97"/>
      <c r="DR16" s="97"/>
      <c r="DS16" s="97"/>
      <c r="DT16" s="97"/>
      <c r="DU16" s="97"/>
      <c r="DV16" s="97"/>
      <c r="DW16" s="97"/>
      <c r="DX16" s="97"/>
      <c r="DY16" s="97"/>
      <c r="DZ16" s="97"/>
      <c r="EA16" s="97"/>
      <c r="EB16" s="97"/>
      <c r="EC16" s="97"/>
      <c r="ED16" s="97"/>
      <c r="EE16" s="97"/>
      <c r="EG16" s="97"/>
      <c r="EH16" s="97"/>
      <c r="EI16" s="97"/>
      <c r="EJ16" s="97"/>
      <c r="EK16" s="97"/>
      <c r="EL16" s="97"/>
      <c r="EM16" s="97"/>
      <c r="EN16" s="97"/>
      <c r="EO16" s="97"/>
      <c r="EP16" s="97"/>
      <c r="EQ16" s="97"/>
      <c r="ER16" s="97"/>
      <c r="ES16" s="97"/>
      <c r="ET16" s="97"/>
      <c r="EU16" s="97"/>
      <c r="EW16" s="97"/>
      <c r="EX16" s="97"/>
      <c r="EY16" s="97"/>
      <c r="EZ16" s="97"/>
      <c r="FA16" s="97"/>
      <c r="FB16" s="97"/>
      <c r="FC16" s="97"/>
      <c r="FD16" s="97"/>
      <c r="FE16" s="97"/>
      <c r="FF16" s="97"/>
      <c r="FG16" s="97"/>
      <c r="FH16" s="97"/>
      <c r="FI16" s="97"/>
      <c r="FJ16" s="97"/>
      <c r="FK16" s="97"/>
      <c r="FM16" s="97"/>
      <c r="FN16" s="97"/>
      <c r="FO16" s="97"/>
      <c r="FP16" s="97"/>
      <c r="FQ16" s="97"/>
      <c r="FR16" s="97"/>
      <c r="FS16" s="97"/>
      <c r="FT16" s="97"/>
      <c r="FU16" s="97"/>
      <c r="FV16" s="97"/>
      <c r="FW16" s="97"/>
      <c r="FX16" s="97"/>
      <c r="FY16" s="97"/>
      <c r="FZ16" s="97"/>
      <c r="GA16" s="97"/>
      <c r="GC16" s="97"/>
      <c r="GD16" s="97"/>
      <c r="GE16" s="97"/>
      <c r="GF16" s="97"/>
      <c r="GG16" s="97"/>
      <c r="GH16" s="97"/>
      <c r="GI16" s="97"/>
      <c r="GJ16" s="97"/>
      <c r="GK16" s="97"/>
      <c r="GL16" s="97"/>
      <c r="GM16" s="97"/>
      <c r="GN16" s="97"/>
      <c r="GO16" s="97"/>
      <c r="GP16" s="97"/>
      <c r="GQ16" s="97"/>
      <c r="GS16" s="97"/>
      <c r="GT16" s="97"/>
      <c r="GU16" s="97"/>
      <c r="GV16" s="97"/>
      <c r="GW16" s="97"/>
      <c r="GX16" s="97"/>
      <c r="GY16" s="97"/>
      <c r="GZ16" s="97"/>
      <c r="HA16" s="97"/>
      <c r="HB16" s="97"/>
      <c r="HC16" s="97"/>
      <c r="HD16" s="97"/>
      <c r="HE16" s="97"/>
      <c r="HF16" s="97"/>
      <c r="HG16" s="97"/>
      <c r="HI16" s="97"/>
      <c r="HJ16" s="97"/>
      <c r="HK16" s="97"/>
      <c r="HL16" s="97"/>
      <c r="HM16" s="97"/>
      <c r="HN16" s="97"/>
      <c r="HO16" s="97"/>
      <c r="HP16" s="97"/>
      <c r="HQ16" s="97"/>
      <c r="HR16" s="97"/>
      <c r="HS16" s="97"/>
      <c r="HT16" s="97"/>
      <c r="HU16" s="97"/>
      <c r="HV16" s="97"/>
      <c r="HW16" s="97"/>
      <c r="HY16" s="97"/>
      <c r="HZ16" s="97"/>
      <c r="IA16" s="97"/>
      <c r="IB16" s="97"/>
      <c r="IC16" s="97"/>
      <c r="ID16" s="97"/>
      <c r="IE16" s="97"/>
      <c r="IF16" s="97"/>
      <c r="IG16" s="97"/>
      <c r="IH16" s="97"/>
      <c r="II16" s="97"/>
      <c r="IJ16" s="97"/>
      <c r="IK16" s="97"/>
      <c r="IL16" s="97"/>
      <c r="IM16" s="97"/>
      <c r="IO16" s="97"/>
      <c r="IP16" s="97"/>
      <c r="IQ16" s="97"/>
      <c r="IR16" s="97"/>
      <c r="IS16" s="97"/>
      <c r="IT16" s="97"/>
      <c r="IU16" s="24"/>
      <c r="IV16" s="24"/>
      <c r="IW16" s="24"/>
      <c r="IX16" s="24"/>
      <c r="IY16" s="24"/>
      <c r="IZ16" s="24"/>
      <c r="JA16" s="24"/>
      <c r="JB16" s="24"/>
      <c r="JC16" s="24"/>
    </row>
    <row r="17" spans="1:263" ht="15.95" customHeight="1" thickTop="1" x14ac:dyDescent="0.25">
      <c r="A17" s="155"/>
      <c r="B17" s="21"/>
      <c r="C17" s="56" t="str" cm="1">
        <f t="array" ref="C17">IF(SUMPRODUCT((TableauDatas[[Prénom]:[Prénom]]=$C$4)*(TableauDatas[[Date]:[Date]]=B17)*(TableauDatas[[Test]:[Test]]=A17)*(TableauDatas[[Perf]:[Perf]]))=0,"",SUMPRODUCT((TableauDatas[[Prénom]:[Prénom]]=$C$4)*(TableauDatas[[Date]:[Date]]=B17)*(TableauDatas[[Test]:[Test]]=A17)*(TableauDatas[[Perf]:[Perf]])))</f>
        <v/>
      </c>
      <c r="D17" s="32" t="str">
        <f>IFERROR(AB30,"")</f>
        <v/>
      </c>
      <c r="E17" s="30" t="str">
        <f>IFERROR(AB31,"")</f>
        <v/>
      </c>
      <c r="F17" s="33" t="str">
        <f>IFERROR(AB32,"")</f>
        <v/>
      </c>
      <c r="G17" s="163" t="str">
        <f>IFERROR(AB33,"")</f>
        <v/>
      </c>
      <c r="H17" s="40" t="str">
        <f>IFERROR(AB28,"")</f>
        <v/>
      </c>
      <c r="I17" s="27"/>
      <c r="J17" s="28"/>
      <c r="N17" s="44"/>
      <c r="O17" s="105"/>
      <c r="P17" s="106"/>
      <c r="Q17" s="106"/>
      <c r="R17" s="106"/>
      <c r="S17" s="107"/>
      <c r="T17" s="110"/>
      <c r="V17" s="89">
        <f t="shared" si="0"/>
        <v>0</v>
      </c>
      <c r="W17" s="86" t="str" cm="1">
        <f t="array" ref="W17">IF(SUMPRODUCT((TableauDatas[[Test]:[Test]]=$W$2)*(TableauDatas[[Prénom]:[Prénom]]=V17)*(TableauDatas[[Date]:[Date]]=$W$1)*(TableauDatas[[Perf]:[Perf]]))=0,"",SUMPRODUCT((TableauDatas[[Test]:[Test]]=$W$2)*(TableauDatas[[Prénom]:[Prénom]]=V17)*(TableauDatas[[Date]:[Date]]=$W$1)*(TableauDatas[[Perf]:[Perf]])))</f>
        <v/>
      </c>
      <c r="X17" s="86" t="str" cm="1">
        <f t="array" ref="X17">IF(SUMPRODUCT((TableauDatas[[Test]:[Test]]=$X$2)*(TableauDatas[[Prénom]:[Prénom]]=V17)*(TableauDatas[[Date]:[Date]]=$X$1)*(TableauDatas[[Perf]:[Perf]]))=0,"",SUMPRODUCT((TableauDatas[[Test]:[Test]]=$X$2)*(TableauDatas[[Prénom]:[Prénom]]=V17)*(TableauDatas[[Date]:[Date]]=$X$1)*(TableauDatas[[Perf]:[Perf]])))</f>
        <v/>
      </c>
      <c r="Y17" s="86" t="str" cm="1">
        <f t="array" ref="Y17">IF(SUMPRODUCT((TableauDatas[[Test]:[Test]]=$Y$2)*(TableauDatas[[Prénom]:[Prénom]]=V17)*(TableauDatas[[Date]:[Date]]=$Y$1)*(TableauDatas[[Perf]:[Perf]]))=0,"",SUMPRODUCT((TableauDatas[[Test]:[Test]]=$Y$2)*(TableauDatas[[Prénom]:[Prénom]]=V17)*(TableauDatas[[Date]:[Date]]=$Y$1)*(TableauDatas[[Perf]:[Perf]])))</f>
        <v/>
      </c>
      <c r="Z17" s="86" t="str" cm="1">
        <f t="array" ref="Z17">IF(SUMPRODUCT((TableauDatas[[Test]:[Test]]=$Z$2)*(TableauDatas[[Prénom]:[Prénom]]=V17)*(TableauDatas[[Date]:[Date]]=$Z$1)*(TableauDatas[[Perf]:[Perf]]))=0,"",SUMPRODUCT((TableauDatas[[Test]:[Test]]=$Z$2)*(TableauDatas[[Prénom]:[Prénom]]=V17)*(TableauDatas[[Date]:[Date]]=$Z$1)*(TableauDatas[[Perf]:[Perf]])))</f>
        <v/>
      </c>
      <c r="AA17" s="86" t="str" cm="1">
        <f t="array" ref="AA17">IF(SUMPRODUCT((TableauDatas[[Test]:[Test]]=$AA$2)*(TableauDatas[[Prénom]:[Prénom]]=V17)*(TableauDatas[[Date]:[Date]]=$AA$1)*(TableauDatas[[Perf]:[Perf]]))=0,"",SUMPRODUCT((TableauDatas[[Test]:[Test]]=$AA$2)*(TableauDatas[[Prénom]:[Prénom]]=V17)*(TableauDatas[[Date]:[Date]]=$AA$1)*(TableauDatas[[Perf]:[Perf]])))</f>
        <v/>
      </c>
      <c r="AB17" s="86" t="str" cm="1">
        <f t="array" ref="AB17">IF(SUMPRODUCT((TableauDatas[[Test]:[Test]]=$AB$2)*(TableauDatas[[Prénom]:[Prénom]]=V17)*(TableauDatas[[Date]:[Date]]=$AB$1)*(TableauDatas[[Perf]:[Perf]]))=0,"",SUMPRODUCT((TableauDatas[[Test]:[Test]]=$AB$2)*(TableauDatas[[Prénom]:[Prénom]]=V17)*(TableauDatas[[Date]:[Date]]=$AB$1)*(TableauDatas[[Perf]:[Perf]])))</f>
        <v/>
      </c>
      <c r="AC17" s="86" t="str" cm="1">
        <f t="array" ref="AC17">IF(SUMPRODUCT((TableauDatas[[Test]:[Test]]=$AC$2)*(TableauDatas[[Prénom]:[Prénom]]=V17)*(TableauDatas[[Date]:[Date]]=$AC$1)*(TableauDatas[[Perf]:[Perf]]))=0,"",SUMPRODUCT((TableauDatas[[Test]:[Test]]=$AC$2)*(TableauDatas[[Prénom]:[Prénom]]=V17)*(TableauDatas[[Date]:[Date]]=$AC$1)*(TableauDatas[[Perf]:[Perf]])))</f>
        <v/>
      </c>
      <c r="AD17" s="86" t="str" cm="1">
        <f t="array" ref="AD17">IF(SUMPRODUCT((TableauDatas[[Test]:[Test]]=$AD$2)*(TableauDatas[[Prénom]:[Prénom]]=V17)*(TableauDatas[[Date]:[Date]]=$AD$1)*(TableauDatas[[Perf]:[Perf]]))=0,"",SUMPRODUCT((TableauDatas[[Test]:[Test]]=$AD$2)*(TableauDatas[[Prénom]:[Prénom]]=V17)*(TableauDatas[[Date]:[Date]]=$AD$1)*(TableauDatas[[Perf]:[Perf]])))</f>
        <v/>
      </c>
      <c r="AE17" s="86" t="str" cm="1">
        <f t="array" ref="AE17">IF(SUMPRODUCT((TableauDatas[[Test]:[Test]]=$AE$2)*(TableauDatas[[Prénom]:[Prénom]]=V17)*(TableauDatas[[Date]:[Date]]=$AE$1)*(TableauDatas[[Perf]:[Perf]]))=0,"",SUMPRODUCT((TableauDatas[[Test]:[Test]]=$AE$2)*(TableauDatas[[Prénom]:[Prénom]]=V17)*(TableauDatas[[Date]:[Date]]=$AE$1)*(TableauDatas[[Perf]:[Perf]])))</f>
        <v/>
      </c>
      <c r="AF17" s="86" t="str" cm="1">
        <f t="array" ref="AF17">IF(SUMPRODUCT((TableauDatas[[Test]:[Test]]=$AF$2)*(TableauDatas[[Prénom]:[Prénom]]=V17)*(TableauDatas[[Date]:[Date]]=$AF$1)*(TableauDatas[[Perf]:[Perf]]))=0,"",SUMPRODUCT((TableauDatas[[Test]:[Test]]=$AF$2)*(TableauDatas[[Prénom]:[Prénom]]=V17)*(TableauDatas[[Date]:[Date]]=$AF$1)*(TableauDatas[[Perf]:[Perf]])))</f>
        <v/>
      </c>
      <c r="AG17" s="86" t="str" cm="1">
        <f t="array" ref="AG17">IF(SUMPRODUCT((TableauDatas[[Test]:[Test]]=$AG$2)*(TableauDatas[[Prénom]:[Prénom]]=V17)*(TableauDatas[[Date]:[Date]]=$AG$1)*(TableauDatas[[Perf]:[Perf]]))=0,"",SUMPRODUCT((TableauDatas[[Test]:[Test]]=$AG$2)*(TableauDatas[[Prénom]:[Prénom]]=V17)*(TableauDatas[[Date]:[Date]]=$AG$1)*(TableauDatas[[Perf]:[Perf]])))</f>
        <v/>
      </c>
      <c r="AH17" s="86" t="str" cm="1">
        <f t="array" ref="AH17">IF(SUMPRODUCT((TableauDatas[[Test]:[Test]]=$AH$2)*(TableauDatas[[Prénom]:[Prénom]]=V17)*(TableauDatas[[Date]:[Date]]=$AH$1)*(TableauDatas[[Perf]:[Perf]]))=0,"",SUMPRODUCT((TableauDatas[[Test]:[Test]]=$AH$2)*(TableauDatas[[Prénom]:[Prénom]]=V17)*(TableauDatas[[Date]:[Date]]=$AH$1)*(TableauDatas[[Perf]:[Perf]])))</f>
        <v/>
      </c>
      <c r="AI17" s="86" t="str" cm="1">
        <f t="array" ref="AI17">IF(SUMPRODUCT((TableauDatas[[Test]:[Test]]=$AI$2)*(TableauDatas[[Prénom]:[Prénom]]=V17)*(TableauDatas[[Date]:[Date]]=$AI$1)*(TableauDatas[[Perf]:[Perf]]))=0,"",SUMPRODUCT((TableauDatas[[Test]:[Test]]=$AI$2)*(TableauDatas[[Prénom]:[Prénom]]=V17)*(TableauDatas[[Date]:[Date]]=$AI$1)*(TableauDatas[[Perf]:[Perf]])))</f>
        <v/>
      </c>
      <c r="AJ17" s="86" t="str" cm="1">
        <f t="array" ref="AJ17">IF(SUMPRODUCT((TableauDatas[[Test]:[Test]]=$AJ$2)*(TableauDatas[[Prénom]:[Prénom]]=V17)*(TableauDatas[[Date]:[Date]]=$AJ$1)*(TableauDatas[[Perf]:[Perf]]))=0,"",SUMPRODUCT((TableauDatas[[Test]:[Test]]=$AJ$2)*(TableauDatas[[Prénom]:[Prénom]]=V17)*(TableauDatas[[Date]:[Date]]=$AJ$1)*(TableauDatas[[Perf]:[Perf]])))</f>
        <v/>
      </c>
      <c r="AK17" s="87" t="str" cm="1">
        <f t="array" ref="AK17">IF(SUMPRODUCT((TableauDatas[[Test]:[Test]]=$AK$2)*(TableauDatas[[Prénom]:[Prénom]]=V17)*(TableauDatas[[Date]:[Date]]=$AK$1)*(TableauDatas[[Perf]:[Perf]]))=0,"",SUMPRODUCT((TableauDatas[[Test]:[Test]]=$AK$2)*(TableauDatas[[Prénom]:[Prénom]]=V17)*(TableauDatas[[Date]:[Date]]=$AK$1)*(TableauDatas[[Perf]:[Perf]])))</f>
        <v/>
      </c>
      <c r="AL17" s="18"/>
      <c r="AM17" s="117" t="str" cm="1">
        <f t="array" ref="AM17">IF(SUMPRODUCT((TableauDatas[[Test]:[Test]]=$AM$2)*(TableauDatas[[Prénom]:[Prénom]]=V17)*(TableauDatas[[Date]:[Date]]=$AM$1)*(TableauDatas[[Perf]:[Perf]]))=0,"",SUMPRODUCT((TableauDatas[[Test]:[Test]]=$AM$2)*(TableauDatas[[Prénom]:[Prénom]]=V17)*(TableauDatas[[Date]:[Date]]=$AM$1)*(TableauDatas[[Perf]:[Perf]])))</f>
        <v/>
      </c>
      <c r="AN17" s="120" t="str" cm="1">
        <f t="array" ref="AN17">IF(SUMPRODUCT((TableauDatas[[Test]:[Test]]=$AM$2)*(TableauDatas[[Prénom]:[Prénom]]=V17)*(TableauDatas[[Date]:[Date]]=$AN$1)*(TableauDatas[[Perf]:[Perf]]))=0,"",SUMPRODUCT((TableauDatas[[Test]:[Test]]=$AM$2)*(TableauDatas[[Prénom]:[Prénom]]=V17)*(TableauDatas[[Date]:[Date]]=$AN$1)*(TableauDatas[[Perf]:[Perf]])))</f>
        <v/>
      </c>
      <c r="AO17" s="118" t="str" cm="1">
        <f t="array" ref="AO17">IF(SUMPRODUCT((TableauDatas[[Test]:[Test]]=$AO$2)*(TableauDatas[[Prénom]:[Prénom]]=V17)*(TableauDatas[[Date]:[Date]]=$AO$1)*(TableauDatas[[Perf]:[Perf]]))=0,"",SUMPRODUCT((TableauDatas[[Test]:[Test]]=$AO$2)*(TableauDatas[[Prénom]:[Prénom]]=V17)*(TableauDatas[[Date]:[Date]]=$AO$1)*(TableauDatas[[Perf]:[Perf]])))</f>
        <v/>
      </c>
      <c r="AP17" s="118" t="str" cm="1">
        <f t="array" ref="AP17">IF(SUMPRODUCT((TableauDatas[[Test]:[Test]]=$AO$2)*(TableauDatas[[Prénom]:[Prénom]]=V17)*(TableauDatas[[Date]:[Date]]=$AP$1)*(TableauDatas[[Perf]:[Perf]]))=0,"",SUMPRODUCT((TableauDatas[[Test]:[Test]]=$AO$2)*(TableauDatas[[Prénom]:[Prénom]]=V17)*(TableauDatas[[Date]:[Date]]=$AP$1)*(TableauDatas[[Perf]:[Perf]])))</f>
        <v/>
      </c>
      <c r="AQ17" s="118" t="str" cm="1">
        <f t="array" ref="AQ17">IF(SUMPRODUCT((TableauDatas[[Test]:[Test]]=$AQ$2)*(TableauDatas[[Prénom]:[Prénom]]=V17)*(TableauDatas[[Date]:[Date]]=$AQ$1)*(TableauDatas[[Perf]:[Perf]]))=0,"",SUMPRODUCT((TableauDatas[[Test]:[Test]]=$AQ$2)*(TableauDatas[[Prénom]:[Prénom]]=V17)*(TableauDatas[[Date]:[Date]]=$AQ$1)*(TableauDatas[[Perf]:[Perf]])))</f>
        <v/>
      </c>
      <c r="AR17" s="118" t="str" cm="1">
        <f t="array" ref="AR17">IF(SUMPRODUCT((TableauDatas[[Test]:[Test]]=$AQ$2)*(TableauDatas[[Prénom]:[Prénom]]=V17)*(TableauDatas[[Date]:[Date]]=$AR$1)*(TableauDatas[[Perf]:[Perf]]))=0,"",SUMPRODUCT((TableauDatas[[Test]:[Test]]=$AQ$2)*(TableauDatas[[Prénom]:[Prénom]]=V17)*(TableauDatas[[Date]:[Date]]=$AR$1)*(TableauDatas[[Perf]:[Perf]])))</f>
        <v/>
      </c>
      <c r="AS17" s="118" t="str" cm="1">
        <f t="array" ref="AS17">IF(SUMPRODUCT((TableauDatas[[Test]:[Test]]=$AS$2)*(TableauDatas[[Prénom]:[Prénom]]=V17)*(TableauDatas[[Date]:[Date]]=$AS$1)*(TableauDatas[[Perf]:[Perf]]))=0,"",SUMPRODUCT((TableauDatas[[Test]:[Test]]=$AS$2)*(TableauDatas[[Prénom]:[Prénom]]=V17)*(TableauDatas[[Date]:[Date]]=$AS$1)*(TableauDatas[[Perf]:[Perf]])))</f>
        <v/>
      </c>
      <c r="AT17" s="118" t="str" cm="1">
        <f t="array" ref="AT17">IF(SUMPRODUCT((TableauDatas[[Test]:[Test]]=$AS$2)*(TableauDatas[[Prénom]:[Prénom]]=V17)*(TableauDatas[[Date]:[Date]]=$AT$1)*(TableauDatas[[Perf]:[Perf]]))=0,"",SUMPRODUCT((TableauDatas[[Test]:[Test]]=$AS$2)*(TableauDatas[[Prénom]:[Prénom]]=V17)*(TableauDatas[[Date]:[Date]]=$AT$1)*(TableauDatas[[Perf]:[Perf]])))</f>
        <v/>
      </c>
      <c r="AU17" s="118" t="str" cm="1">
        <f t="array" ref="AU17">IF(SUMPRODUCT((TableauDatas[[Test]:[Test]]=$AU$2)*(TableauDatas[[Prénom]:[Prénom]]=V17)*(TableauDatas[[Date]:[Date]]=$AU$1)*(TableauDatas[[Perf]:[Perf]]))=0,"",SUMPRODUCT((TableauDatas[[Test]:[Test]]=$AU$2)*(TableauDatas[[Prénom]:[Prénom]]=V17)*(TableauDatas[[Date]:[Date]]=$AU$1)*(TableauDatas[[Perf]:[Perf]])))</f>
        <v/>
      </c>
      <c r="AV17" s="118" t="str" cm="1">
        <f t="array" ref="AV17">IF(SUMPRODUCT((TableauDatas[[Test]:[Test]]=$AU$2)*(TableauDatas[[Prénom]:[Prénom]]=V17)*(TableauDatas[[Date]:[Date]]=$AV$1)*(TableauDatas[[Perf]:[Perf]]))=0,"",SUMPRODUCT((TableauDatas[[Test]:[Test]]=$AU$2)*(TableauDatas[[Prénom]:[Prénom]]=V17)*(TableauDatas[[Date]:[Date]]=$AV$1)*(TableauDatas[[Perf]:[Perf]])))</f>
        <v/>
      </c>
      <c r="AW17" s="118" t="str" cm="1">
        <f t="array" ref="AW17">IF(SUMPRODUCT((TableauDatas[[Test]:[Test]]=$AW$2)*(TableauDatas[[Prénom]:[Prénom]]=V17)*(TableauDatas[[Date]:[Date]]=$AW$1)*(TableauDatas[[Perf]:[Perf]]))=0,"",SUMPRODUCT((TableauDatas[[Test]:[Test]]=$AW$2)*(TableauDatas[[Prénom]:[Prénom]]=V17)*(TableauDatas[[Date]:[Date]]=$AW$1)*(TableauDatas[[Perf]:[Perf]])))</f>
        <v/>
      </c>
      <c r="AX17" s="118" t="str" cm="1">
        <f t="array" ref="AX17">IF(SUMPRODUCT((TableauDatas[[Test]:[Test]]=$AW$2)*(TableauDatas[[Prénom]:[Prénom]]=V17)*(TableauDatas[[Date]:[Date]]=$AX$1)*(TableauDatas[[Perf]:[Perf]]))=0,"",SUMPRODUCT((TableauDatas[[Test]:[Test]]=$AW$2)*(TableauDatas[[Prénom]:[Prénom]]=V17)*(TableauDatas[[Date]:[Date]]=$AX$1)*(TableauDatas[[Perf]:[Perf]])))</f>
        <v/>
      </c>
      <c r="AY17" s="118" t="str" cm="1">
        <f t="array" ref="AY17">IF(SUMPRODUCT((TableauDatas[[Test]:[Test]]=$AY$2)*(TableauDatas[[Prénom]:[Prénom]]=V17)*(TableauDatas[[Date]:[Date]]=$AY$1)*(TableauDatas[[Perf]:[Perf]]))=0,"",SUMPRODUCT((TableauDatas[[Test]:[Test]]=$AY$2)*(TableauDatas[[Prénom]:[Prénom]]=V17)*(TableauDatas[[Date]:[Date]]=$AY$1)*(TableauDatas[[Perf]:[Perf]])))</f>
        <v/>
      </c>
      <c r="AZ17" s="118" t="str" cm="1">
        <f t="array" ref="AZ17">IF(SUMPRODUCT((TableauDatas[[Test]:[Test]]=$AY$2)*(TableauDatas[[Prénom]:[Prénom]]=V17)*(TableauDatas[[Date]:[Date]]=$AZ$1)*(TableauDatas[[Perf]:[Perf]]))=0,"",SUMPRODUCT((TableauDatas[[Test]:[Test]]=$AY$2)*(TableauDatas[[Prénom]:[Prénom]]=V17)*(TableauDatas[[Date]:[Date]]=$AZ$1)*(TableauDatas[[Perf]:[Perf]])))</f>
        <v/>
      </c>
      <c r="BA17" s="118" t="str" cm="1">
        <f t="array" ref="BA17">IF(SUMPRODUCT((TableauDatas[[Test]:[Test]]=$BA$2)*(TableauDatas[[Prénom]:[Prénom]]=V17)*(TableauDatas[[Date]:[Date]]=$BA$1)*(TableauDatas[[Perf]:[Perf]]))=0,"",SUMPRODUCT((TableauDatas[[Test]:[Test]]=$BA$2)*(TableauDatas[[Prénom]:[Prénom]]=V17)*(TableauDatas[[Date]:[Date]]=$BA$1)*(TableauDatas[[Perf]:[Perf]])))</f>
        <v/>
      </c>
      <c r="BB17" s="118" t="str" cm="1">
        <f t="array" ref="BB17">IF(SUMPRODUCT((TableauDatas[[Test]:[Test]]=$BA$2)*(TableauDatas[[Prénom]:[Prénom]]=V17)*(TableauDatas[[Date]:[Date]]=$BB$1)*(TableauDatas[[Perf]:[Perf]]))=0,"",SUMPRODUCT((TableauDatas[[Test]:[Test]]=$BA$2)*(TableauDatas[[Prénom]:[Prénom]]=V17)*(TableauDatas[[Date]:[Date]]=$BB$1)*(TableauDatas[[Perf]:[Perf]])))</f>
        <v/>
      </c>
      <c r="BC17" s="118" t="str" cm="1">
        <f t="array" ref="BC17">IF(SUMPRODUCT((TableauDatas[[Test]:[Test]]=$BC$2)*(TableauDatas[[Prénom]:[Prénom]]=V17)*(TableauDatas[[Date]:[Date]]=$BC$1)*(TableauDatas[[Perf]:[Perf]]))=0,"",SUMPRODUCT((TableauDatas[[Test]:[Test]]=$BC$2)*(TableauDatas[[Prénom]:[Prénom]]=V17)*(TableauDatas[[Date]:[Date]]=$BC$1)*(TableauDatas[[Perf]:[Perf]])))</f>
        <v/>
      </c>
      <c r="BD17" s="121" t="str" cm="1">
        <f t="array" ref="BD17">IF(SUMPRODUCT((TableauDatas[[Test]:[Test]]=$BC$2)*(TableauDatas[[Prénom]:[Prénom]]=V17)*(TableauDatas[[Date]:[Date]]=$BD$1)*(TableauDatas[[Perf]:[Perf]]))=0,"",SUMPRODUCT((TableauDatas[[Test]:[Test]]=$BC$2)*(TableauDatas[[Prénom]:[Prénom]]=V17)*(TableauDatas[[Date]:[Date]]=$BD$1)*(TableauDatas[[Perf]:[Perf]])))</f>
        <v/>
      </c>
      <c r="BE17" s="118" t="str" cm="1">
        <f t="array" ref="BE17">IF(SUMPRODUCT((TableauDatas[[Test]:[Test]]=$BE$2)*(TableauDatas[[Prénom]:[Prénom]]=V17)*(TableauDatas[[Date]:[Date]]=$BE$1)*(TableauDatas[[Perf]:[Perf]]))=0,"",SUMPRODUCT((TableauDatas[[Test]:[Test]]=$BE$2)*(TableauDatas[[Prénom]:[Prénom]]=V17)*(TableauDatas[[Date]:[Date]]=$BE$1)*(TableauDatas[[Perf]:[Perf]])))</f>
        <v/>
      </c>
      <c r="BF17" s="118" t="str" cm="1">
        <f t="array" ref="BF17">IF(SUMPRODUCT((TableauDatas[[Test]:[Test]]=$BE$2)*(TableauDatas[[Prénom]:[Prénom]]=V17)*(TableauDatas[[Date]:[Date]]=$BF$1)*(TableauDatas[[Perf]:[Perf]]))=0,"",SUMPRODUCT((TableauDatas[[Test]:[Test]]=$BE$2)*(TableauDatas[[Prénom]:[Prénom]]=V17)*(TableauDatas[[Date]:[Date]]=$BF$1)*(TableauDatas[[Perf]:[Perf]])))</f>
        <v/>
      </c>
      <c r="BG17" s="118" t="str" cm="1">
        <f t="array" ref="BG17">IF(SUMPRODUCT((TableauDatas[[Test]:[Test]]=$BG$2)*(TableauDatas[[Prénom]:[Prénom]]=V17)*(TableauDatas[[Date]:[Date]]=$BG$1)*(TableauDatas[[Perf]:[Perf]]))=0,"",SUMPRODUCT((TableauDatas[[Test]:[Test]]=$BG$2)*(TableauDatas[[Prénom]:[Prénom]]=V17)*(TableauDatas[[Date]:[Date]]=$BG$1)*(TableauDatas[[Perf]:[Perf]])))</f>
        <v/>
      </c>
      <c r="BH17" s="118" t="str" cm="1">
        <f t="array" ref="BH17">IF(SUMPRODUCT((TableauDatas[[Test]:[Test]]=$BG$2)*(TableauDatas[[Prénom]:[Prénom]]=V17)*(TableauDatas[[Date]:[Date]]=$BH$1)*(TableauDatas[[Perf]:[Perf]]))=0,"",SUMPRODUCT((TableauDatas[[Test]:[Test]]=$BG$2)*(TableauDatas[[Prénom]:[Prénom]]=V17)*(TableauDatas[[Date]:[Date]]=$BH$1)*(TableauDatas[[Perf]:[Perf]])))</f>
        <v/>
      </c>
      <c r="BI17" s="118" t="str" cm="1">
        <f t="array" ref="BI17">IF(SUMPRODUCT((TableauDatas[[Test]:[Test]]=$BI$2)*(TableauDatas[[Prénom]:[Prénom]]=V17)*(TableauDatas[[Date]:[Date]]=$BI$1)*(TableauDatas[[Perf]:[Perf]]))=0,"",SUMPRODUCT((TableauDatas[[Test]:[Test]]=$BI$2)*(TableauDatas[[Prénom]:[Prénom]]=V17)*(TableauDatas[[Date]:[Date]]=$BI$1)*(TableauDatas[[Perf]:[Perf]])))</f>
        <v/>
      </c>
      <c r="BJ17" s="118" t="str" cm="1">
        <f t="array" ref="BJ17">IF(SUMPRODUCT((TableauDatas[[Test]:[Test]]=$BI$2)*(TableauDatas[[Prénom]:[Prénom]]=V17)*(TableauDatas[[Date]:[Date]]=$BJ$1)*(TableauDatas[[Perf]:[Perf]]))=0,"",SUMPRODUCT((TableauDatas[[Test]:[Test]]=$BI$2)*(TableauDatas[[Prénom]:[Prénom]]=V17)*(TableauDatas[[Date]:[Date]]=$BJ$1)*(TableauDatas[[Perf]:[Perf]])))</f>
        <v/>
      </c>
      <c r="BK17" s="118" t="str" cm="1">
        <f t="array" ref="BK17">IF(SUMPRODUCT((TableauDatas[[Test]:[Test]]=$BK$2)*(TableauDatas[[Prénom]:[Prénom]]=V17)*(TableauDatas[[Date]:[Date]]=$BK$1)*(TableauDatas[[Perf]:[Perf]]))=0,"",SUMPRODUCT((TableauDatas[[Test]:[Test]]=$BK$2)*(TableauDatas[[Prénom]:[Prénom]]=V17)*(TableauDatas[[Date]:[Date]]=$BK$1)*(TableauDatas[[Perf]:[Perf]])))</f>
        <v/>
      </c>
      <c r="BL17" s="118" t="str" cm="1">
        <f t="array" ref="BL17">IF(SUMPRODUCT((TableauDatas[[Test]:[Test]]=$BK$2)*(TableauDatas[[Prénom]:[Prénom]]=V17)*(TableauDatas[[Date]:[Date]]=$BL$1)*(TableauDatas[[Perf]:[Perf]]))=0,"",SUMPRODUCT((TableauDatas[[Test]:[Test]]=$BK$2)*(TableauDatas[[Prénom]:[Prénom]]=V17)*(TableauDatas[[Date]:[Date]]=$BL$1)*(TableauDatas[[Perf]:[Perf]])))</f>
        <v/>
      </c>
      <c r="BM17" s="118" t="str" cm="1">
        <f t="array" ref="BM17">IF(SUMPRODUCT((TableauDatas[[Test]:[Test]]=$BM$2)*(TableauDatas[[Prénom]:[Prénom]]=V17)*(TableauDatas[[Date]:[Date]]=$BM$1)*(TableauDatas[[Perf]:[Perf]]))=0,"",SUMPRODUCT((TableauDatas[[Test]:[Test]]=$BM$2)*(TableauDatas[[Prénom]:[Prénom]]=V17)*(TableauDatas[[Date]:[Date]]=$BM$1)*(TableauDatas[[Perf]:[Perf]])))</f>
        <v/>
      </c>
      <c r="BN17" s="118" t="str" cm="1">
        <f t="array" ref="BN17">IF(SUMPRODUCT((TableauDatas[[Test]:[Test]]=$BM$2)*(TableauDatas[[Prénom]:[Prénom]]=V17)*(TableauDatas[[Date]:[Date]]=$BN$1)*(TableauDatas[[Perf]:[Perf]]))=0,"",SUMPRODUCT((TableauDatas[[Test]:[Test]]=$BM$2)*(TableauDatas[[Prénom]:[Prénom]]=V17)*(TableauDatas[[Date]:[Date]]=$BN$1)*(TableauDatas[[Perf]:[Perf]])))</f>
        <v/>
      </c>
      <c r="BO17" s="118" t="str" cm="1">
        <f t="array" ref="BO17">IF(SUMPRODUCT((TableauDatas[[Test]:[Test]]=$BO$2)*(TableauDatas[[Prénom]:[Prénom]]=V17)*(TableauDatas[[Date]:[Date]]=$BO$1)*(TableauDatas[[Perf]:[Perf]]))=0,"",SUMPRODUCT((TableauDatas[[Test]:[Test]]=$BO$2)*(TableauDatas[[Prénom]:[Prénom]]=V17)*(TableauDatas[[Date]:[Date]]=$BO$1)*(TableauDatas[[Perf]:[Perf]])))</f>
        <v/>
      </c>
      <c r="BP17" s="119" t="str" cm="1">
        <f t="array" ref="BP17">IF(SUMPRODUCT((TableauDatas[[Test]:[Test]]=$BO$2)*(TableauDatas[[Prénom]:[Prénom]]=V17)*(TableauDatas[[Date]:[Date]]=$BP$1)*(TableauDatas[[Perf]:[Perf]]))=0,"",SUMPRODUCT((TableauDatas[[Test]:[Test]]=$BO$2)*(TableauDatas[[Prénom]:[Prénom]]=V17)*(TableauDatas[[Date]:[Date]]=$BP$1)*(TableauDatas[[Perf]:[Perf]])))</f>
        <v/>
      </c>
      <c r="BQ17" s="18"/>
      <c r="BR17" s="18"/>
      <c r="BS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DA17" s="97"/>
      <c r="DB17" s="97"/>
      <c r="DC17" s="97"/>
      <c r="DD17" s="97"/>
      <c r="DE17" s="97"/>
      <c r="DF17" s="97"/>
      <c r="DG17" s="97"/>
      <c r="DH17" s="97"/>
      <c r="DI17" s="97"/>
      <c r="DJ17" s="97"/>
      <c r="DK17" s="97"/>
      <c r="DL17" s="97"/>
      <c r="DM17" s="97"/>
      <c r="DN17" s="97"/>
      <c r="DO17" s="97"/>
      <c r="DQ17" s="97"/>
      <c r="DR17" s="97"/>
      <c r="DS17" s="97"/>
      <c r="DT17" s="97"/>
      <c r="DU17" s="97"/>
      <c r="DV17" s="97"/>
      <c r="DW17" s="97"/>
      <c r="DX17" s="97"/>
      <c r="DY17" s="97"/>
      <c r="DZ17" s="97"/>
      <c r="EA17" s="97"/>
      <c r="EB17" s="97"/>
      <c r="EC17" s="97"/>
      <c r="ED17" s="97"/>
      <c r="EE17" s="97"/>
      <c r="EG17" s="97"/>
      <c r="EH17" s="97"/>
      <c r="EI17" s="97"/>
      <c r="EJ17" s="97"/>
      <c r="EK17" s="97"/>
      <c r="EL17" s="97"/>
      <c r="EM17" s="97"/>
      <c r="EN17" s="97"/>
      <c r="EO17" s="97"/>
      <c r="EP17" s="97"/>
      <c r="EQ17" s="97"/>
      <c r="ER17" s="97"/>
      <c r="ES17" s="97"/>
      <c r="ET17" s="97"/>
      <c r="EU17" s="97"/>
      <c r="EW17" s="97"/>
      <c r="EX17" s="97"/>
      <c r="EY17" s="97"/>
      <c r="EZ17" s="97"/>
      <c r="FA17" s="97"/>
      <c r="FB17" s="97"/>
      <c r="FC17" s="97"/>
      <c r="FD17" s="97"/>
      <c r="FE17" s="97"/>
      <c r="FF17" s="97"/>
      <c r="FG17" s="97"/>
      <c r="FH17" s="97"/>
      <c r="FI17" s="97"/>
      <c r="FJ17" s="97"/>
      <c r="FK17" s="97"/>
      <c r="FM17" s="97"/>
      <c r="FN17" s="97"/>
      <c r="FO17" s="97"/>
      <c r="FP17" s="97"/>
      <c r="FQ17" s="97"/>
      <c r="FR17" s="97"/>
      <c r="FS17" s="97"/>
      <c r="FT17" s="97"/>
      <c r="FU17" s="97"/>
      <c r="FV17" s="97"/>
      <c r="FW17" s="97"/>
      <c r="FX17" s="97"/>
      <c r="FY17" s="97"/>
      <c r="FZ17" s="97"/>
      <c r="GA17" s="97"/>
      <c r="GC17" s="97"/>
      <c r="GD17" s="97"/>
      <c r="GE17" s="97"/>
      <c r="GF17" s="97"/>
      <c r="GG17" s="97"/>
      <c r="GH17" s="97"/>
      <c r="GI17" s="97"/>
      <c r="GJ17" s="97"/>
      <c r="GK17" s="97"/>
      <c r="GL17" s="97"/>
      <c r="GM17" s="97"/>
      <c r="GN17" s="97"/>
      <c r="GO17" s="97"/>
      <c r="GP17" s="97"/>
      <c r="GQ17" s="97"/>
      <c r="GS17" s="97"/>
      <c r="GT17" s="97"/>
      <c r="GU17" s="97"/>
      <c r="GV17" s="97"/>
      <c r="GW17" s="97"/>
      <c r="GX17" s="97"/>
      <c r="GY17" s="97"/>
      <c r="GZ17" s="97"/>
      <c r="HA17" s="97"/>
      <c r="HB17" s="97"/>
      <c r="HC17" s="97"/>
      <c r="HD17" s="97"/>
      <c r="HE17" s="97"/>
      <c r="HF17" s="97"/>
      <c r="HG17" s="97"/>
      <c r="HI17" s="97"/>
      <c r="HJ17" s="97"/>
      <c r="HK17" s="97"/>
      <c r="HL17" s="97"/>
      <c r="HM17" s="97"/>
      <c r="HN17" s="97"/>
      <c r="HO17" s="97"/>
      <c r="HP17" s="97"/>
      <c r="HQ17" s="97"/>
      <c r="HR17" s="97"/>
      <c r="HS17" s="97"/>
      <c r="HT17" s="97"/>
      <c r="HU17" s="97"/>
      <c r="HV17" s="97"/>
      <c r="HW17" s="97"/>
      <c r="HY17" s="97"/>
      <c r="HZ17" s="97"/>
      <c r="IA17" s="97"/>
      <c r="IB17" s="97"/>
      <c r="IC17" s="97"/>
      <c r="ID17" s="97"/>
      <c r="IE17" s="97"/>
      <c r="IF17" s="97"/>
      <c r="IG17" s="97"/>
      <c r="IH17" s="97"/>
      <c r="II17" s="97"/>
      <c r="IJ17" s="97"/>
      <c r="IK17" s="97"/>
      <c r="IL17" s="97"/>
      <c r="IM17" s="97"/>
      <c r="IO17" s="97"/>
      <c r="IP17" s="97"/>
      <c r="IQ17" s="97"/>
      <c r="IR17" s="97"/>
      <c r="IS17" s="97"/>
      <c r="IT17" s="97"/>
      <c r="IU17" s="24"/>
      <c r="IV17" s="24"/>
      <c r="IW17" s="24"/>
      <c r="IX17" s="24"/>
      <c r="IY17" s="24"/>
      <c r="IZ17" s="24"/>
      <c r="JA17" s="24"/>
      <c r="JB17" s="24"/>
      <c r="JC17" s="24"/>
    </row>
    <row r="18" spans="1:263" x14ac:dyDescent="0.25">
      <c r="A18" s="155"/>
      <c r="B18" s="21"/>
      <c r="C18" s="56" t="str" cm="1">
        <f t="array" ref="C18">IF(SUMPRODUCT((TableauDatas[[Prénom]:[Prénom]]=$C$4)*(TableauDatas[[Date]:[Date]]=B18)*(TableauDatas[[Test]:[Test]]=A18)*(TableauDatas[[Perf]:[Perf]]))=0,"",SUMPRODUCT((TableauDatas[[Prénom]:[Prénom]]=$C$4)*(TableauDatas[[Date]:[Date]]=B18)*(TableauDatas[[Test]:[Test]]=A18)*(TableauDatas[[Perf]:[Perf]])))</f>
        <v/>
      </c>
      <c r="D18" s="32" t="str">
        <f>IFERROR(AC30,"")</f>
        <v/>
      </c>
      <c r="E18" s="30" t="str">
        <f>IFERROR(AC31,"")</f>
        <v/>
      </c>
      <c r="F18" s="33" t="str">
        <f>IFERROR(AC32,"")</f>
        <v/>
      </c>
      <c r="G18" s="163" t="str">
        <f>IFERROR(AC33,"")</f>
        <v/>
      </c>
      <c r="H18" s="40" t="str">
        <f>IFERROR(AC28,"")</f>
        <v/>
      </c>
      <c r="I18" s="27"/>
      <c r="J18" s="28"/>
      <c r="N18" s="44"/>
      <c r="O18" s="68"/>
      <c r="P18" s="69"/>
      <c r="Q18" s="69"/>
      <c r="R18" s="69"/>
      <c r="S18" s="70"/>
      <c r="T18" s="47"/>
      <c r="V18" s="89">
        <f t="shared" si="0"/>
        <v>0</v>
      </c>
      <c r="W18" s="86" t="str" cm="1">
        <f t="array" ref="W18">IF(SUMPRODUCT((TableauDatas[[Test]:[Test]]=$W$2)*(TableauDatas[[Prénom]:[Prénom]]=V18)*(TableauDatas[[Date]:[Date]]=$W$1)*(TableauDatas[[Perf]:[Perf]]))=0,"",SUMPRODUCT((TableauDatas[[Test]:[Test]]=$W$2)*(TableauDatas[[Prénom]:[Prénom]]=V18)*(TableauDatas[[Date]:[Date]]=$W$1)*(TableauDatas[[Perf]:[Perf]])))</f>
        <v/>
      </c>
      <c r="X18" s="86" t="str" cm="1">
        <f t="array" ref="X18">IF(SUMPRODUCT((TableauDatas[[Test]:[Test]]=$X$2)*(TableauDatas[[Prénom]:[Prénom]]=V18)*(TableauDatas[[Date]:[Date]]=$X$1)*(TableauDatas[[Perf]:[Perf]]))=0,"",SUMPRODUCT((TableauDatas[[Test]:[Test]]=$X$2)*(TableauDatas[[Prénom]:[Prénom]]=V18)*(TableauDatas[[Date]:[Date]]=$X$1)*(TableauDatas[[Perf]:[Perf]])))</f>
        <v/>
      </c>
      <c r="Y18" s="86" t="str" cm="1">
        <f t="array" ref="Y18">IF(SUMPRODUCT((TableauDatas[[Test]:[Test]]=$Y$2)*(TableauDatas[[Prénom]:[Prénom]]=V18)*(TableauDatas[[Date]:[Date]]=$Y$1)*(TableauDatas[[Perf]:[Perf]]))=0,"",SUMPRODUCT((TableauDatas[[Test]:[Test]]=$Y$2)*(TableauDatas[[Prénom]:[Prénom]]=V18)*(TableauDatas[[Date]:[Date]]=$Y$1)*(TableauDatas[[Perf]:[Perf]])))</f>
        <v/>
      </c>
      <c r="Z18" s="86" t="str" cm="1">
        <f t="array" ref="Z18">IF(SUMPRODUCT((TableauDatas[[Test]:[Test]]=$Z$2)*(TableauDatas[[Prénom]:[Prénom]]=V18)*(TableauDatas[[Date]:[Date]]=$Z$1)*(TableauDatas[[Perf]:[Perf]]))=0,"",SUMPRODUCT((TableauDatas[[Test]:[Test]]=$Z$2)*(TableauDatas[[Prénom]:[Prénom]]=V18)*(TableauDatas[[Date]:[Date]]=$Z$1)*(TableauDatas[[Perf]:[Perf]])))</f>
        <v/>
      </c>
      <c r="AA18" s="86" t="str" cm="1">
        <f t="array" ref="AA18">IF(SUMPRODUCT((TableauDatas[[Test]:[Test]]=$AA$2)*(TableauDatas[[Prénom]:[Prénom]]=V18)*(TableauDatas[[Date]:[Date]]=$AA$1)*(TableauDatas[[Perf]:[Perf]]))=0,"",SUMPRODUCT((TableauDatas[[Test]:[Test]]=$AA$2)*(TableauDatas[[Prénom]:[Prénom]]=V18)*(TableauDatas[[Date]:[Date]]=$AA$1)*(TableauDatas[[Perf]:[Perf]])))</f>
        <v/>
      </c>
      <c r="AB18" s="86" t="str" cm="1">
        <f t="array" ref="AB18">IF(SUMPRODUCT((TableauDatas[[Test]:[Test]]=$AB$2)*(TableauDatas[[Prénom]:[Prénom]]=V18)*(TableauDatas[[Date]:[Date]]=$AB$1)*(TableauDatas[[Perf]:[Perf]]))=0,"",SUMPRODUCT((TableauDatas[[Test]:[Test]]=$AB$2)*(TableauDatas[[Prénom]:[Prénom]]=V18)*(TableauDatas[[Date]:[Date]]=$AB$1)*(TableauDatas[[Perf]:[Perf]])))</f>
        <v/>
      </c>
      <c r="AC18" s="86" t="str" cm="1">
        <f t="array" ref="AC18">IF(SUMPRODUCT((TableauDatas[[Test]:[Test]]=$AC$2)*(TableauDatas[[Prénom]:[Prénom]]=V18)*(TableauDatas[[Date]:[Date]]=$AC$1)*(TableauDatas[[Perf]:[Perf]]))=0,"",SUMPRODUCT((TableauDatas[[Test]:[Test]]=$AC$2)*(TableauDatas[[Prénom]:[Prénom]]=V18)*(TableauDatas[[Date]:[Date]]=$AC$1)*(TableauDatas[[Perf]:[Perf]])))</f>
        <v/>
      </c>
      <c r="AD18" s="86" t="str" cm="1">
        <f t="array" ref="AD18">IF(SUMPRODUCT((TableauDatas[[Test]:[Test]]=$AD$2)*(TableauDatas[[Prénom]:[Prénom]]=V18)*(TableauDatas[[Date]:[Date]]=$AD$1)*(TableauDatas[[Perf]:[Perf]]))=0,"",SUMPRODUCT((TableauDatas[[Test]:[Test]]=$AD$2)*(TableauDatas[[Prénom]:[Prénom]]=V18)*(TableauDatas[[Date]:[Date]]=$AD$1)*(TableauDatas[[Perf]:[Perf]])))</f>
        <v/>
      </c>
      <c r="AE18" s="86" t="str" cm="1">
        <f t="array" ref="AE18">IF(SUMPRODUCT((TableauDatas[[Test]:[Test]]=$AE$2)*(TableauDatas[[Prénom]:[Prénom]]=V18)*(TableauDatas[[Date]:[Date]]=$AE$1)*(TableauDatas[[Perf]:[Perf]]))=0,"",SUMPRODUCT((TableauDatas[[Test]:[Test]]=$AE$2)*(TableauDatas[[Prénom]:[Prénom]]=V18)*(TableauDatas[[Date]:[Date]]=$AE$1)*(TableauDatas[[Perf]:[Perf]])))</f>
        <v/>
      </c>
      <c r="AF18" s="86" t="str" cm="1">
        <f t="array" ref="AF18">IF(SUMPRODUCT((TableauDatas[[Test]:[Test]]=$AF$2)*(TableauDatas[[Prénom]:[Prénom]]=V18)*(TableauDatas[[Date]:[Date]]=$AF$1)*(TableauDatas[[Perf]:[Perf]]))=0,"",SUMPRODUCT((TableauDatas[[Test]:[Test]]=$AF$2)*(TableauDatas[[Prénom]:[Prénom]]=V18)*(TableauDatas[[Date]:[Date]]=$AF$1)*(TableauDatas[[Perf]:[Perf]])))</f>
        <v/>
      </c>
      <c r="AG18" s="86" t="str" cm="1">
        <f t="array" ref="AG18">IF(SUMPRODUCT((TableauDatas[[Test]:[Test]]=$AG$2)*(TableauDatas[[Prénom]:[Prénom]]=V18)*(TableauDatas[[Date]:[Date]]=$AG$1)*(TableauDatas[[Perf]:[Perf]]))=0,"",SUMPRODUCT((TableauDatas[[Test]:[Test]]=$AG$2)*(TableauDatas[[Prénom]:[Prénom]]=V18)*(TableauDatas[[Date]:[Date]]=$AG$1)*(TableauDatas[[Perf]:[Perf]])))</f>
        <v/>
      </c>
      <c r="AH18" s="86" t="str" cm="1">
        <f t="array" ref="AH18">IF(SUMPRODUCT((TableauDatas[[Test]:[Test]]=$AH$2)*(TableauDatas[[Prénom]:[Prénom]]=V18)*(TableauDatas[[Date]:[Date]]=$AH$1)*(TableauDatas[[Perf]:[Perf]]))=0,"",SUMPRODUCT((TableauDatas[[Test]:[Test]]=$AH$2)*(TableauDatas[[Prénom]:[Prénom]]=V18)*(TableauDatas[[Date]:[Date]]=$AH$1)*(TableauDatas[[Perf]:[Perf]])))</f>
        <v/>
      </c>
      <c r="AI18" s="86" t="str" cm="1">
        <f t="array" ref="AI18">IF(SUMPRODUCT((TableauDatas[[Test]:[Test]]=$AI$2)*(TableauDatas[[Prénom]:[Prénom]]=V18)*(TableauDatas[[Date]:[Date]]=$AI$1)*(TableauDatas[[Perf]:[Perf]]))=0,"",SUMPRODUCT((TableauDatas[[Test]:[Test]]=$AI$2)*(TableauDatas[[Prénom]:[Prénom]]=V18)*(TableauDatas[[Date]:[Date]]=$AI$1)*(TableauDatas[[Perf]:[Perf]])))</f>
        <v/>
      </c>
      <c r="AJ18" s="86" t="str" cm="1">
        <f t="array" ref="AJ18">IF(SUMPRODUCT((TableauDatas[[Test]:[Test]]=$AJ$2)*(TableauDatas[[Prénom]:[Prénom]]=V18)*(TableauDatas[[Date]:[Date]]=$AJ$1)*(TableauDatas[[Perf]:[Perf]]))=0,"",SUMPRODUCT((TableauDatas[[Test]:[Test]]=$AJ$2)*(TableauDatas[[Prénom]:[Prénom]]=V18)*(TableauDatas[[Date]:[Date]]=$AJ$1)*(TableauDatas[[Perf]:[Perf]])))</f>
        <v/>
      </c>
      <c r="AK18" s="87" t="str" cm="1">
        <f t="array" ref="AK18">IF(SUMPRODUCT((TableauDatas[[Test]:[Test]]=$AK$2)*(TableauDatas[[Prénom]:[Prénom]]=V18)*(TableauDatas[[Date]:[Date]]=$AK$1)*(TableauDatas[[Perf]:[Perf]]))=0,"",SUMPRODUCT((TableauDatas[[Test]:[Test]]=$AK$2)*(TableauDatas[[Prénom]:[Prénom]]=V18)*(TableauDatas[[Date]:[Date]]=$AK$1)*(TableauDatas[[Perf]:[Perf]])))</f>
        <v/>
      </c>
      <c r="AL18" s="18"/>
      <c r="AM18" s="117" t="str" cm="1">
        <f t="array" ref="AM18">IF(SUMPRODUCT((TableauDatas[[Test]:[Test]]=$AM$2)*(TableauDatas[[Prénom]:[Prénom]]=V18)*(TableauDatas[[Date]:[Date]]=$AM$1)*(TableauDatas[[Perf]:[Perf]]))=0,"",SUMPRODUCT((TableauDatas[[Test]:[Test]]=$AM$2)*(TableauDatas[[Prénom]:[Prénom]]=V18)*(TableauDatas[[Date]:[Date]]=$AM$1)*(TableauDatas[[Perf]:[Perf]])))</f>
        <v/>
      </c>
      <c r="AN18" s="120" t="str" cm="1">
        <f t="array" ref="AN18">IF(SUMPRODUCT((TableauDatas[[Test]:[Test]]=$AM$2)*(TableauDatas[[Prénom]:[Prénom]]=V18)*(TableauDatas[[Date]:[Date]]=$AN$1)*(TableauDatas[[Perf]:[Perf]]))=0,"",SUMPRODUCT((TableauDatas[[Test]:[Test]]=$AM$2)*(TableauDatas[[Prénom]:[Prénom]]=V18)*(TableauDatas[[Date]:[Date]]=$AN$1)*(TableauDatas[[Perf]:[Perf]])))</f>
        <v/>
      </c>
      <c r="AO18" s="118" t="str" cm="1">
        <f t="array" ref="AO18">IF(SUMPRODUCT((TableauDatas[[Test]:[Test]]=$AO$2)*(TableauDatas[[Prénom]:[Prénom]]=V18)*(TableauDatas[[Date]:[Date]]=$AO$1)*(TableauDatas[[Perf]:[Perf]]))=0,"",SUMPRODUCT((TableauDatas[[Test]:[Test]]=$AO$2)*(TableauDatas[[Prénom]:[Prénom]]=V18)*(TableauDatas[[Date]:[Date]]=$AO$1)*(TableauDatas[[Perf]:[Perf]])))</f>
        <v/>
      </c>
      <c r="AP18" s="118" t="str" cm="1">
        <f t="array" ref="AP18">IF(SUMPRODUCT((TableauDatas[[Test]:[Test]]=$AO$2)*(TableauDatas[[Prénom]:[Prénom]]=V18)*(TableauDatas[[Date]:[Date]]=$AP$1)*(TableauDatas[[Perf]:[Perf]]))=0,"",SUMPRODUCT((TableauDatas[[Test]:[Test]]=$AO$2)*(TableauDatas[[Prénom]:[Prénom]]=V18)*(TableauDatas[[Date]:[Date]]=$AP$1)*(TableauDatas[[Perf]:[Perf]])))</f>
        <v/>
      </c>
      <c r="AQ18" s="118" t="str" cm="1">
        <f t="array" ref="AQ18">IF(SUMPRODUCT((TableauDatas[[Test]:[Test]]=$AQ$2)*(TableauDatas[[Prénom]:[Prénom]]=V18)*(TableauDatas[[Date]:[Date]]=$AQ$1)*(TableauDatas[[Perf]:[Perf]]))=0,"",SUMPRODUCT((TableauDatas[[Test]:[Test]]=$AQ$2)*(TableauDatas[[Prénom]:[Prénom]]=V18)*(TableauDatas[[Date]:[Date]]=$AQ$1)*(TableauDatas[[Perf]:[Perf]])))</f>
        <v/>
      </c>
      <c r="AR18" s="118" t="str" cm="1">
        <f t="array" ref="AR18">IF(SUMPRODUCT((TableauDatas[[Test]:[Test]]=$AQ$2)*(TableauDatas[[Prénom]:[Prénom]]=V18)*(TableauDatas[[Date]:[Date]]=$AR$1)*(TableauDatas[[Perf]:[Perf]]))=0,"",SUMPRODUCT((TableauDatas[[Test]:[Test]]=$AQ$2)*(TableauDatas[[Prénom]:[Prénom]]=V18)*(TableauDatas[[Date]:[Date]]=$AR$1)*(TableauDatas[[Perf]:[Perf]])))</f>
        <v/>
      </c>
      <c r="AS18" s="118" t="str" cm="1">
        <f t="array" ref="AS18">IF(SUMPRODUCT((TableauDatas[[Test]:[Test]]=$AS$2)*(TableauDatas[[Prénom]:[Prénom]]=V18)*(TableauDatas[[Date]:[Date]]=$AS$1)*(TableauDatas[[Perf]:[Perf]]))=0,"",SUMPRODUCT((TableauDatas[[Test]:[Test]]=$AS$2)*(TableauDatas[[Prénom]:[Prénom]]=V18)*(TableauDatas[[Date]:[Date]]=$AS$1)*(TableauDatas[[Perf]:[Perf]])))</f>
        <v/>
      </c>
      <c r="AT18" s="118" t="str" cm="1">
        <f t="array" ref="AT18">IF(SUMPRODUCT((TableauDatas[[Test]:[Test]]=$AS$2)*(TableauDatas[[Prénom]:[Prénom]]=V18)*(TableauDatas[[Date]:[Date]]=$AT$1)*(TableauDatas[[Perf]:[Perf]]))=0,"",SUMPRODUCT((TableauDatas[[Test]:[Test]]=$AS$2)*(TableauDatas[[Prénom]:[Prénom]]=V18)*(TableauDatas[[Date]:[Date]]=$AT$1)*(TableauDatas[[Perf]:[Perf]])))</f>
        <v/>
      </c>
      <c r="AU18" s="118" t="str" cm="1">
        <f t="array" ref="AU18">IF(SUMPRODUCT((TableauDatas[[Test]:[Test]]=$AU$2)*(TableauDatas[[Prénom]:[Prénom]]=V18)*(TableauDatas[[Date]:[Date]]=$AU$1)*(TableauDatas[[Perf]:[Perf]]))=0,"",SUMPRODUCT((TableauDatas[[Test]:[Test]]=$AU$2)*(TableauDatas[[Prénom]:[Prénom]]=V18)*(TableauDatas[[Date]:[Date]]=$AU$1)*(TableauDatas[[Perf]:[Perf]])))</f>
        <v/>
      </c>
      <c r="AV18" s="118" t="str" cm="1">
        <f t="array" ref="AV18">IF(SUMPRODUCT((TableauDatas[[Test]:[Test]]=$AU$2)*(TableauDatas[[Prénom]:[Prénom]]=V18)*(TableauDatas[[Date]:[Date]]=$AV$1)*(TableauDatas[[Perf]:[Perf]]))=0,"",SUMPRODUCT((TableauDatas[[Test]:[Test]]=$AU$2)*(TableauDatas[[Prénom]:[Prénom]]=V18)*(TableauDatas[[Date]:[Date]]=$AV$1)*(TableauDatas[[Perf]:[Perf]])))</f>
        <v/>
      </c>
      <c r="AW18" s="118" t="str" cm="1">
        <f t="array" ref="AW18">IF(SUMPRODUCT((TableauDatas[[Test]:[Test]]=$AW$2)*(TableauDatas[[Prénom]:[Prénom]]=V18)*(TableauDatas[[Date]:[Date]]=$AW$1)*(TableauDatas[[Perf]:[Perf]]))=0,"",SUMPRODUCT((TableauDatas[[Test]:[Test]]=$AW$2)*(TableauDatas[[Prénom]:[Prénom]]=V18)*(TableauDatas[[Date]:[Date]]=$AW$1)*(TableauDatas[[Perf]:[Perf]])))</f>
        <v/>
      </c>
      <c r="AX18" s="118" t="str" cm="1">
        <f t="array" ref="AX18">IF(SUMPRODUCT((TableauDatas[[Test]:[Test]]=$AW$2)*(TableauDatas[[Prénom]:[Prénom]]=V18)*(TableauDatas[[Date]:[Date]]=$AX$1)*(TableauDatas[[Perf]:[Perf]]))=0,"",SUMPRODUCT((TableauDatas[[Test]:[Test]]=$AW$2)*(TableauDatas[[Prénom]:[Prénom]]=V18)*(TableauDatas[[Date]:[Date]]=$AX$1)*(TableauDatas[[Perf]:[Perf]])))</f>
        <v/>
      </c>
      <c r="AY18" s="118" t="str" cm="1">
        <f t="array" ref="AY18">IF(SUMPRODUCT((TableauDatas[[Test]:[Test]]=$AY$2)*(TableauDatas[[Prénom]:[Prénom]]=V18)*(TableauDatas[[Date]:[Date]]=$AY$1)*(TableauDatas[[Perf]:[Perf]]))=0,"",SUMPRODUCT((TableauDatas[[Test]:[Test]]=$AY$2)*(TableauDatas[[Prénom]:[Prénom]]=V18)*(TableauDatas[[Date]:[Date]]=$AY$1)*(TableauDatas[[Perf]:[Perf]])))</f>
        <v/>
      </c>
      <c r="AZ18" s="118" t="str" cm="1">
        <f t="array" ref="AZ18">IF(SUMPRODUCT((TableauDatas[[Test]:[Test]]=$AY$2)*(TableauDatas[[Prénom]:[Prénom]]=V18)*(TableauDatas[[Date]:[Date]]=$AZ$1)*(TableauDatas[[Perf]:[Perf]]))=0,"",SUMPRODUCT((TableauDatas[[Test]:[Test]]=$AY$2)*(TableauDatas[[Prénom]:[Prénom]]=V18)*(TableauDatas[[Date]:[Date]]=$AZ$1)*(TableauDatas[[Perf]:[Perf]])))</f>
        <v/>
      </c>
      <c r="BA18" s="118" t="str" cm="1">
        <f t="array" ref="BA18">IF(SUMPRODUCT((TableauDatas[[Test]:[Test]]=$BA$2)*(TableauDatas[[Prénom]:[Prénom]]=V18)*(TableauDatas[[Date]:[Date]]=$BA$1)*(TableauDatas[[Perf]:[Perf]]))=0,"",SUMPRODUCT((TableauDatas[[Test]:[Test]]=$BA$2)*(TableauDatas[[Prénom]:[Prénom]]=V18)*(TableauDatas[[Date]:[Date]]=$BA$1)*(TableauDatas[[Perf]:[Perf]])))</f>
        <v/>
      </c>
      <c r="BB18" s="118" t="str" cm="1">
        <f t="array" ref="BB18">IF(SUMPRODUCT((TableauDatas[[Test]:[Test]]=$BA$2)*(TableauDatas[[Prénom]:[Prénom]]=V18)*(TableauDatas[[Date]:[Date]]=$BB$1)*(TableauDatas[[Perf]:[Perf]]))=0,"",SUMPRODUCT((TableauDatas[[Test]:[Test]]=$BA$2)*(TableauDatas[[Prénom]:[Prénom]]=V18)*(TableauDatas[[Date]:[Date]]=$BB$1)*(TableauDatas[[Perf]:[Perf]])))</f>
        <v/>
      </c>
      <c r="BC18" s="118" t="str" cm="1">
        <f t="array" ref="BC18">IF(SUMPRODUCT((TableauDatas[[Test]:[Test]]=$BC$2)*(TableauDatas[[Prénom]:[Prénom]]=V18)*(TableauDatas[[Date]:[Date]]=$BC$1)*(TableauDatas[[Perf]:[Perf]]))=0,"",SUMPRODUCT((TableauDatas[[Test]:[Test]]=$BC$2)*(TableauDatas[[Prénom]:[Prénom]]=V18)*(TableauDatas[[Date]:[Date]]=$BC$1)*(TableauDatas[[Perf]:[Perf]])))</f>
        <v/>
      </c>
      <c r="BD18" s="121" t="str" cm="1">
        <f t="array" ref="BD18">IF(SUMPRODUCT((TableauDatas[[Test]:[Test]]=$BC$2)*(TableauDatas[[Prénom]:[Prénom]]=V18)*(TableauDatas[[Date]:[Date]]=$BD$1)*(TableauDatas[[Perf]:[Perf]]))=0,"",SUMPRODUCT((TableauDatas[[Test]:[Test]]=$BC$2)*(TableauDatas[[Prénom]:[Prénom]]=V18)*(TableauDatas[[Date]:[Date]]=$BD$1)*(TableauDatas[[Perf]:[Perf]])))</f>
        <v/>
      </c>
      <c r="BE18" s="118" t="str" cm="1">
        <f t="array" ref="BE18">IF(SUMPRODUCT((TableauDatas[[Test]:[Test]]=$BE$2)*(TableauDatas[[Prénom]:[Prénom]]=V18)*(TableauDatas[[Date]:[Date]]=$BE$1)*(TableauDatas[[Perf]:[Perf]]))=0,"",SUMPRODUCT((TableauDatas[[Test]:[Test]]=$BE$2)*(TableauDatas[[Prénom]:[Prénom]]=V18)*(TableauDatas[[Date]:[Date]]=$BE$1)*(TableauDatas[[Perf]:[Perf]])))</f>
        <v/>
      </c>
      <c r="BF18" s="118" t="str" cm="1">
        <f t="array" ref="BF18">IF(SUMPRODUCT((TableauDatas[[Test]:[Test]]=$BE$2)*(TableauDatas[[Prénom]:[Prénom]]=V18)*(TableauDatas[[Date]:[Date]]=$BF$1)*(TableauDatas[[Perf]:[Perf]]))=0,"",SUMPRODUCT((TableauDatas[[Test]:[Test]]=$BE$2)*(TableauDatas[[Prénom]:[Prénom]]=V18)*(TableauDatas[[Date]:[Date]]=$BF$1)*(TableauDatas[[Perf]:[Perf]])))</f>
        <v/>
      </c>
      <c r="BG18" s="118" t="str" cm="1">
        <f t="array" ref="BG18">IF(SUMPRODUCT((TableauDatas[[Test]:[Test]]=$BG$2)*(TableauDatas[[Prénom]:[Prénom]]=V18)*(TableauDatas[[Date]:[Date]]=$BG$1)*(TableauDatas[[Perf]:[Perf]]))=0,"",SUMPRODUCT((TableauDatas[[Test]:[Test]]=$BG$2)*(TableauDatas[[Prénom]:[Prénom]]=V18)*(TableauDatas[[Date]:[Date]]=$BG$1)*(TableauDatas[[Perf]:[Perf]])))</f>
        <v/>
      </c>
      <c r="BH18" s="118" t="str" cm="1">
        <f t="array" ref="BH18">IF(SUMPRODUCT((TableauDatas[[Test]:[Test]]=$BG$2)*(TableauDatas[[Prénom]:[Prénom]]=V18)*(TableauDatas[[Date]:[Date]]=$BH$1)*(TableauDatas[[Perf]:[Perf]]))=0,"",SUMPRODUCT((TableauDatas[[Test]:[Test]]=$BG$2)*(TableauDatas[[Prénom]:[Prénom]]=V18)*(TableauDatas[[Date]:[Date]]=$BH$1)*(TableauDatas[[Perf]:[Perf]])))</f>
        <v/>
      </c>
      <c r="BI18" s="118" t="str" cm="1">
        <f t="array" ref="BI18">IF(SUMPRODUCT((TableauDatas[[Test]:[Test]]=$BI$2)*(TableauDatas[[Prénom]:[Prénom]]=V18)*(TableauDatas[[Date]:[Date]]=$BI$1)*(TableauDatas[[Perf]:[Perf]]))=0,"",SUMPRODUCT((TableauDatas[[Test]:[Test]]=$BI$2)*(TableauDatas[[Prénom]:[Prénom]]=V18)*(TableauDatas[[Date]:[Date]]=$BI$1)*(TableauDatas[[Perf]:[Perf]])))</f>
        <v/>
      </c>
      <c r="BJ18" s="118" t="str" cm="1">
        <f t="array" ref="BJ18">IF(SUMPRODUCT((TableauDatas[[Test]:[Test]]=$BI$2)*(TableauDatas[[Prénom]:[Prénom]]=V18)*(TableauDatas[[Date]:[Date]]=$BJ$1)*(TableauDatas[[Perf]:[Perf]]))=0,"",SUMPRODUCT((TableauDatas[[Test]:[Test]]=$BI$2)*(TableauDatas[[Prénom]:[Prénom]]=V18)*(TableauDatas[[Date]:[Date]]=$BJ$1)*(TableauDatas[[Perf]:[Perf]])))</f>
        <v/>
      </c>
      <c r="BK18" s="118" t="str" cm="1">
        <f t="array" ref="BK18">IF(SUMPRODUCT((TableauDatas[[Test]:[Test]]=$BK$2)*(TableauDatas[[Prénom]:[Prénom]]=V18)*(TableauDatas[[Date]:[Date]]=$BK$1)*(TableauDatas[[Perf]:[Perf]]))=0,"",SUMPRODUCT((TableauDatas[[Test]:[Test]]=$BK$2)*(TableauDatas[[Prénom]:[Prénom]]=V18)*(TableauDatas[[Date]:[Date]]=$BK$1)*(TableauDatas[[Perf]:[Perf]])))</f>
        <v/>
      </c>
      <c r="BL18" s="118" t="str" cm="1">
        <f t="array" ref="BL18">IF(SUMPRODUCT((TableauDatas[[Test]:[Test]]=$BK$2)*(TableauDatas[[Prénom]:[Prénom]]=V18)*(TableauDatas[[Date]:[Date]]=$BL$1)*(TableauDatas[[Perf]:[Perf]]))=0,"",SUMPRODUCT((TableauDatas[[Test]:[Test]]=$BK$2)*(TableauDatas[[Prénom]:[Prénom]]=V18)*(TableauDatas[[Date]:[Date]]=$BL$1)*(TableauDatas[[Perf]:[Perf]])))</f>
        <v/>
      </c>
      <c r="BM18" s="118" t="str" cm="1">
        <f t="array" ref="BM18">IF(SUMPRODUCT((TableauDatas[[Test]:[Test]]=$BM$2)*(TableauDatas[[Prénom]:[Prénom]]=V18)*(TableauDatas[[Date]:[Date]]=$BM$1)*(TableauDatas[[Perf]:[Perf]]))=0,"",SUMPRODUCT((TableauDatas[[Test]:[Test]]=$BM$2)*(TableauDatas[[Prénom]:[Prénom]]=V18)*(TableauDatas[[Date]:[Date]]=$BM$1)*(TableauDatas[[Perf]:[Perf]])))</f>
        <v/>
      </c>
      <c r="BN18" s="118" t="str" cm="1">
        <f t="array" ref="BN18">IF(SUMPRODUCT((TableauDatas[[Test]:[Test]]=$BM$2)*(TableauDatas[[Prénom]:[Prénom]]=V18)*(TableauDatas[[Date]:[Date]]=$BN$1)*(TableauDatas[[Perf]:[Perf]]))=0,"",SUMPRODUCT((TableauDatas[[Test]:[Test]]=$BM$2)*(TableauDatas[[Prénom]:[Prénom]]=V18)*(TableauDatas[[Date]:[Date]]=$BN$1)*(TableauDatas[[Perf]:[Perf]])))</f>
        <v/>
      </c>
      <c r="BO18" s="118" t="str" cm="1">
        <f t="array" ref="BO18">IF(SUMPRODUCT((TableauDatas[[Test]:[Test]]=$BO$2)*(TableauDatas[[Prénom]:[Prénom]]=V18)*(TableauDatas[[Date]:[Date]]=$BO$1)*(TableauDatas[[Perf]:[Perf]]))=0,"",SUMPRODUCT((TableauDatas[[Test]:[Test]]=$BO$2)*(TableauDatas[[Prénom]:[Prénom]]=V18)*(TableauDatas[[Date]:[Date]]=$BO$1)*(TableauDatas[[Perf]:[Perf]])))</f>
        <v/>
      </c>
      <c r="BP18" s="119" t="str" cm="1">
        <f t="array" ref="BP18">IF(SUMPRODUCT((TableauDatas[[Test]:[Test]]=$BO$2)*(TableauDatas[[Prénom]:[Prénom]]=V18)*(TableauDatas[[Date]:[Date]]=$BP$1)*(TableauDatas[[Perf]:[Perf]]))=0,"",SUMPRODUCT((TableauDatas[[Test]:[Test]]=$BO$2)*(TableauDatas[[Prénom]:[Prénom]]=V18)*(TableauDatas[[Date]:[Date]]=$BP$1)*(TableauDatas[[Perf]:[Perf]])))</f>
        <v/>
      </c>
      <c r="BQ18" s="18"/>
      <c r="BR18" s="18"/>
      <c r="BS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DA18" s="97"/>
      <c r="DB18" s="97"/>
      <c r="DC18" s="97"/>
      <c r="DD18" s="97"/>
      <c r="DE18" s="97"/>
      <c r="DF18" s="97"/>
      <c r="DG18" s="97"/>
      <c r="DH18" s="97"/>
      <c r="DI18" s="97"/>
      <c r="DJ18" s="97"/>
      <c r="DK18" s="97"/>
      <c r="DL18" s="97"/>
      <c r="DM18" s="97"/>
      <c r="DN18" s="97"/>
      <c r="DO18" s="97"/>
      <c r="DQ18" s="97"/>
      <c r="DR18" s="97"/>
      <c r="DS18" s="97"/>
      <c r="DT18" s="97"/>
      <c r="DU18" s="97"/>
      <c r="DV18" s="97"/>
      <c r="DW18" s="97"/>
      <c r="DX18" s="97"/>
      <c r="DY18" s="97"/>
      <c r="DZ18" s="97"/>
      <c r="EA18" s="97"/>
      <c r="EB18" s="97"/>
      <c r="EC18" s="97"/>
      <c r="ED18" s="97"/>
      <c r="EE18" s="97"/>
      <c r="EG18" s="97"/>
      <c r="EH18" s="97"/>
      <c r="EI18" s="97"/>
      <c r="EJ18" s="97"/>
      <c r="EK18" s="97"/>
      <c r="EL18" s="97"/>
      <c r="EM18" s="97"/>
      <c r="EN18" s="97"/>
      <c r="EO18" s="97"/>
      <c r="EP18" s="97"/>
      <c r="EQ18" s="97"/>
      <c r="ER18" s="97"/>
      <c r="ES18" s="97"/>
      <c r="ET18" s="97"/>
      <c r="EU18" s="97"/>
      <c r="EW18" s="97"/>
      <c r="EX18" s="97"/>
      <c r="EY18" s="97"/>
      <c r="EZ18" s="97"/>
      <c r="FA18" s="97"/>
      <c r="FB18" s="97"/>
      <c r="FC18" s="97"/>
      <c r="FD18" s="97"/>
      <c r="FE18" s="97"/>
      <c r="FF18" s="97"/>
      <c r="FG18" s="97"/>
      <c r="FH18" s="97"/>
      <c r="FI18" s="97"/>
      <c r="FJ18" s="97"/>
      <c r="FK18" s="97"/>
      <c r="FM18" s="97"/>
      <c r="FN18" s="97"/>
      <c r="FO18" s="97"/>
      <c r="FP18" s="97"/>
      <c r="FQ18" s="97"/>
      <c r="FR18" s="97"/>
      <c r="FS18" s="97"/>
      <c r="FT18" s="97"/>
      <c r="FU18" s="97"/>
      <c r="FV18" s="97"/>
      <c r="FW18" s="97"/>
      <c r="FX18" s="97"/>
      <c r="FY18" s="97"/>
      <c r="FZ18" s="97"/>
      <c r="GA18" s="97"/>
      <c r="GC18" s="97"/>
      <c r="GD18" s="97"/>
      <c r="GE18" s="97"/>
      <c r="GF18" s="97"/>
      <c r="GG18" s="97"/>
      <c r="GH18" s="97"/>
      <c r="GI18" s="97"/>
      <c r="GJ18" s="97"/>
      <c r="GK18" s="97"/>
      <c r="GL18" s="97"/>
      <c r="GM18" s="97"/>
      <c r="GN18" s="97"/>
      <c r="GO18" s="97"/>
      <c r="GP18" s="97"/>
      <c r="GQ18" s="97"/>
      <c r="GS18" s="97"/>
      <c r="GT18" s="97"/>
      <c r="GU18" s="97"/>
      <c r="GV18" s="97"/>
      <c r="GW18" s="97"/>
      <c r="GX18" s="97"/>
      <c r="GY18" s="97"/>
      <c r="GZ18" s="97"/>
      <c r="HA18" s="97"/>
      <c r="HB18" s="97"/>
      <c r="HC18" s="97"/>
      <c r="HD18" s="97"/>
      <c r="HE18" s="97"/>
      <c r="HF18" s="97"/>
      <c r="HG18" s="97"/>
      <c r="HI18" s="97"/>
      <c r="HJ18" s="97"/>
      <c r="HK18" s="97"/>
      <c r="HL18" s="97"/>
      <c r="HM18" s="97"/>
      <c r="HN18" s="97"/>
      <c r="HO18" s="97"/>
      <c r="HP18" s="97"/>
      <c r="HQ18" s="97"/>
      <c r="HR18" s="97"/>
      <c r="HS18" s="97"/>
      <c r="HT18" s="97"/>
      <c r="HU18" s="97"/>
      <c r="HV18" s="97"/>
      <c r="HW18" s="97"/>
      <c r="HY18" s="97"/>
      <c r="HZ18" s="97"/>
      <c r="IA18" s="97"/>
      <c r="IB18" s="97"/>
      <c r="IC18" s="97"/>
      <c r="ID18" s="97"/>
      <c r="IE18" s="97"/>
      <c r="IF18" s="97"/>
      <c r="IG18" s="97"/>
      <c r="IH18" s="97"/>
      <c r="II18" s="97"/>
      <c r="IJ18" s="97"/>
      <c r="IK18" s="97"/>
      <c r="IL18" s="97"/>
      <c r="IM18" s="97"/>
      <c r="IO18" s="97"/>
      <c r="IP18" s="97"/>
      <c r="IQ18" s="97"/>
      <c r="IR18" s="97"/>
      <c r="IS18" s="97"/>
      <c r="IT18" s="97"/>
      <c r="IU18" s="24"/>
      <c r="IV18" s="24"/>
      <c r="IW18" s="24"/>
      <c r="IX18" s="24"/>
      <c r="IY18" s="24"/>
      <c r="IZ18" s="24"/>
      <c r="JA18" s="24"/>
      <c r="JB18" s="24"/>
      <c r="JC18" s="24"/>
    </row>
    <row r="19" spans="1:263" x14ac:dyDescent="0.25">
      <c r="A19" s="155"/>
      <c r="B19" s="21"/>
      <c r="C19" s="56" t="str" cm="1">
        <f t="array" ref="C19">IF(SUMPRODUCT((TableauDatas[[Prénom]:[Prénom]]=$C$4)*(TableauDatas[[Date]:[Date]]=B19)*(TableauDatas[[Test]:[Test]]=A19)*(TableauDatas[[Perf]:[Perf]]))=0,"",SUMPRODUCT((TableauDatas[[Prénom]:[Prénom]]=$C$4)*(TableauDatas[[Date]:[Date]]=B19)*(TableauDatas[[Test]:[Test]]=A19)*(TableauDatas[[Perf]:[Perf]])))</f>
        <v/>
      </c>
      <c r="D19" s="32" t="str">
        <f>IFERROR(AD30,"")</f>
        <v/>
      </c>
      <c r="E19" s="30" t="str">
        <f>IFERROR(AD31,"")</f>
        <v/>
      </c>
      <c r="F19" s="33" t="str">
        <f>IFERROR(AD32,"")</f>
        <v/>
      </c>
      <c r="G19" s="163" t="str">
        <f>IFERROR(AD33,"")</f>
        <v/>
      </c>
      <c r="H19" s="40" t="str">
        <f>IFERROR(AD28,"")</f>
        <v/>
      </c>
      <c r="I19" s="27"/>
      <c r="J19" s="28"/>
      <c r="N19" s="44"/>
      <c r="O19" s="105"/>
      <c r="P19" s="106"/>
      <c r="Q19" s="106"/>
      <c r="R19" s="106"/>
      <c r="S19" s="107"/>
      <c r="T19" s="110"/>
      <c r="V19" s="89">
        <f t="shared" si="0"/>
        <v>0</v>
      </c>
      <c r="W19" s="86" t="str" cm="1">
        <f t="array" ref="W19">IF(SUMPRODUCT((TableauDatas[[Test]:[Test]]=$W$2)*(TableauDatas[[Prénom]:[Prénom]]=V19)*(TableauDatas[[Date]:[Date]]=$W$1)*(TableauDatas[[Perf]:[Perf]]))=0,"",SUMPRODUCT((TableauDatas[[Test]:[Test]]=$W$2)*(TableauDatas[[Prénom]:[Prénom]]=V19)*(TableauDatas[[Date]:[Date]]=$W$1)*(TableauDatas[[Perf]:[Perf]])))</f>
        <v/>
      </c>
      <c r="X19" s="86" t="str" cm="1">
        <f t="array" ref="X19">IF(SUMPRODUCT((TableauDatas[[Test]:[Test]]=$X$2)*(TableauDatas[[Prénom]:[Prénom]]=V19)*(TableauDatas[[Date]:[Date]]=$X$1)*(TableauDatas[[Perf]:[Perf]]))=0,"",SUMPRODUCT((TableauDatas[[Test]:[Test]]=$X$2)*(TableauDatas[[Prénom]:[Prénom]]=V19)*(TableauDatas[[Date]:[Date]]=$X$1)*(TableauDatas[[Perf]:[Perf]])))</f>
        <v/>
      </c>
      <c r="Y19" s="86" t="str" cm="1">
        <f t="array" ref="Y19">IF(SUMPRODUCT((TableauDatas[[Test]:[Test]]=$Y$2)*(TableauDatas[[Prénom]:[Prénom]]=V19)*(TableauDatas[[Date]:[Date]]=$Y$1)*(TableauDatas[[Perf]:[Perf]]))=0,"",SUMPRODUCT((TableauDatas[[Test]:[Test]]=$Y$2)*(TableauDatas[[Prénom]:[Prénom]]=V19)*(TableauDatas[[Date]:[Date]]=$Y$1)*(TableauDatas[[Perf]:[Perf]])))</f>
        <v/>
      </c>
      <c r="Z19" s="86" t="str" cm="1">
        <f t="array" ref="Z19">IF(SUMPRODUCT((TableauDatas[[Test]:[Test]]=$Z$2)*(TableauDatas[[Prénom]:[Prénom]]=V19)*(TableauDatas[[Date]:[Date]]=$Z$1)*(TableauDatas[[Perf]:[Perf]]))=0,"",SUMPRODUCT((TableauDatas[[Test]:[Test]]=$Z$2)*(TableauDatas[[Prénom]:[Prénom]]=V19)*(TableauDatas[[Date]:[Date]]=$Z$1)*(TableauDatas[[Perf]:[Perf]])))</f>
        <v/>
      </c>
      <c r="AA19" s="86" t="str" cm="1">
        <f t="array" ref="AA19">IF(SUMPRODUCT((TableauDatas[[Test]:[Test]]=$AA$2)*(TableauDatas[[Prénom]:[Prénom]]=V19)*(TableauDatas[[Date]:[Date]]=$AA$1)*(TableauDatas[[Perf]:[Perf]]))=0,"",SUMPRODUCT((TableauDatas[[Test]:[Test]]=$AA$2)*(TableauDatas[[Prénom]:[Prénom]]=V19)*(TableauDatas[[Date]:[Date]]=$AA$1)*(TableauDatas[[Perf]:[Perf]])))</f>
        <v/>
      </c>
      <c r="AB19" s="86" t="str" cm="1">
        <f t="array" ref="AB19">IF(SUMPRODUCT((TableauDatas[[Test]:[Test]]=$AB$2)*(TableauDatas[[Prénom]:[Prénom]]=V19)*(TableauDatas[[Date]:[Date]]=$AB$1)*(TableauDatas[[Perf]:[Perf]]))=0,"",SUMPRODUCT((TableauDatas[[Test]:[Test]]=$AB$2)*(TableauDatas[[Prénom]:[Prénom]]=V19)*(TableauDatas[[Date]:[Date]]=$AB$1)*(TableauDatas[[Perf]:[Perf]])))</f>
        <v/>
      </c>
      <c r="AC19" s="86" t="str" cm="1">
        <f t="array" ref="AC19">IF(SUMPRODUCT((TableauDatas[[Test]:[Test]]=$AC$2)*(TableauDatas[[Prénom]:[Prénom]]=V19)*(TableauDatas[[Date]:[Date]]=$AC$1)*(TableauDatas[[Perf]:[Perf]]))=0,"",SUMPRODUCT((TableauDatas[[Test]:[Test]]=$AC$2)*(TableauDatas[[Prénom]:[Prénom]]=V19)*(TableauDatas[[Date]:[Date]]=$AC$1)*(TableauDatas[[Perf]:[Perf]])))</f>
        <v/>
      </c>
      <c r="AD19" s="86" t="str" cm="1">
        <f t="array" ref="AD19">IF(SUMPRODUCT((TableauDatas[[Test]:[Test]]=$AD$2)*(TableauDatas[[Prénom]:[Prénom]]=V19)*(TableauDatas[[Date]:[Date]]=$AD$1)*(TableauDatas[[Perf]:[Perf]]))=0,"",SUMPRODUCT((TableauDatas[[Test]:[Test]]=$AD$2)*(TableauDatas[[Prénom]:[Prénom]]=V19)*(TableauDatas[[Date]:[Date]]=$AD$1)*(TableauDatas[[Perf]:[Perf]])))</f>
        <v/>
      </c>
      <c r="AE19" s="86" t="str" cm="1">
        <f t="array" ref="AE19">IF(SUMPRODUCT((TableauDatas[[Test]:[Test]]=$AE$2)*(TableauDatas[[Prénom]:[Prénom]]=V19)*(TableauDatas[[Date]:[Date]]=$AE$1)*(TableauDatas[[Perf]:[Perf]]))=0,"",SUMPRODUCT((TableauDatas[[Test]:[Test]]=$AE$2)*(TableauDatas[[Prénom]:[Prénom]]=V19)*(TableauDatas[[Date]:[Date]]=$AE$1)*(TableauDatas[[Perf]:[Perf]])))</f>
        <v/>
      </c>
      <c r="AF19" s="86" t="str" cm="1">
        <f t="array" ref="AF19">IF(SUMPRODUCT((TableauDatas[[Test]:[Test]]=$AF$2)*(TableauDatas[[Prénom]:[Prénom]]=V19)*(TableauDatas[[Date]:[Date]]=$AF$1)*(TableauDatas[[Perf]:[Perf]]))=0,"",SUMPRODUCT((TableauDatas[[Test]:[Test]]=$AF$2)*(TableauDatas[[Prénom]:[Prénom]]=V19)*(TableauDatas[[Date]:[Date]]=$AF$1)*(TableauDatas[[Perf]:[Perf]])))</f>
        <v/>
      </c>
      <c r="AG19" s="86" t="str" cm="1">
        <f t="array" ref="AG19">IF(SUMPRODUCT((TableauDatas[[Test]:[Test]]=$AG$2)*(TableauDatas[[Prénom]:[Prénom]]=V19)*(TableauDatas[[Date]:[Date]]=$AG$1)*(TableauDatas[[Perf]:[Perf]]))=0,"",SUMPRODUCT((TableauDatas[[Test]:[Test]]=$AG$2)*(TableauDatas[[Prénom]:[Prénom]]=V19)*(TableauDatas[[Date]:[Date]]=$AG$1)*(TableauDatas[[Perf]:[Perf]])))</f>
        <v/>
      </c>
      <c r="AH19" s="86" t="str" cm="1">
        <f t="array" ref="AH19">IF(SUMPRODUCT((TableauDatas[[Test]:[Test]]=$AH$2)*(TableauDatas[[Prénom]:[Prénom]]=V19)*(TableauDatas[[Date]:[Date]]=$AH$1)*(TableauDatas[[Perf]:[Perf]]))=0,"",SUMPRODUCT((TableauDatas[[Test]:[Test]]=$AH$2)*(TableauDatas[[Prénom]:[Prénom]]=V19)*(TableauDatas[[Date]:[Date]]=$AH$1)*(TableauDatas[[Perf]:[Perf]])))</f>
        <v/>
      </c>
      <c r="AI19" s="86" t="str" cm="1">
        <f t="array" ref="AI19">IF(SUMPRODUCT((TableauDatas[[Test]:[Test]]=$AI$2)*(TableauDatas[[Prénom]:[Prénom]]=V19)*(TableauDatas[[Date]:[Date]]=$AI$1)*(TableauDatas[[Perf]:[Perf]]))=0,"",SUMPRODUCT((TableauDatas[[Test]:[Test]]=$AI$2)*(TableauDatas[[Prénom]:[Prénom]]=V19)*(TableauDatas[[Date]:[Date]]=$AI$1)*(TableauDatas[[Perf]:[Perf]])))</f>
        <v/>
      </c>
      <c r="AJ19" s="86" t="str" cm="1">
        <f t="array" ref="AJ19">IF(SUMPRODUCT((TableauDatas[[Test]:[Test]]=$AJ$2)*(TableauDatas[[Prénom]:[Prénom]]=V19)*(TableauDatas[[Date]:[Date]]=$AJ$1)*(TableauDatas[[Perf]:[Perf]]))=0,"",SUMPRODUCT((TableauDatas[[Test]:[Test]]=$AJ$2)*(TableauDatas[[Prénom]:[Prénom]]=V19)*(TableauDatas[[Date]:[Date]]=$AJ$1)*(TableauDatas[[Perf]:[Perf]])))</f>
        <v/>
      </c>
      <c r="AK19" s="87" t="str" cm="1">
        <f t="array" ref="AK19">IF(SUMPRODUCT((TableauDatas[[Test]:[Test]]=$AK$2)*(TableauDatas[[Prénom]:[Prénom]]=V19)*(TableauDatas[[Date]:[Date]]=$AK$1)*(TableauDatas[[Perf]:[Perf]]))=0,"",SUMPRODUCT((TableauDatas[[Test]:[Test]]=$AK$2)*(TableauDatas[[Prénom]:[Prénom]]=V19)*(TableauDatas[[Date]:[Date]]=$AK$1)*(TableauDatas[[Perf]:[Perf]])))</f>
        <v/>
      </c>
      <c r="AL19" s="18"/>
      <c r="AM19" s="117" t="str" cm="1">
        <f t="array" ref="AM19">IF(SUMPRODUCT((TableauDatas[[Test]:[Test]]=$AM$2)*(TableauDatas[[Prénom]:[Prénom]]=V19)*(TableauDatas[[Date]:[Date]]=$AM$1)*(TableauDatas[[Perf]:[Perf]]))=0,"",SUMPRODUCT((TableauDatas[[Test]:[Test]]=$AM$2)*(TableauDatas[[Prénom]:[Prénom]]=V19)*(TableauDatas[[Date]:[Date]]=$AM$1)*(TableauDatas[[Perf]:[Perf]])))</f>
        <v/>
      </c>
      <c r="AN19" s="120" t="str" cm="1">
        <f t="array" ref="AN19">IF(SUMPRODUCT((TableauDatas[[Test]:[Test]]=$AM$2)*(TableauDatas[[Prénom]:[Prénom]]=V19)*(TableauDatas[[Date]:[Date]]=$AN$1)*(TableauDatas[[Perf]:[Perf]]))=0,"",SUMPRODUCT((TableauDatas[[Test]:[Test]]=$AM$2)*(TableauDatas[[Prénom]:[Prénom]]=V19)*(TableauDatas[[Date]:[Date]]=$AN$1)*(TableauDatas[[Perf]:[Perf]])))</f>
        <v/>
      </c>
      <c r="AO19" s="118" t="str" cm="1">
        <f t="array" ref="AO19">IF(SUMPRODUCT((TableauDatas[[Test]:[Test]]=$AO$2)*(TableauDatas[[Prénom]:[Prénom]]=V19)*(TableauDatas[[Date]:[Date]]=$AO$1)*(TableauDatas[[Perf]:[Perf]]))=0,"",SUMPRODUCT((TableauDatas[[Test]:[Test]]=$AO$2)*(TableauDatas[[Prénom]:[Prénom]]=V19)*(TableauDatas[[Date]:[Date]]=$AO$1)*(TableauDatas[[Perf]:[Perf]])))</f>
        <v/>
      </c>
      <c r="AP19" s="118" t="str" cm="1">
        <f t="array" ref="AP19">IF(SUMPRODUCT((TableauDatas[[Test]:[Test]]=$AO$2)*(TableauDatas[[Prénom]:[Prénom]]=V19)*(TableauDatas[[Date]:[Date]]=$AP$1)*(TableauDatas[[Perf]:[Perf]]))=0,"",SUMPRODUCT((TableauDatas[[Test]:[Test]]=$AO$2)*(TableauDatas[[Prénom]:[Prénom]]=V19)*(TableauDatas[[Date]:[Date]]=$AP$1)*(TableauDatas[[Perf]:[Perf]])))</f>
        <v/>
      </c>
      <c r="AQ19" s="118" t="str" cm="1">
        <f t="array" ref="AQ19">IF(SUMPRODUCT((TableauDatas[[Test]:[Test]]=$AQ$2)*(TableauDatas[[Prénom]:[Prénom]]=V19)*(TableauDatas[[Date]:[Date]]=$AQ$1)*(TableauDatas[[Perf]:[Perf]]))=0,"",SUMPRODUCT((TableauDatas[[Test]:[Test]]=$AQ$2)*(TableauDatas[[Prénom]:[Prénom]]=V19)*(TableauDatas[[Date]:[Date]]=$AQ$1)*(TableauDatas[[Perf]:[Perf]])))</f>
        <v/>
      </c>
      <c r="AR19" s="118" t="str" cm="1">
        <f t="array" ref="AR19">IF(SUMPRODUCT((TableauDatas[[Test]:[Test]]=$AQ$2)*(TableauDatas[[Prénom]:[Prénom]]=V19)*(TableauDatas[[Date]:[Date]]=$AR$1)*(TableauDatas[[Perf]:[Perf]]))=0,"",SUMPRODUCT((TableauDatas[[Test]:[Test]]=$AQ$2)*(TableauDatas[[Prénom]:[Prénom]]=V19)*(TableauDatas[[Date]:[Date]]=$AR$1)*(TableauDatas[[Perf]:[Perf]])))</f>
        <v/>
      </c>
      <c r="AS19" s="118" t="str" cm="1">
        <f t="array" ref="AS19">IF(SUMPRODUCT((TableauDatas[[Test]:[Test]]=$AS$2)*(TableauDatas[[Prénom]:[Prénom]]=V19)*(TableauDatas[[Date]:[Date]]=$AS$1)*(TableauDatas[[Perf]:[Perf]]))=0,"",SUMPRODUCT((TableauDatas[[Test]:[Test]]=$AS$2)*(TableauDatas[[Prénom]:[Prénom]]=V19)*(TableauDatas[[Date]:[Date]]=$AS$1)*(TableauDatas[[Perf]:[Perf]])))</f>
        <v/>
      </c>
      <c r="AT19" s="118" t="str" cm="1">
        <f t="array" ref="AT19">IF(SUMPRODUCT((TableauDatas[[Test]:[Test]]=$AS$2)*(TableauDatas[[Prénom]:[Prénom]]=V19)*(TableauDatas[[Date]:[Date]]=$AT$1)*(TableauDatas[[Perf]:[Perf]]))=0,"",SUMPRODUCT((TableauDatas[[Test]:[Test]]=$AS$2)*(TableauDatas[[Prénom]:[Prénom]]=V19)*(TableauDatas[[Date]:[Date]]=$AT$1)*(TableauDatas[[Perf]:[Perf]])))</f>
        <v/>
      </c>
      <c r="AU19" s="118" t="str" cm="1">
        <f t="array" ref="AU19">IF(SUMPRODUCT((TableauDatas[[Test]:[Test]]=$AU$2)*(TableauDatas[[Prénom]:[Prénom]]=V19)*(TableauDatas[[Date]:[Date]]=$AU$1)*(TableauDatas[[Perf]:[Perf]]))=0,"",SUMPRODUCT((TableauDatas[[Test]:[Test]]=$AU$2)*(TableauDatas[[Prénom]:[Prénom]]=V19)*(TableauDatas[[Date]:[Date]]=$AU$1)*(TableauDatas[[Perf]:[Perf]])))</f>
        <v/>
      </c>
      <c r="AV19" s="118" t="str" cm="1">
        <f t="array" ref="AV19">IF(SUMPRODUCT((TableauDatas[[Test]:[Test]]=$AU$2)*(TableauDatas[[Prénom]:[Prénom]]=V19)*(TableauDatas[[Date]:[Date]]=$AV$1)*(TableauDatas[[Perf]:[Perf]]))=0,"",SUMPRODUCT((TableauDatas[[Test]:[Test]]=$AU$2)*(TableauDatas[[Prénom]:[Prénom]]=V19)*(TableauDatas[[Date]:[Date]]=$AV$1)*(TableauDatas[[Perf]:[Perf]])))</f>
        <v/>
      </c>
      <c r="AW19" s="118" t="str" cm="1">
        <f t="array" ref="AW19">IF(SUMPRODUCT((TableauDatas[[Test]:[Test]]=$AW$2)*(TableauDatas[[Prénom]:[Prénom]]=V19)*(TableauDatas[[Date]:[Date]]=$AW$1)*(TableauDatas[[Perf]:[Perf]]))=0,"",SUMPRODUCT((TableauDatas[[Test]:[Test]]=$AW$2)*(TableauDatas[[Prénom]:[Prénom]]=V19)*(TableauDatas[[Date]:[Date]]=$AW$1)*(TableauDatas[[Perf]:[Perf]])))</f>
        <v/>
      </c>
      <c r="AX19" s="118" t="str" cm="1">
        <f t="array" ref="AX19">IF(SUMPRODUCT((TableauDatas[[Test]:[Test]]=$AW$2)*(TableauDatas[[Prénom]:[Prénom]]=V19)*(TableauDatas[[Date]:[Date]]=$AX$1)*(TableauDatas[[Perf]:[Perf]]))=0,"",SUMPRODUCT((TableauDatas[[Test]:[Test]]=$AW$2)*(TableauDatas[[Prénom]:[Prénom]]=V19)*(TableauDatas[[Date]:[Date]]=$AX$1)*(TableauDatas[[Perf]:[Perf]])))</f>
        <v/>
      </c>
      <c r="AY19" s="118" t="str" cm="1">
        <f t="array" ref="AY19">IF(SUMPRODUCT((TableauDatas[[Test]:[Test]]=$AY$2)*(TableauDatas[[Prénom]:[Prénom]]=V19)*(TableauDatas[[Date]:[Date]]=$AY$1)*(TableauDatas[[Perf]:[Perf]]))=0,"",SUMPRODUCT((TableauDatas[[Test]:[Test]]=$AY$2)*(TableauDatas[[Prénom]:[Prénom]]=V19)*(TableauDatas[[Date]:[Date]]=$AY$1)*(TableauDatas[[Perf]:[Perf]])))</f>
        <v/>
      </c>
      <c r="AZ19" s="118" t="str" cm="1">
        <f t="array" ref="AZ19">IF(SUMPRODUCT((TableauDatas[[Test]:[Test]]=$AY$2)*(TableauDatas[[Prénom]:[Prénom]]=V19)*(TableauDatas[[Date]:[Date]]=$AZ$1)*(TableauDatas[[Perf]:[Perf]]))=0,"",SUMPRODUCT((TableauDatas[[Test]:[Test]]=$AY$2)*(TableauDatas[[Prénom]:[Prénom]]=V19)*(TableauDatas[[Date]:[Date]]=$AZ$1)*(TableauDatas[[Perf]:[Perf]])))</f>
        <v/>
      </c>
      <c r="BA19" s="118" t="str" cm="1">
        <f t="array" ref="BA19">IF(SUMPRODUCT((TableauDatas[[Test]:[Test]]=$BA$2)*(TableauDatas[[Prénom]:[Prénom]]=V19)*(TableauDatas[[Date]:[Date]]=$BA$1)*(TableauDatas[[Perf]:[Perf]]))=0,"",SUMPRODUCT((TableauDatas[[Test]:[Test]]=$BA$2)*(TableauDatas[[Prénom]:[Prénom]]=V19)*(TableauDatas[[Date]:[Date]]=$BA$1)*(TableauDatas[[Perf]:[Perf]])))</f>
        <v/>
      </c>
      <c r="BB19" s="118" t="str" cm="1">
        <f t="array" ref="BB19">IF(SUMPRODUCT((TableauDatas[[Test]:[Test]]=$BA$2)*(TableauDatas[[Prénom]:[Prénom]]=V19)*(TableauDatas[[Date]:[Date]]=$BB$1)*(TableauDatas[[Perf]:[Perf]]))=0,"",SUMPRODUCT((TableauDatas[[Test]:[Test]]=$BA$2)*(TableauDatas[[Prénom]:[Prénom]]=V19)*(TableauDatas[[Date]:[Date]]=$BB$1)*(TableauDatas[[Perf]:[Perf]])))</f>
        <v/>
      </c>
      <c r="BC19" s="118" t="str" cm="1">
        <f t="array" ref="BC19">IF(SUMPRODUCT((TableauDatas[[Test]:[Test]]=$BC$2)*(TableauDatas[[Prénom]:[Prénom]]=V19)*(TableauDatas[[Date]:[Date]]=$BC$1)*(TableauDatas[[Perf]:[Perf]]))=0,"",SUMPRODUCT((TableauDatas[[Test]:[Test]]=$BC$2)*(TableauDatas[[Prénom]:[Prénom]]=V19)*(TableauDatas[[Date]:[Date]]=$BC$1)*(TableauDatas[[Perf]:[Perf]])))</f>
        <v/>
      </c>
      <c r="BD19" s="121" t="str" cm="1">
        <f t="array" ref="BD19">IF(SUMPRODUCT((TableauDatas[[Test]:[Test]]=$BC$2)*(TableauDatas[[Prénom]:[Prénom]]=V19)*(TableauDatas[[Date]:[Date]]=$BD$1)*(TableauDatas[[Perf]:[Perf]]))=0,"",SUMPRODUCT((TableauDatas[[Test]:[Test]]=$BC$2)*(TableauDatas[[Prénom]:[Prénom]]=V19)*(TableauDatas[[Date]:[Date]]=$BD$1)*(TableauDatas[[Perf]:[Perf]])))</f>
        <v/>
      </c>
      <c r="BE19" s="118" t="str" cm="1">
        <f t="array" ref="BE19">IF(SUMPRODUCT((TableauDatas[[Test]:[Test]]=$BE$2)*(TableauDatas[[Prénom]:[Prénom]]=V19)*(TableauDatas[[Date]:[Date]]=$BE$1)*(TableauDatas[[Perf]:[Perf]]))=0,"",SUMPRODUCT((TableauDatas[[Test]:[Test]]=$BE$2)*(TableauDatas[[Prénom]:[Prénom]]=V19)*(TableauDatas[[Date]:[Date]]=$BE$1)*(TableauDatas[[Perf]:[Perf]])))</f>
        <v/>
      </c>
      <c r="BF19" s="118" t="str" cm="1">
        <f t="array" ref="BF19">IF(SUMPRODUCT((TableauDatas[[Test]:[Test]]=$BE$2)*(TableauDatas[[Prénom]:[Prénom]]=V19)*(TableauDatas[[Date]:[Date]]=$BF$1)*(TableauDatas[[Perf]:[Perf]]))=0,"",SUMPRODUCT((TableauDatas[[Test]:[Test]]=$BE$2)*(TableauDatas[[Prénom]:[Prénom]]=V19)*(TableauDatas[[Date]:[Date]]=$BF$1)*(TableauDatas[[Perf]:[Perf]])))</f>
        <v/>
      </c>
      <c r="BG19" s="118" t="str" cm="1">
        <f t="array" ref="BG19">IF(SUMPRODUCT((TableauDatas[[Test]:[Test]]=$BG$2)*(TableauDatas[[Prénom]:[Prénom]]=V19)*(TableauDatas[[Date]:[Date]]=$BG$1)*(TableauDatas[[Perf]:[Perf]]))=0,"",SUMPRODUCT((TableauDatas[[Test]:[Test]]=$BG$2)*(TableauDatas[[Prénom]:[Prénom]]=V19)*(TableauDatas[[Date]:[Date]]=$BG$1)*(TableauDatas[[Perf]:[Perf]])))</f>
        <v/>
      </c>
      <c r="BH19" s="118" t="str" cm="1">
        <f t="array" ref="BH19">IF(SUMPRODUCT((TableauDatas[[Test]:[Test]]=$BG$2)*(TableauDatas[[Prénom]:[Prénom]]=V19)*(TableauDatas[[Date]:[Date]]=$BH$1)*(TableauDatas[[Perf]:[Perf]]))=0,"",SUMPRODUCT((TableauDatas[[Test]:[Test]]=$BG$2)*(TableauDatas[[Prénom]:[Prénom]]=V19)*(TableauDatas[[Date]:[Date]]=$BH$1)*(TableauDatas[[Perf]:[Perf]])))</f>
        <v/>
      </c>
      <c r="BI19" s="118" t="str" cm="1">
        <f t="array" ref="BI19">IF(SUMPRODUCT((TableauDatas[[Test]:[Test]]=$BI$2)*(TableauDatas[[Prénom]:[Prénom]]=V19)*(TableauDatas[[Date]:[Date]]=$BI$1)*(TableauDatas[[Perf]:[Perf]]))=0,"",SUMPRODUCT((TableauDatas[[Test]:[Test]]=$BI$2)*(TableauDatas[[Prénom]:[Prénom]]=V19)*(TableauDatas[[Date]:[Date]]=$BI$1)*(TableauDatas[[Perf]:[Perf]])))</f>
        <v/>
      </c>
      <c r="BJ19" s="118" t="str" cm="1">
        <f t="array" ref="BJ19">IF(SUMPRODUCT((TableauDatas[[Test]:[Test]]=$BI$2)*(TableauDatas[[Prénom]:[Prénom]]=V19)*(TableauDatas[[Date]:[Date]]=$BJ$1)*(TableauDatas[[Perf]:[Perf]]))=0,"",SUMPRODUCT((TableauDatas[[Test]:[Test]]=$BI$2)*(TableauDatas[[Prénom]:[Prénom]]=V19)*(TableauDatas[[Date]:[Date]]=$BJ$1)*(TableauDatas[[Perf]:[Perf]])))</f>
        <v/>
      </c>
      <c r="BK19" s="118" t="str" cm="1">
        <f t="array" ref="BK19">IF(SUMPRODUCT((TableauDatas[[Test]:[Test]]=$BK$2)*(TableauDatas[[Prénom]:[Prénom]]=V19)*(TableauDatas[[Date]:[Date]]=$BK$1)*(TableauDatas[[Perf]:[Perf]]))=0,"",SUMPRODUCT((TableauDatas[[Test]:[Test]]=$BK$2)*(TableauDatas[[Prénom]:[Prénom]]=V19)*(TableauDatas[[Date]:[Date]]=$BK$1)*(TableauDatas[[Perf]:[Perf]])))</f>
        <v/>
      </c>
      <c r="BL19" s="118" t="str" cm="1">
        <f t="array" ref="BL19">IF(SUMPRODUCT((TableauDatas[[Test]:[Test]]=$BK$2)*(TableauDatas[[Prénom]:[Prénom]]=V19)*(TableauDatas[[Date]:[Date]]=$BL$1)*(TableauDatas[[Perf]:[Perf]]))=0,"",SUMPRODUCT((TableauDatas[[Test]:[Test]]=$BK$2)*(TableauDatas[[Prénom]:[Prénom]]=V19)*(TableauDatas[[Date]:[Date]]=$BL$1)*(TableauDatas[[Perf]:[Perf]])))</f>
        <v/>
      </c>
      <c r="BM19" s="118" t="str" cm="1">
        <f t="array" ref="BM19">IF(SUMPRODUCT((TableauDatas[[Test]:[Test]]=$BM$2)*(TableauDatas[[Prénom]:[Prénom]]=V19)*(TableauDatas[[Date]:[Date]]=$BM$1)*(TableauDatas[[Perf]:[Perf]]))=0,"",SUMPRODUCT((TableauDatas[[Test]:[Test]]=$BM$2)*(TableauDatas[[Prénom]:[Prénom]]=V19)*(TableauDatas[[Date]:[Date]]=$BM$1)*(TableauDatas[[Perf]:[Perf]])))</f>
        <v/>
      </c>
      <c r="BN19" s="118" t="str" cm="1">
        <f t="array" ref="BN19">IF(SUMPRODUCT((TableauDatas[[Test]:[Test]]=$BM$2)*(TableauDatas[[Prénom]:[Prénom]]=V19)*(TableauDatas[[Date]:[Date]]=$BN$1)*(TableauDatas[[Perf]:[Perf]]))=0,"",SUMPRODUCT((TableauDatas[[Test]:[Test]]=$BM$2)*(TableauDatas[[Prénom]:[Prénom]]=V19)*(TableauDatas[[Date]:[Date]]=$BN$1)*(TableauDatas[[Perf]:[Perf]])))</f>
        <v/>
      </c>
      <c r="BO19" s="118" t="str" cm="1">
        <f t="array" ref="BO19">IF(SUMPRODUCT((TableauDatas[[Test]:[Test]]=$BO$2)*(TableauDatas[[Prénom]:[Prénom]]=V19)*(TableauDatas[[Date]:[Date]]=$BO$1)*(TableauDatas[[Perf]:[Perf]]))=0,"",SUMPRODUCT((TableauDatas[[Test]:[Test]]=$BO$2)*(TableauDatas[[Prénom]:[Prénom]]=V19)*(TableauDatas[[Date]:[Date]]=$BO$1)*(TableauDatas[[Perf]:[Perf]])))</f>
        <v/>
      </c>
      <c r="BP19" s="119" t="str" cm="1">
        <f t="array" ref="BP19">IF(SUMPRODUCT((TableauDatas[[Test]:[Test]]=$BO$2)*(TableauDatas[[Prénom]:[Prénom]]=V19)*(TableauDatas[[Date]:[Date]]=$BP$1)*(TableauDatas[[Perf]:[Perf]]))=0,"",SUMPRODUCT((TableauDatas[[Test]:[Test]]=$BO$2)*(TableauDatas[[Prénom]:[Prénom]]=V19)*(TableauDatas[[Date]:[Date]]=$BP$1)*(TableauDatas[[Perf]:[Perf]])))</f>
        <v/>
      </c>
      <c r="BQ19" s="18"/>
      <c r="BR19" s="18"/>
      <c r="BS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DA19" s="97"/>
      <c r="DB19" s="97"/>
      <c r="DC19" s="97"/>
      <c r="DD19" s="97"/>
      <c r="DE19" s="97"/>
      <c r="DF19" s="97"/>
      <c r="DG19" s="97"/>
      <c r="DH19" s="97"/>
      <c r="DI19" s="97"/>
      <c r="DJ19" s="97"/>
      <c r="DK19" s="97"/>
      <c r="DL19" s="97"/>
      <c r="DM19" s="97"/>
      <c r="DN19" s="97"/>
      <c r="DO19" s="97"/>
      <c r="DQ19" s="97"/>
      <c r="DR19" s="97"/>
      <c r="DS19" s="97"/>
      <c r="DT19" s="97"/>
      <c r="DU19" s="97"/>
      <c r="DV19" s="97"/>
      <c r="DW19" s="97"/>
      <c r="DX19" s="97"/>
      <c r="DY19" s="97"/>
      <c r="DZ19" s="97"/>
      <c r="EA19" s="97"/>
      <c r="EB19" s="97"/>
      <c r="EC19" s="97"/>
      <c r="ED19" s="97"/>
      <c r="EE19" s="97"/>
      <c r="EG19" s="97"/>
      <c r="EH19" s="97"/>
      <c r="EI19" s="97"/>
      <c r="EJ19" s="97"/>
      <c r="EK19" s="97"/>
      <c r="EL19" s="97"/>
      <c r="EM19" s="97"/>
      <c r="EN19" s="97"/>
      <c r="EO19" s="97"/>
      <c r="EP19" s="97"/>
      <c r="EQ19" s="97"/>
      <c r="ER19" s="97"/>
      <c r="ES19" s="97"/>
      <c r="ET19" s="97"/>
      <c r="EU19" s="97"/>
      <c r="EW19" s="97"/>
      <c r="EX19" s="97"/>
      <c r="EY19" s="97"/>
      <c r="EZ19" s="97"/>
      <c r="FA19" s="97"/>
      <c r="FB19" s="97"/>
      <c r="FC19" s="97"/>
      <c r="FD19" s="97"/>
      <c r="FE19" s="97"/>
      <c r="FF19" s="97"/>
      <c r="FG19" s="97"/>
      <c r="FH19" s="97"/>
      <c r="FI19" s="97"/>
      <c r="FJ19" s="97"/>
      <c r="FK19" s="97"/>
      <c r="FM19" s="97"/>
      <c r="FN19" s="97"/>
      <c r="FO19" s="97"/>
      <c r="FP19" s="97"/>
      <c r="FQ19" s="97"/>
      <c r="FR19" s="97"/>
      <c r="FS19" s="97"/>
      <c r="FT19" s="97"/>
      <c r="FU19" s="97"/>
      <c r="FV19" s="97"/>
      <c r="FW19" s="97"/>
      <c r="FX19" s="97"/>
      <c r="FY19" s="97"/>
      <c r="FZ19" s="97"/>
      <c r="GA19" s="97"/>
      <c r="GC19" s="97"/>
      <c r="GD19" s="97"/>
      <c r="GE19" s="97"/>
      <c r="GF19" s="97"/>
      <c r="GG19" s="97"/>
      <c r="GH19" s="97"/>
      <c r="GI19" s="97"/>
      <c r="GJ19" s="97"/>
      <c r="GK19" s="97"/>
      <c r="GL19" s="97"/>
      <c r="GM19" s="97"/>
      <c r="GN19" s="97"/>
      <c r="GO19" s="97"/>
      <c r="GP19" s="97"/>
      <c r="GQ19" s="97"/>
      <c r="GS19" s="97"/>
      <c r="GT19" s="97"/>
      <c r="GU19" s="97"/>
      <c r="GV19" s="97"/>
      <c r="GW19" s="97"/>
      <c r="GX19" s="97"/>
      <c r="GY19" s="97"/>
      <c r="GZ19" s="97"/>
      <c r="HA19" s="97"/>
      <c r="HB19" s="97"/>
      <c r="HC19" s="97"/>
      <c r="HD19" s="97"/>
      <c r="HE19" s="97"/>
      <c r="HF19" s="97"/>
      <c r="HG19" s="97"/>
      <c r="HI19" s="97"/>
      <c r="HJ19" s="97"/>
      <c r="HK19" s="97"/>
      <c r="HL19" s="97"/>
      <c r="HM19" s="97"/>
      <c r="HN19" s="97"/>
      <c r="HO19" s="97"/>
      <c r="HP19" s="97"/>
      <c r="HQ19" s="97"/>
      <c r="HR19" s="97"/>
      <c r="HS19" s="97"/>
      <c r="HT19" s="97"/>
      <c r="HU19" s="97"/>
      <c r="HV19" s="97"/>
      <c r="HW19" s="97"/>
      <c r="HY19" s="97"/>
      <c r="HZ19" s="97"/>
      <c r="IA19" s="97"/>
      <c r="IB19" s="97"/>
      <c r="IC19" s="97"/>
      <c r="ID19" s="97"/>
      <c r="IE19" s="97"/>
      <c r="IF19" s="97"/>
      <c r="IG19" s="97"/>
      <c r="IH19" s="97"/>
      <c r="II19" s="97"/>
      <c r="IJ19" s="97"/>
      <c r="IK19" s="97"/>
      <c r="IL19" s="97"/>
      <c r="IM19" s="97"/>
      <c r="IO19" s="97"/>
      <c r="IP19" s="97"/>
      <c r="IQ19" s="97"/>
      <c r="IR19" s="97"/>
      <c r="IS19" s="97"/>
      <c r="IT19" s="97"/>
      <c r="IU19" s="24"/>
      <c r="IV19" s="24"/>
      <c r="IW19" s="24"/>
      <c r="IX19" s="24"/>
      <c r="IY19" s="24"/>
      <c r="IZ19" s="24"/>
      <c r="JA19" s="24"/>
      <c r="JB19" s="24"/>
      <c r="JC19" s="24"/>
    </row>
    <row r="20" spans="1:263" x14ac:dyDescent="0.25">
      <c r="A20" s="155"/>
      <c r="B20" s="21"/>
      <c r="C20" s="56" t="str" cm="1">
        <f t="array" ref="C20">IF(SUMPRODUCT((TableauDatas[[Prénom]:[Prénom]]=$C$4)*(TableauDatas[[Date]:[Date]]=B20)*(TableauDatas[[Test]:[Test]]=A20)*(TableauDatas[[Perf]:[Perf]]))=0,"",SUMPRODUCT((TableauDatas[[Prénom]:[Prénom]]=$C$4)*(TableauDatas[[Date]:[Date]]=B20)*(TableauDatas[[Test]:[Test]]=A20)*(TableauDatas[[Perf]:[Perf]])))</f>
        <v/>
      </c>
      <c r="D20" s="32" t="str">
        <f>IFERROR(AE30,"")</f>
        <v/>
      </c>
      <c r="E20" s="30" t="str">
        <f>IFERROR(AE31,"")</f>
        <v/>
      </c>
      <c r="F20" s="33" t="str">
        <f>IFERROR(AE32,"")</f>
        <v/>
      </c>
      <c r="G20" s="163" t="str">
        <f>IFERROR(AE33,"")</f>
        <v/>
      </c>
      <c r="H20" s="40" t="str">
        <f>IFERROR(AE28,"")</f>
        <v/>
      </c>
      <c r="I20" s="27"/>
      <c r="J20" s="28"/>
      <c r="N20" s="44"/>
      <c r="O20" s="68"/>
      <c r="P20" s="69"/>
      <c r="Q20" s="69"/>
      <c r="R20" s="69"/>
      <c r="S20" s="70"/>
      <c r="T20" s="47"/>
      <c r="V20" s="89">
        <f t="shared" si="0"/>
        <v>0</v>
      </c>
      <c r="W20" s="86" t="str" cm="1">
        <f t="array" ref="W20">IF(SUMPRODUCT((TableauDatas[[Test]:[Test]]=$W$2)*(TableauDatas[[Prénom]:[Prénom]]=V20)*(TableauDatas[[Date]:[Date]]=$W$1)*(TableauDatas[[Perf]:[Perf]]))=0,"",SUMPRODUCT((TableauDatas[[Test]:[Test]]=$W$2)*(TableauDatas[[Prénom]:[Prénom]]=V20)*(TableauDatas[[Date]:[Date]]=$W$1)*(TableauDatas[[Perf]:[Perf]])))</f>
        <v/>
      </c>
      <c r="X20" s="86" t="str" cm="1">
        <f t="array" ref="X20">IF(SUMPRODUCT((TableauDatas[[Test]:[Test]]=$X$2)*(TableauDatas[[Prénom]:[Prénom]]=V20)*(TableauDatas[[Date]:[Date]]=$X$1)*(TableauDatas[[Perf]:[Perf]]))=0,"",SUMPRODUCT((TableauDatas[[Test]:[Test]]=$X$2)*(TableauDatas[[Prénom]:[Prénom]]=V20)*(TableauDatas[[Date]:[Date]]=$X$1)*(TableauDatas[[Perf]:[Perf]])))</f>
        <v/>
      </c>
      <c r="Y20" s="86" t="str" cm="1">
        <f t="array" ref="Y20">IF(SUMPRODUCT((TableauDatas[[Test]:[Test]]=$Y$2)*(TableauDatas[[Prénom]:[Prénom]]=V20)*(TableauDatas[[Date]:[Date]]=$Y$1)*(TableauDatas[[Perf]:[Perf]]))=0,"",SUMPRODUCT((TableauDatas[[Test]:[Test]]=$Y$2)*(TableauDatas[[Prénom]:[Prénom]]=V20)*(TableauDatas[[Date]:[Date]]=$Y$1)*(TableauDatas[[Perf]:[Perf]])))</f>
        <v/>
      </c>
      <c r="Z20" s="86" t="str" cm="1">
        <f t="array" ref="Z20">IF(SUMPRODUCT((TableauDatas[[Test]:[Test]]=$Z$2)*(TableauDatas[[Prénom]:[Prénom]]=V20)*(TableauDatas[[Date]:[Date]]=$Z$1)*(TableauDatas[[Perf]:[Perf]]))=0,"",SUMPRODUCT((TableauDatas[[Test]:[Test]]=$Z$2)*(TableauDatas[[Prénom]:[Prénom]]=V20)*(TableauDatas[[Date]:[Date]]=$Z$1)*(TableauDatas[[Perf]:[Perf]])))</f>
        <v/>
      </c>
      <c r="AA20" s="86" t="str" cm="1">
        <f t="array" ref="AA20">IF(SUMPRODUCT((TableauDatas[[Test]:[Test]]=$AA$2)*(TableauDatas[[Prénom]:[Prénom]]=V20)*(TableauDatas[[Date]:[Date]]=$AA$1)*(TableauDatas[[Perf]:[Perf]]))=0,"",SUMPRODUCT((TableauDatas[[Test]:[Test]]=$AA$2)*(TableauDatas[[Prénom]:[Prénom]]=V20)*(TableauDatas[[Date]:[Date]]=$AA$1)*(TableauDatas[[Perf]:[Perf]])))</f>
        <v/>
      </c>
      <c r="AB20" s="86" t="str" cm="1">
        <f t="array" ref="AB20">IF(SUMPRODUCT((TableauDatas[[Test]:[Test]]=$AB$2)*(TableauDatas[[Prénom]:[Prénom]]=V20)*(TableauDatas[[Date]:[Date]]=$AB$1)*(TableauDatas[[Perf]:[Perf]]))=0,"",SUMPRODUCT((TableauDatas[[Test]:[Test]]=$AB$2)*(TableauDatas[[Prénom]:[Prénom]]=V20)*(TableauDatas[[Date]:[Date]]=$AB$1)*(TableauDatas[[Perf]:[Perf]])))</f>
        <v/>
      </c>
      <c r="AC20" s="86" t="str" cm="1">
        <f t="array" ref="AC20">IF(SUMPRODUCT((TableauDatas[[Test]:[Test]]=$AC$2)*(TableauDatas[[Prénom]:[Prénom]]=V20)*(TableauDatas[[Date]:[Date]]=$AC$1)*(TableauDatas[[Perf]:[Perf]]))=0,"",SUMPRODUCT((TableauDatas[[Test]:[Test]]=$AC$2)*(TableauDatas[[Prénom]:[Prénom]]=V20)*(TableauDatas[[Date]:[Date]]=$AC$1)*(TableauDatas[[Perf]:[Perf]])))</f>
        <v/>
      </c>
      <c r="AD20" s="86" t="str" cm="1">
        <f t="array" ref="AD20">IF(SUMPRODUCT((TableauDatas[[Test]:[Test]]=$AD$2)*(TableauDatas[[Prénom]:[Prénom]]=V20)*(TableauDatas[[Date]:[Date]]=$AD$1)*(TableauDatas[[Perf]:[Perf]]))=0,"",SUMPRODUCT((TableauDatas[[Test]:[Test]]=$AD$2)*(TableauDatas[[Prénom]:[Prénom]]=V20)*(TableauDatas[[Date]:[Date]]=$AD$1)*(TableauDatas[[Perf]:[Perf]])))</f>
        <v/>
      </c>
      <c r="AE20" s="86" t="str" cm="1">
        <f t="array" ref="AE20">IF(SUMPRODUCT((TableauDatas[[Test]:[Test]]=$AE$2)*(TableauDatas[[Prénom]:[Prénom]]=V20)*(TableauDatas[[Date]:[Date]]=$AE$1)*(TableauDatas[[Perf]:[Perf]]))=0,"",SUMPRODUCT((TableauDatas[[Test]:[Test]]=$AE$2)*(TableauDatas[[Prénom]:[Prénom]]=V20)*(TableauDatas[[Date]:[Date]]=$AE$1)*(TableauDatas[[Perf]:[Perf]])))</f>
        <v/>
      </c>
      <c r="AF20" s="86" t="str" cm="1">
        <f t="array" ref="AF20">IF(SUMPRODUCT((TableauDatas[[Test]:[Test]]=$AF$2)*(TableauDatas[[Prénom]:[Prénom]]=V20)*(TableauDatas[[Date]:[Date]]=$AF$1)*(TableauDatas[[Perf]:[Perf]]))=0,"",SUMPRODUCT((TableauDatas[[Test]:[Test]]=$AF$2)*(TableauDatas[[Prénom]:[Prénom]]=V20)*(TableauDatas[[Date]:[Date]]=$AF$1)*(TableauDatas[[Perf]:[Perf]])))</f>
        <v/>
      </c>
      <c r="AG20" s="86" t="str" cm="1">
        <f t="array" ref="AG20">IF(SUMPRODUCT((TableauDatas[[Test]:[Test]]=$AG$2)*(TableauDatas[[Prénom]:[Prénom]]=V20)*(TableauDatas[[Date]:[Date]]=$AG$1)*(TableauDatas[[Perf]:[Perf]]))=0,"",SUMPRODUCT((TableauDatas[[Test]:[Test]]=$AG$2)*(TableauDatas[[Prénom]:[Prénom]]=V20)*(TableauDatas[[Date]:[Date]]=$AG$1)*(TableauDatas[[Perf]:[Perf]])))</f>
        <v/>
      </c>
      <c r="AH20" s="86" t="str" cm="1">
        <f t="array" ref="AH20">IF(SUMPRODUCT((TableauDatas[[Test]:[Test]]=$AH$2)*(TableauDatas[[Prénom]:[Prénom]]=V20)*(TableauDatas[[Date]:[Date]]=$AH$1)*(TableauDatas[[Perf]:[Perf]]))=0,"",SUMPRODUCT((TableauDatas[[Test]:[Test]]=$AH$2)*(TableauDatas[[Prénom]:[Prénom]]=V20)*(TableauDatas[[Date]:[Date]]=$AH$1)*(TableauDatas[[Perf]:[Perf]])))</f>
        <v/>
      </c>
      <c r="AI20" s="86" t="str" cm="1">
        <f t="array" ref="AI20">IF(SUMPRODUCT((TableauDatas[[Test]:[Test]]=$AI$2)*(TableauDatas[[Prénom]:[Prénom]]=V20)*(TableauDatas[[Date]:[Date]]=$AI$1)*(TableauDatas[[Perf]:[Perf]]))=0,"",SUMPRODUCT((TableauDatas[[Test]:[Test]]=$AI$2)*(TableauDatas[[Prénom]:[Prénom]]=V20)*(TableauDatas[[Date]:[Date]]=$AI$1)*(TableauDatas[[Perf]:[Perf]])))</f>
        <v/>
      </c>
      <c r="AJ20" s="86" t="str" cm="1">
        <f t="array" ref="AJ20">IF(SUMPRODUCT((TableauDatas[[Test]:[Test]]=$AJ$2)*(TableauDatas[[Prénom]:[Prénom]]=V20)*(TableauDatas[[Date]:[Date]]=$AJ$1)*(TableauDatas[[Perf]:[Perf]]))=0,"",SUMPRODUCT((TableauDatas[[Test]:[Test]]=$AJ$2)*(TableauDatas[[Prénom]:[Prénom]]=V20)*(TableauDatas[[Date]:[Date]]=$AJ$1)*(TableauDatas[[Perf]:[Perf]])))</f>
        <v/>
      </c>
      <c r="AK20" s="87" t="str" cm="1">
        <f t="array" ref="AK20">IF(SUMPRODUCT((TableauDatas[[Test]:[Test]]=$AK$2)*(TableauDatas[[Prénom]:[Prénom]]=V20)*(TableauDatas[[Date]:[Date]]=$AK$1)*(TableauDatas[[Perf]:[Perf]]))=0,"",SUMPRODUCT((TableauDatas[[Test]:[Test]]=$AK$2)*(TableauDatas[[Prénom]:[Prénom]]=V20)*(TableauDatas[[Date]:[Date]]=$AK$1)*(TableauDatas[[Perf]:[Perf]])))</f>
        <v/>
      </c>
      <c r="AL20" s="18"/>
      <c r="AM20" s="117" t="str" cm="1">
        <f t="array" ref="AM20">IF(SUMPRODUCT((TableauDatas[[Test]:[Test]]=$AM$2)*(TableauDatas[[Prénom]:[Prénom]]=V20)*(TableauDatas[[Date]:[Date]]=$AM$1)*(TableauDatas[[Perf]:[Perf]]))=0,"",SUMPRODUCT((TableauDatas[[Test]:[Test]]=$AM$2)*(TableauDatas[[Prénom]:[Prénom]]=V20)*(TableauDatas[[Date]:[Date]]=$AM$1)*(TableauDatas[[Perf]:[Perf]])))</f>
        <v/>
      </c>
      <c r="AN20" s="120" t="str" cm="1">
        <f t="array" ref="AN20">IF(SUMPRODUCT((TableauDatas[[Test]:[Test]]=$AM$2)*(TableauDatas[[Prénom]:[Prénom]]=V20)*(TableauDatas[[Date]:[Date]]=$AN$1)*(TableauDatas[[Perf]:[Perf]]))=0,"",SUMPRODUCT((TableauDatas[[Test]:[Test]]=$AM$2)*(TableauDatas[[Prénom]:[Prénom]]=V20)*(TableauDatas[[Date]:[Date]]=$AN$1)*(TableauDatas[[Perf]:[Perf]])))</f>
        <v/>
      </c>
      <c r="AO20" s="118" t="str" cm="1">
        <f t="array" ref="AO20">IF(SUMPRODUCT((TableauDatas[[Test]:[Test]]=$AO$2)*(TableauDatas[[Prénom]:[Prénom]]=V20)*(TableauDatas[[Date]:[Date]]=$AO$1)*(TableauDatas[[Perf]:[Perf]]))=0,"",SUMPRODUCT((TableauDatas[[Test]:[Test]]=$AO$2)*(TableauDatas[[Prénom]:[Prénom]]=V20)*(TableauDatas[[Date]:[Date]]=$AO$1)*(TableauDatas[[Perf]:[Perf]])))</f>
        <v/>
      </c>
      <c r="AP20" s="118" t="str" cm="1">
        <f t="array" ref="AP20">IF(SUMPRODUCT((TableauDatas[[Test]:[Test]]=$AO$2)*(TableauDatas[[Prénom]:[Prénom]]=V20)*(TableauDatas[[Date]:[Date]]=$AP$1)*(TableauDatas[[Perf]:[Perf]]))=0,"",SUMPRODUCT((TableauDatas[[Test]:[Test]]=$AO$2)*(TableauDatas[[Prénom]:[Prénom]]=V20)*(TableauDatas[[Date]:[Date]]=$AP$1)*(TableauDatas[[Perf]:[Perf]])))</f>
        <v/>
      </c>
      <c r="AQ20" s="118" t="str" cm="1">
        <f t="array" ref="AQ20">IF(SUMPRODUCT((TableauDatas[[Test]:[Test]]=$AQ$2)*(TableauDatas[[Prénom]:[Prénom]]=V20)*(TableauDatas[[Date]:[Date]]=$AQ$1)*(TableauDatas[[Perf]:[Perf]]))=0,"",SUMPRODUCT((TableauDatas[[Test]:[Test]]=$AQ$2)*(TableauDatas[[Prénom]:[Prénom]]=V20)*(TableauDatas[[Date]:[Date]]=$AQ$1)*(TableauDatas[[Perf]:[Perf]])))</f>
        <v/>
      </c>
      <c r="AR20" s="118" t="str" cm="1">
        <f t="array" ref="AR20">IF(SUMPRODUCT((TableauDatas[[Test]:[Test]]=$AQ$2)*(TableauDatas[[Prénom]:[Prénom]]=V20)*(TableauDatas[[Date]:[Date]]=$AR$1)*(TableauDatas[[Perf]:[Perf]]))=0,"",SUMPRODUCT((TableauDatas[[Test]:[Test]]=$AQ$2)*(TableauDatas[[Prénom]:[Prénom]]=V20)*(TableauDatas[[Date]:[Date]]=$AR$1)*(TableauDatas[[Perf]:[Perf]])))</f>
        <v/>
      </c>
      <c r="AS20" s="118" t="str" cm="1">
        <f t="array" ref="AS20">IF(SUMPRODUCT((TableauDatas[[Test]:[Test]]=$AS$2)*(TableauDatas[[Prénom]:[Prénom]]=V20)*(TableauDatas[[Date]:[Date]]=$AS$1)*(TableauDatas[[Perf]:[Perf]]))=0,"",SUMPRODUCT((TableauDatas[[Test]:[Test]]=$AS$2)*(TableauDatas[[Prénom]:[Prénom]]=V20)*(TableauDatas[[Date]:[Date]]=$AS$1)*(TableauDatas[[Perf]:[Perf]])))</f>
        <v/>
      </c>
      <c r="AT20" s="118" t="str" cm="1">
        <f t="array" ref="AT20">IF(SUMPRODUCT((TableauDatas[[Test]:[Test]]=$AS$2)*(TableauDatas[[Prénom]:[Prénom]]=V20)*(TableauDatas[[Date]:[Date]]=$AT$1)*(TableauDatas[[Perf]:[Perf]]))=0,"",SUMPRODUCT((TableauDatas[[Test]:[Test]]=$AS$2)*(TableauDatas[[Prénom]:[Prénom]]=V20)*(TableauDatas[[Date]:[Date]]=$AT$1)*(TableauDatas[[Perf]:[Perf]])))</f>
        <v/>
      </c>
      <c r="AU20" s="118" t="str" cm="1">
        <f t="array" ref="AU20">IF(SUMPRODUCT((TableauDatas[[Test]:[Test]]=$AU$2)*(TableauDatas[[Prénom]:[Prénom]]=V20)*(TableauDatas[[Date]:[Date]]=$AU$1)*(TableauDatas[[Perf]:[Perf]]))=0,"",SUMPRODUCT((TableauDatas[[Test]:[Test]]=$AU$2)*(TableauDatas[[Prénom]:[Prénom]]=V20)*(TableauDatas[[Date]:[Date]]=$AU$1)*(TableauDatas[[Perf]:[Perf]])))</f>
        <v/>
      </c>
      <c r="AV20" s="118" t="str" cm="1">
        <f t="array" ref="AV20">IF(SUMPRODUCT((TableauDatas[[Test]:[Test]]=$AU$2)*(TableauDatas[[Prénom]:[Prénom]]=V20)*(TableauDatas[[Date]:[Date]]=$AV$1)*(TableauDatas[[Perf]:[Perf]]))=0,"",SUMPRODUCT((TableauDatas[[Test]:[Test]]=$AU$2)*(TableauDatas[[Prénom]:[Prénom]]=V20)*(TableauDatas[[Date]:[Date]]=$AV$1)*(TableauDatas[[Perf]:[Perf]])))</f>
        <v/>
      </c>
      <c r="AW20" s="118" t="str" cm="1">
        <f t="array" ref="AW20">IF(SUMPRODUCT((TableauDatas[[Test]:[Test]]=$AW$2)*(TableauDatas[[Prénom]:[Prénom]]=V20)*(TableauDatas[[Date]:[Date]]=$AW$1)*(TableauDatas[[Perf]:[Perf]]))=0,"",SUMPRODUCT((TableauDatas[[Test]:[Test]]=$AW$2)*(TableauDatas[[Prénom]:[Prénom]]=V20)*(TableauDatas[[Date]:[Date]]=$AW$1)*(TableauDatas[[Perf]:[Perf]])))</f>
        <v/>
      </c>
      <c r="AX20" s="118" t="str" cm="1">
        <f t="array" ref="AX20">IF(SUMPRODUCT((TableauDatas[[Test]:[Test]]=$AW$2)*(TableauDatas[[Prénom]:[Prénom]]=V20)*(TableauDatas[[Date]:[Date]]=$AX$1)*(TableauDatas[[Perf]:[Perf]]))=0,"",SUMPRODUCT((TableauDatas[[Test]:[Test]]=$AW$2)*(TableauDatas[[Prénom]:[Prénom]]=V20)*(TableauDatas[[Date]:[Date]]=$AX$1)*(TableauDatas[[Perf]:[Perf]])))</f>
        <v/>
      </c>
      <c r="AY20" s="118" t="str" cm="1">
        <f t="array" ref="AY20">IF(SUMPRODUCT((TableauDatas[[Test]:[Test]]=$AY$2)*(TableauDatas[[Prénom]:[Prénom]]=V20)*(TableauDatas[[Date]:[Date]]=$AY$1)*(TableauDatas[[Perf]:[Perf]]))=0,"",SUMPRODUCT((TableauDatas[[Test]:[Test]]=$AY$2)*(TableauDatas[[Prénom]:[Prénom]]=V20)*(TableauDatas[[Date]:[Date]]=$AY$1)*(TableauDatas[[Perf]:[Perf]])))</f>
        <v/>
      </c>
      <c r="AZ20" s="118" t="str" cm="1">
        <f t="array" ref="AZ20">IF(SUMPRODUCT((TableauDatas[[Test]:[Test]]=$AY$2)*(TableauDatas[[Prénom]:[Prénom]]=V20)*(TableauDatas[[Date]:[Date]]=$AZ$1)*(TableauDatas[[Perf]:[Perf]]))=0,"",SUMPRODUCT((TableauDatas[[Test]:[Test]]=$AY$2)*(TableauDatas[[Prénom]:[Prénom]]=V20)*(TableauDatas[[Date]:[Date]]=$AZ$1)*(TableauDatas[[Perf]:[Perf]])))</f>
        <v/>
      </c>
      <c r="BA20" s="118" t="str" cm="1">
        <f t="array" ref="BA20">IF(SUMPRODUCT((TableauDatas[[Test]:[Test]]=$BA$2)*(TableauDatas[[Prénom]:[Prénom]]=V20)*(TableauDatas[[Date]:[Date]]=$BA$1)*(TableauDatas[[Perf]:[Perf]]))=0,"",SUMPRODUCT((TableauDatas[[Test]:[Test]]=$BA$2)*(TableauDatas[[Prénom]:[Prénom]]=V20)*(TableauDatas[[Date]:[Date]]=$BA$1)*(TableauDatas[[Perf]:[Perf]])))</f>
        <v/>
      </c>
      <c r="BB20" s="118" t="str" cm="1">
        <f t="array" ref="BB20">IF(SUMPRODUCT((TableauDatas[[Test]:[Test]]=$BA$2)*(TableauDatas[[Prénom]:[Prénom]]=V20)*(TableauDatas[[Date]:[Date]]=$BB$1)*(TableauDatas[[Perf]:[Perf]]))=0,"",SUMPRODUCT((TableauDatas[[Test]:[Test]]=$BA$2)*(TableauDatas[[Prénom]:[Prénom]]=V20)*(TableauDatas[[Date]:[Date]]=$BB$1)*(TableauDatas[[Perf]:[Perf]])))</f>
        <v/>
      </c>
      <c r="BC20" s="118" t="str" cm="1">
        <f t="array" ref="BC20">IF(SUMPRODUCT((TableauDatas[[Test]:[Test]]=$BC$2)*(TableauDatas[[Prénom]:[Prénom]]=V20)*(TableauDatas[[Date]:[Date]]=$BC$1)*(TableauDatas[[Perf]:[Perf]]))=0,"",SUMPRODUCT((TableauDatas[[Test]:[Test]]=$BC$2)*(TableauDatas[[Prénom]:[Prénom]]=V20)*(TableauDatas[[Date]:[Date]]=$BC$1)*(TableauDatas[[Perf]:[Perf]])))</f>
        <v/>
      </c>
      <c r="BD20" s="121" t="str" cm="1">
        <f t="array" ref="BD20">IF(SUMPRODUCT((TableauDatas[[Test]:[Test]]=$BC$2)*(TableauDatas[[Prénom]:[Prénom]]=V20)*(TableauDatas[[Date]:[Date]]=$BD$1)*(TableauDatas[[Perf]:[Perf]]))=0,"",SUMPRODUCT((TableauDatas[[Test]:[Test]]=$BC$2)*(TableauDatas[[Prénom]:[Prénom]]=V20)*(TableauDatas[[Date]:[Date]]=$BD$1)*(TableauDatas[[Perf]:[Perf]])))</f>
        <v/>
      </c>
      <c r="BE20" s="118" t="str" cm="1">
        <f t="array" ref="BE20">IF(SUMPRODUCT((TableauDatas[[Test]:[Test]]=$BE$2)*(TableauDatas[[Prénom]:[Prénom]]=V20)*(TableauDatas[[Date]:[Date]]=$BE$1)*(TableauDatas[[Perf]:[Perf]]))=0,"",SUMPRODUCT((TableauDatas[[Test]:[Test]]=$BE$2)*(TableauDatas[[Prénom]:[Prénom]]=V20)*(TableauDatas[[Date]:[Date]]=$BE$1)*(TableauDatas[[Perf]:[Perf]])))</f>
        <v/>
      </c>
      <c r="BF20" s="118" t="str" cm="1">
        <f t="array" ref="BF20">IF(SUMPRODUCT((TableauDatas[[Test]:[Test]]=$BE$2)*(TableauDatas[[Prénom]:[Prénom]]=V20)*(TableauDatas[[Date]:[Date]]=$BF$1)*(TableauDatas[[Perf]:[Perf]]))=0,"",SUMPRODUCT((TableauDatas[[Test]:[Test]]=$BE$2)*(TableauDatas[[Prénom]:[Prénom]]=V20)*(TableauDatas[[Date]:[Date]]=$BF$1)*(TableauDatas[[Perf]:[Perf]])))</f>
        <v/>
      </c>
      <c r="BG20" s="118" t="str" cm="1">
        <f t="array" ref="BG20">IF(SUMPRODUCT((TableauDatas[[Test]:[Test]]=$BG$2)*(TableauDatas[[Prénom]:[Prénom]]=V20)*(TableauDatas[[Date]:[Date]]=$BG$1)*(TableauDatas[[Perf]:[Perf]]))=0,"",SUMPRODUCT((TableauDatas[[Test]:[Test]]=$BG$2)*(TableauDatas[[Prénom]:[Prénom]]=V20)*(TableauDatas[[Date]:[Date]]=$BG$1)*(TableauDatas[[Perf]:[Perf]])))</f>
        <v/>
      </c>
      <c r="BH20" s="118" t="str" cm="1">
        <f t="array" ref="BH20">IF(SUMPRODUCT((TableauDatas[[Test]:[Test]]=$BG$2)*(TableauDatas[[Prénom]:[Prénom]]=V20)*(TableauDatas[[Date]:[Date]]=$BH$1)*(TableauDatas[[Perf]:[Perf]]))=0,"",SUMPRODUCT((TableauDatas[[Test]:[Test]]=$BG$2)*(TableauDatas[[Prénom]:[Prénom]]=V20)*(TableauDatas[[Date]:[Date]]=$BH$1)*(TableauDatas[[Perf]:[Perf]])))</f>
        <v/>
      </c>
      <c r="BI20" s="118" t="str" cm="1">
        <f t="array" ref="BI20">IF(SUMPRODUCT((TableauDatas[[Test]:[Test]]=$BI$2)*(TableauDatas[[Prénom]:[Prénom]]=V20)*(TableauDatas[[Date]:[Date]]=$BI$1)*(TableauDatas[[Perf]:[Perf]]))=0,"",SUMPRODUCT((TableauDatas[[Test]:[Test]]=$BI$2)*(TableauDatas[[Prénom]:[Prénom]]=V20)*(TableauDatas[[Date]:[Date]]=$BI$1)*(TableauDatas[[Perf]:[Perf]])))</f>
        <v/>
      </c>
      <c r="BJ20" s="118" t="str" cm="1">
        <f t="array" ref="BJ20">IF(SUMPRODUCT((TableauDatas[[Test]:[Test]]=$BI$2)*(TableauDatas[[Prénom]:[Prénom]]=V20)*(TableauDatas[[Date]:[Date]]=$BJ$1)*(TableauDatas[[Perf]:[Perf]]))=0,"",SUMPRODUCT((TableauDatas[[Test]:[Test]]=$BI$2)*(TableauDatas[[Prénom]:[Prénom]]=V20)*(TableauDatas[[Date]:[Date]]=$BJ$1)*(TableauDatas[[Perf]:[Perf]])))</f>
        <v/>
      </c>
      <c r="BK20" s="118" t="str" cm="1">
        <f t="array" ref="BK20">IF(SUMPRODUCT((TableauDatas[[Test]:[Test]]=$BK$2)*(TableauDatas[[Prénom]:[Prénom]]=V20)*(TableauDatas[[Date]:[Date]]=$BK$1)*(TableauDatas[[Perf]:[Perf]]))=0,"",SUMPRODUCT((TableauDatas[[Test]:[Test]]=$BK$2)*(TableauDatas[[Prénom]:[Prénom]]=V20)*(TableauDatas[[Date]:[Date]]=$BK$1)*(TableauDatas[[Perf]:[Perf]])))</f>
        <v/>
      </c>
      <c r="BL20" s="118" t="str" cm="1">
        <f t="array" ref="BL20">IF(SUMPRODUCT((TableauDatas[[Test]:[Test]]=$BK$2)*(TableauDatas[[Prénom]:[Prénom]]=V20)*(TableauDatas[[Date]:[Date]]=$BL$1)*(TableauDatas[[Perf]:[Perf]]))=0,"",SUMPRODUCT((TableauDatas[[Test]:[Test]]=$BK$2)*(TableauDatas[[Prénom]:[Prénom]]=V20)*(TableauDatas[[Date]:[Date]]=$BL$1)*(TableauDatas[[Perf]:[Perf]])))</f>
        <v/>
      </c>
      <c r="BM20" s="118" t="str" cm="1">
        <f t="array" ref="BM20">IF(SUMPRODUCT((TableauDatas[[Test]:[Test]]=$BM$2)*(TableauDatas[[Prénom]:[Prénom]]=V20)*(TableauDatas[[Date]:[Date]]=$BM$1)*(TableauDatas[[Perf]:[Perf]]))=0,"",SUMPRODUCT((TableauDatas[[Test]:[Test]]=$BM$2)*(TableauDatas[[Prénom]:[Prénom]]=V20)*(TableauDatas[[Date]:[Date]]=$BM$1)*(TableauDatas[[Perf]:[Perf]])))</f>
        <v/>
      </c>
      <c r="BN20" s="118" t="str" cm="1">
        <f t="array" ref="BN20">IF(SUMPRODUCT((TableauDatas[[Test]:[Test]]=$BM$2)*(TableauDatas[[Prénom]:[Prénom]]=V20)*(TableauDatas[[Date]:[Date]]=$BN$1)*(TableauDatas[[Perf]:[Perf]]))=0,"",SUMPRODUCT((TableauDatas[[Test]:[Test]]=$BM$2)*(TableauDatas[[Prénom]:[Prénom]]=V20)*(TableauDatas[[Date]:[Date]]=$BN$1)*(TableauDatas[[Perf]:[Perf]])))</f>
        <v/>
      </c>
      <c r="BO20" s="118" t="str" cm="1">
        <f t="array" ref="BO20">IF(SUMPRODUCT((TableauDatas[[Test]:[Test]]=$BO$2)*(TableauDatas[[Prénom]:[Prénom]]=V20)*(TableauDatas[[Date]:[Date]]=$BO$1)*(TableauDatas[[Perf]:[Perf]]))=0,"",SUMPRODUCT((TableauDatas[[Test]:[Test]]=$BO$2)*(TableauDatas[[Prénom]:[Prénom]]=V20)*(TableauDatas[[Date]:[Date]]=$BO$1)*(TableauDatas[[Perf]:[Perf]])))</f>
        <v/>
      </c>
      <c r="BP20" s="119" t="str" cm="1">
        <f t="array" ref="BP20">IF(SUMPRODUCT((TableauDatas[[Test]:[Test]]=$BO$2)*(TableauDatas[[Prénom]:[Prénom]]=V20)*(TableauDatas[[Date]:[Date]]=$BP$1)*(TableauDatas[[Perf]:[Perf]]))=0,"",SUMPRODUCT((TableauDatas[[Test]:[Test]]=$BO$2)*(TableauDatas[[Prénom]:[Prénom]]=V20)*(TableauDatas[[Date]:[Date]]=$BP$1)*(TableauDatas[[Perf]:[Perf]])))</f>
        <v/>
      </c>
      <c r="BQ20" s="18"/>
      <c r="BR20" s="18"/>
      <c r="BS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DA20" s="97"/>
      <c r="DB20" s="97"/>
      <c r="DC20" s="97"/>
      <c r="DD20" s="97"/>
      <c r="DE20" s="97"/>
      <c r="DF20" s="97"/>
      <c r="DG20" s="97"/>
      <c r="DH20" s="97"/>
      <c r="DI20" s="97"/>
      <c r="DJ20" s="97"/>
      <c r="DK20" s="97"/>
      <c r="DL20" s="97"/>
      <c r="DM20" s="97"/>
      <c r="DN20" s="97"/>
      <c r="DO20" s="97"/>
      <c r="DQ20" s="97"/>
      <c r="DR20" s="97"/>
      <c r="DS20" s="97"/>
      <c r="DT20" s="97"/>
      <c r="DU20" s="97"/>
      <c r="DV20" s="97"/>
      <c r="DW20" s="97"/>
      <c r="DX20" s="97"/>
      <c r="DY20" s="97"/>
      <c r="DZ20" s="97"/>
      <c r="EA20" s="97"/>
      <c r="EB20" s="97"/>
      <c r="EC20" s="97"/>
      <c r="ED20" s="97"/>
      <c r="EE20" s="97"/>
      <c r="EG20" s="97"/>
      <c r="EH20" s="97"/>
      <c r="EI20" s="97"/>
      <c r="EJ20" s="97"/>
      <c r="EK20" s="97"/>
      <c r="EL20" s="97"/>
      <c r="EM20" s="97"/>
      <c r="EN20" s="97"/>
      <c r="EO20" s="97"/>
      <c r="EP20" s="97"/>
      <c r="EQ20" s="97"/>
      <c r="ER20" s="97"/>
      <c r="ES20" s="97"/>
      <c r="ET20" s="97"/>
      <c r="EU20" s="97"/>
      <c r="EW20" s="97"/>
      <c r="EX20" s="97"/>
      <c r="EY20" s="97"/>
      <c r="EZ20" s="97"/>
      <c r="FA20" s="97"/>
      <c r="FB20" s="97"/>
      <c r="FC20" s="97"/>
      <c r="FD20" s="97"/>
      <c r="FE20" s="97"/>
      <c r="FF20" s="97"/>
      <c r="FG20" s="97"/>
      <c r="FH20" s="97"/>
      <c r="FI20" s="97"/>
      <c r="FJ20" s="97"/>
      <c r="FK20" s="97"/>
      <c r="FM20" s="97"/>
      <c r="FN20" s="97"/>
      <c r="FO20" s="97"/>
      <c r="FP20" s="97"/>
      <c r="FQ20" s="97"/>
      <c r="FR20" s="97"/>
      <c r="FS20" s="97"/>
      <c r="FT20" s="97"/>
      <c r="FU20" s="97"/>
      <c r="FV20" s="97"/>
      <c r="FW20" s="97"/>
      <c r="FX20" s="97"/>
      <c r="FY20" s="97"/>
      <c r="FZ20" s="97"/>
      <c r="GA20" s="97"/>
      <c r="GC20" s="97"/>
      <c r="GD20" s="97"/>
      <c r="GE20" s="97"/>
      <c r="GF20" s="97"/>
      <c r="GG20" s="97"/>
      <c r="GH20" s="97"/>
      <c r="GI20" s="97"/>
      <c r="GJ20" s="97"/>
      <c r="GK20" s="97"/>
      <c r="GL20" s="97"/>
      <c r="GM20" s="97"/>
      <c r="GN20" s="97"/>
      <c r="GO20" s="97"/>
      <c r="GP20" s="97"/>
      <c r="GQ20" s="97"/>
      <c r="GS20" s="97"/>
      <c r="GT20" s="97"/>
      <c r="GU20" s="97"/>
      <c r="GV20" s="97"/>
      <c r="GW20" s="97"/>
      <c r="GX20" s="97"/>
      <c r="GY20" s="97"/>
      <c r="GZ20" s="97"/>
      <c r="HA20" s="97"/>
      <c r="HB20" s="97"/>
      <c r="HC20" s="97"/>
      <c r="HD20" s="97"/>
      <c r="HE20" s="97"/>
      <c r="HF20" s="97"/>
      <c r="HG20" s="97"/>
      <c r="HI20" s="97"/>
      <c r="HJ20" s="97"/>
      <c r="HK20" s="97"/>
      <c r="HL20" s="97"/>
      <c r="HM20" s="97"/>
      <c r="HN20" s="97"/>
      <c r="HO20" s="97"/>
      <c r="HP20" s="97"/>
      <c r="HQ20" s="97"/>
      <c r="HR20" s="97"/>
      <c r="HS20" s="97"/>
      <c r="HT20" s="97"/>
      <c r="HU20" s="97"/>
      <c r="HV20" s="97"/>
      <c r="HW20" s="97"/>
      <c r="HY20" s="97"/>
      <c r="HZ20" s="97"/>
      <c r="IA20" s="97"/>
      <c r="IB20" s="97"/>
      <c r="IC20" s="97"/>
      <c r="ID20" s="97"/>
      <c r="IE20" s="97"/>
      <c r="IF20" s="97"/>
      <c r="IG20" s="97"/>
      <c r="IH20" s="97"/>
      <c r="II20" s="97"/>
      <c r="IJ20" s="97"/>
      <c r="IK20" s="97"/>
      <c r="IL20" s="97"/>
      <c r="IM20" s="97"/>
      <c r="IO20" s="97"/>
      <c r="IP20" s="97"/>
      <c r="IQ20" s="97"/>
      <c r="IR20" s="97"/>
      <c r="IS20" s="97"/>
      <c r="IT20" s="97"/>
      <c r="IU20" s="24"/>
      <c r="IV20" s="24"/>
      <c r="IW20" s="24"/>
      <c r="IX20" s="24"/>
      <c r="IY20" s="24"/>
      <c r="IZ20" s="24"/>
      <c r="JA20" s="24"/>
      <c r="JB20" s="24"/>
      <c r="JC20" s="24"/>
    </row>
    <row r="21" spans="1:263" x14ac:dyDescent="0.25">
      <c r="A21" s="155"/>
      <c r="B21" s="21"/>
      <c r="C21" s="56" t="str" cm="1">
        <f t="array" ref="C21">IF(SUMPRODUCT((TableauDatas[[Prénom]:[Prénom]]=$C$4)*(TableauDatas[[Date]:[Date]]=B21)*(TableauDatas[[Test]:[Test]]=A21)*(TableauDatas[[Perf]:[Perf]]))=0,"",SUMPRODUCT((TableauDatas[[Prénom]:[Prénom]]=$C$4)*(TableauDatas[[Date]:[Date]]=B21)*(TableauDatas[[Test]:[Test]]=A21)*(TableauDatas[[Perf]:[Perf]])))</f>
        <v/>
      </c>
      <c r="D21" s="32" t="str">
        <f>IFERROR(AF30,"")</f>
        <v/>
      </c>
      <c r="E21" s="30" t="str">
        <f>IFERROR(AF31,"")</f>
        <v/>
      </c>
      <c r="F21" s="33" t="str">
        <f>IFERROR(AF32,"")</f>
        <v/>
      </c>
      <c r="G21" s="163" t="str">
        <f>IFERROR(AF33,"")</f>
        <v/>
      </c>
      <c r="H21" s="40" t="str">
        <f>IFERROR(AF28,"")</f>
        <v/>
      </c>
      <c r="I21" s="27"/>
      <c r="J21" s="28"/>
      <c r="N21" s="44"/>
      <c r="O21" s="105"/>
      <c r="P21" s="106"/>
      <c r="Q21" s="106"/>
      <c r="R21" s="106"/>
      <c r="S21" s="107"/>
      <c r="T21" s="109"/>
      <c r="V21" s="89">
        <f t="shared" si="0"/>
        <v>0</v>
      </c>
      <c r="W21" s="86" t="str" cm="1">
        <f t="array" ref="W21">IF(SUMPRODUCT((TableauDatas[[Test]:[Test]]=$W$2)*(TableauDatas[[Prénom]:[Prénom]]=V21)*(TableauDatas[[Date]:[Date]]=$W$1)*(TableauDatas[[Perf]:[Perf]]))=0,"",SUMPRODUCT((TableauDatas[[Test]:[Test]]=$W$2)*(TableauDatas[[Prénom]:[Prénom]]=V21)*(TableauDatas[[Date]:[Date]]=$W$1)*(TableauDatas[[Perf]:[Perf]])))</f>
        <v/>
      </c>
      <c r="X21" s="86" t="str" cm="1">
        <f t="array" ref="X21">IF(SUMPRODUCT((TableauDatas[[Test]:[Test]]=$X$2)*(TableauDatas[[Prénom]:[Prénom]]=V21)*(TableauDatas[[Date]:[Date]]=$X$1)*(TableauDatas[[Perf]:[Perf]]))=0,"",SUMPRODUCT((TableauDatas[[Test]:[Test]]=$X$2)*(TableauDatas[[Prénom]:[Prénom]]=V21)*(TableauDatas[[Date]:[Date]]=$X$1)*(TableauDatas[[Perf]:[Perf]])))</f>
        <v/>
      </c>
      <c r="Y21" s="86" t="str" cm="1">
        <f t="array" ref="Y21">IF(SUMPRODUCT((TableauDatas[[Test]:[Test]]=$Y$2)*(TableauDatas[[Prénom]:[Prénom]]=V21)*(TableauDatas[[Date]:[Date]]=$Y$1)*(TableauDatas[[Perf]:[Perf]]))=0,"",SUMPRODUCT((TableauDatas[[Test]:[Test]]=$Y$2)*(TableauDatas[[Prénom]:[Prénom]]=V21)*(TableauDatas[[Date]:[Date]]=$Y$1)*(TableauDatas[[Perf]:[Perf]])))</f>
        <v/>
      </c>
      <c r="Z21" s="86" t="str" cm="1">
        <f t="array" ref="Z21">IF(SUMPRODUCT((TableauDatas[[Test]:[Test]]=$Z$2)*(TableauDatas[[Prénom]:[Prénom]]=V21)*(TableauDatas[[Date]:[Date]]=$Z$1)*(TableauDatas[[Perf]:[Perf]]))=0,"",SUMPRODUCT((TableauDatas[[Test]:[Test]]=$Z$2)*(TableauDatas[[Prénom]:[Prénom]]=V21)*(TableauDatas[[Date]:[Date]]=$Z$1)*(TableauDatas[[Perf]:[Perf]])))</f>
        <v/>
      </c>
      <c r="AA21" s="86" t="str" cm="1">
        <f t="array" ref="AA21">IF(SUMPRODUCT((TableauDatas[[Test]:[Test]]=$AA$2)*(TableauDatas[[Prénom]:[Prénom]]=V21)*(TableauDatas[[Date]:[Date]]=$AA$1)*(TableauDatas[[Perf]:[Perf]]))=0,"",SUMPRODUCT((TableauDatas[[Test]:[Test]]=$AA$2)*(TableauDatas[[Prénom]:[Prénom]]=V21)*(TableauDatas[[Date]:[Date]]=$AA$1)*(TableauDatas[[Perf]:[Perf]])))</f>
        <v/>
      </c>
      <c r="AB21" s="86" t="str" cm="1">
        <f t="array" ref="AB21">IF(SUMPRODUCT((TableauDatas[[Test]:[Test]]=$AB$2)*(TableauDatas[[Prénom]:[Prénom]]=V21)*(TableauDatas[[Date]:[Date]]=$AB$1)*(TableauDatas[[Perf]:[Perf]]))=0,"",SUMPRODUCT((TableauDatas[[Test]:[Test]]=$AB$2)*(TableauDatas[[Prénom]:[Prénom]]=V21)*(TableauDatas[[Date]:[Date]]=$AB$1)*(TableauDatas[[Perf]:[Perf]])))</f>
        <v/>
      </c>
      <c r="AC21" s="86" t="str" cm="1">
        <f t="array" ref="AC21">IF(SUMPRODUCT((TableauDatas[[Test]:[Test]]=$AC$2)*(TableauDatas[[Prénom]:[Prénom]]=V21)*(TableauDatas[[Date]:[Date]]=$AC$1)*(TableauDatas[[Perf]:[Perf]]))=0,"",SUMPRODUCT((TableauDatas[[Test]:[Test]]=$AC$2)*(TableauDatas[[Prénom]:[Prénom]]=V21)*(TableauDatas[[Date]:[Date]]=$AC$1)*(TableauDatas[[Perf]:[Perf]])))</f>
        <v/>
      </c>
      <c r="AD21" s="86" t="str" cm="1">
        <f t="array" ref="AD21">IF(SUMPRODUCT((TableauDatas[[Test]:[Test]]=$AD$2)*(TableauDatas[[Prénom]:[Prénom]]=V21)*(TableauDatas[[Date]:[Date]]=$AD$1)*(TableauDatas[[Perf]:[Perf]]))=0,"",SUMPRODUCT((TableauDatas[[Test]:[Test]]=$AD$2)*(TableauDatas[[Prénom]:[Prénom]]=V21)*(TableauDatas[[Date]:[Date]]=$AD$1)*(TableauDatas[[Perf]:[Perf]])))</f>
        <v/>
      </c>
      <c r="AE21" s="86" t="str" cm="1">
        <f t="array" ref="AE21">IF(SUMPRODUCT((TableauDatas[[Test]:[Test]]=$AE$2)*(TableauDatas[[Prénom]:[Prénom]]=V21)*(TableauDatas[[Date]:[Date]]=$AE$1)*(TableauDatas[[Perf]:[Perf]]))=0,"",SUMPRODUCT((TableauDatas[[Test]:[Test]]=$AE$2)*(TableauDatas[[Prénom]:[Prénom]]=V21)*(TableauDatas[[Date]:[Date]]=$AE$1)*(TableauDatas[[Perf]:[Perf]])))</f>
        <v/>
      </c>
      <c r="AF21" s="86" t="str" cm="1">
        <f t="array" ref="AF21">IF(SUMPRODUCT((TableauDatas[[Test]:[Test]]=$AF$2)*(TableauDatas[[Prénom]:[Prénom]]=V21)*(TableauDatas[[Date]:[Date]]=$AF$1)*(TableauDatas[[Perf]:[Perf]]))=0,"",SUMPRODUCT((TableauDatas[[Test]:[Test]]=$AF$2)*(TableauDatas[[Prénom]:[Prénom]]=V21)*(TableauDatas[[Date]:[Date]]=$AF$1)*(TableauDatas[[Perf]:[Perf]])))</f>
        <v/>
      </c>
      <c r="AG21" s="86" t="str" cm="1">
        <f t="array" ref="AG21">IF(SUMPRODUCT((TableauDatas[[Test]:[Test]]=$AG$2)*(TableauDatas[[Prénom]:[Prénom]]=V21)*(TableauDatas[[Date]:[Date]]=$AG$1)*(TableauDatas[[Perf]:[Perf]]))=0,"",SUMPRODUCT((TableauDatas[[Test]:[Test]]=$AG$2)*(TableauDatas[[Prénom]:[Prénom]]=V21)*(TableauDatas[[Date]:[Date]]=$AG$1)*(TableauDatas[[Perf]:[Perf]])))</f>
        <v/>
      </c>
      <c r="AH21" s="86" t="str" cm="1">
        <f t="array" ref="AH21">IF(SUMPRODUCT((TableauDatas[[Test]:[Test]]=$AH$2)*(TableauDatas[[Prénom]:[Prénom]]=V21)*(TableauDatas[[Date]:[Date]]=$AH$1)*(TableauDatas[[Perf]:[Perf]]))=0,"",SUMPRODUCT((TableauDatas[[Test]:[Test]]=$AH$2)*(TableauDatas[[Prénom]:[Prénom]]=V21)*(TableauDatas[[Date]:[Date]]=$AH$1)*(TableauDatas[[Perf]:[Perf]])))</f>
        <v/>
      </c>
      <c r="AI21" s="86" t="str" cm="1">
        <f t="array" ref="AI21">IF(SUMPRODUCT((TableauDatas[[Test]:[Test]]=$AI$2)*(TableauDatas[[Prénom]:[Prénom]]=V21)*(TableauDatas[[Date]:[Date]]=$AI$1)*(TableauDatas[[Perf]:[Perf]]))=0,"",SUMPRODUCT((TableauDatas[[Test]:[Test]]=$AI$2)*(TableauDatas[[Prénom]:[Prénom]]=V21)*(TableauDatas[[Date]:[Date]]=$AI$1)*(TableauDatas[[Perf]:[Perf]])))</f>
        <v/>
      </c>
      <c r="AJ21" s="86" t="str" cm="1">
        <f t="array" ref="AJ21">IF(SUMPRODUCT((TableauDatas[[Test]:[Test]]=$AJ$2)*(TableauDatas[[Prénom]:[Prénom]]=V21)*(TableauDatas[[Date]:[Date]]=$AJ$1)*(TableauDatas[[Perf]:[Perf]]))=0,"",SUMPRODUCT((TableauDatas[[Test]:[Test]]=$AJ$2)*(TableauDatas[[Prénom]:[Prénom]]=V21)*(TableauDatas[[Date]:[Date]]=$AJ$1)*(TableauDatas[[Perf]:[Perf]])))</f>
        <v/>
      </c>
      <c r="AK21" s="87" t="str" cm="1">
        <f t="array" ref="AK21">IF(SUMPRODUCT((TableauDatas[[Test]:[Test]]=$AK$2)*(TableauDatas[[Prénom]:[Prénom]]=V21)*(TableauDatas[[Date]:[Date]]=$AK$1)*(TableauDatas[[Perf]:[Perf]]))=0,"",SUMPRODUCT((TableauDatas[[Test]:[Test]]=$AK$2)*(TableauDatas[[Prénom]:[Prénom]]=V21)*(TableauDatas[[Date]:[Date]]=$AK$1)*(TableauDatas[[Perf]:[Perf]])))</f>
        <v/>
      </c>
      <c r="AL21" s="18"/>
      <c r="AM21" s="117" t="str" cm="1">
        <f t="array" ref="AM21">IF(SUMPRODUCT((TableauDatas[[Test]:[Test]]=$AM$2)*(TableauDatas[[Prénom]:[Prénom]]=V21)*(TableauDatas[[Date]:[Date]]=$AM$1)*(TableauDatas[[Perf]:[Perf]]))=0,"",SUMPRODUCT((TableauDatas[[Test]:[Test]]=$AM$2)*(TableauDatas[[Prénom]:[Prénom]]=V21)*(TableauDatas[[Date]:[Date]]=$AM$1)*(TableauDatas[[Perf]:[Perf]])))</f>
        <v/>
      </c>
      <c r="AN21" s="120" t="str" cm="1">
        <f t="array" ref="AN21">IF(SUMPRODUCT((TableauDatas[[Test]:[Test]]=$AM$2)*(TableauDatas[[Prénom]:[Prénom]]=V21)*(TableauDatas[[Date]:[Date]]=$AN$1)*(TableauDatas[[Perf]:[Perf]]))=0,"",SUMPRODUCT((TableauDatas[[Test]:[Test]]=$AM$2)*(TableauDatas[[Prénom]:[Prénom]]=V21)*(TableauDatas[[Date]:[Date]]=$AN$1)*(TableauDatas[[Perf]:[Perf]])))</f>
        <v/>
      </c>
      <c r="AO21" s="118" t="str" cm="1">
        <f t="array" ref="AO21">IF(SUMPRODUCT((TableauDatas[[Test]:[Test]]=$AO$2)*(TableauDatas[[Prénom]:[Prénom]]=V21)*(TableauDatas[[Date]:[Date]]=$AO$1)*(TableauDatas[[Perf]:[Perf]]))=0,"",SUMPRODUCT((TableauDatas[[Test]:[Test]]=$AO$2)*(TableauDatas[[Prénom]:[Prénom]]=V21)*(TableauDatas[[Date]:[Date]]=$AO$1)*(TableauDatas[[Perf]:[Perf]])))</f>
        <v/>
      </c>
      <c r="AP21" s="118" t="str" cm="1">
        <f t="array" ref="AP21">IF(SUMPRODUCT((TableauDatas[[Test]:[Test]]=$AO$2)*(TableauDatas[[Prénom]:[Prénom]]=V21)*(TableauDatas[[Date]:[Date]]=$AP$1)*(TableauDatas[[Perf]:[Perf]]))=0,"",SUMPRODUCT((TableauDatas[[Test]:[Test]]=$AO$2)*(TableauDatas[[Prénom]:[Prénom]]=V21)*(TableauDatas[[Date]:[Date]]=$AP$1)*(TableauDatas[[Perf]:[Perf]])))</f>
        <v/>
      </c>
      <c r="AQ21" s="118" t="str" cm="1">
        <f t="array" ref="AQ21">IF(SUMPRODUCT((TableauDatas[[Test]:[Test]]=$AQ$2)*(TableauDatas[[Prénom]:[Prénom]]=V21)*(TableauDatas[[Date]:[Date]]=$AQ$1)*(TableauDatas[[Perf]:[Perf]]))=0,"",SUMPRODUCT((TableauDatas[[Test]:[Test]]=$AQ$2)*(TableauDatas[[Prénom]:[Prénom]]=V21)*(TableauDatas[[Date]:[Date]]=$AQ$1)*(TableauDatas[[Perf]:[Perf]])))</f>
        <v/>
      </c>
      <c r="AR21" s="118" t="str" cm="1">
        <f t="array" ref="AR21">IF(SUMPRODUCT((TableauDatas[[Test]:[Test]]=$AQ$2)*(TableauDatas[[Prénom]:[Prénom]]=V21)*(TableauDatas[[Date]:[Date]]=$AR$1)*(TableauDatas[[Perf]:[Perf]]))=0,"",SUMPRODUCT((TableauDatas[[Test]:[Test]]=$AQ$2)*(TableauDatas[[Prénom]:[Prénom]]=V21)*(TableauDatas[[Date]:[Date]]=$AR$1)*(TableauDatas[[Perf]:[Perf]])))</f>
        <v/>
      </c>
      <c r="AS21" s="118" t="str" cm="1">
        <f t="array" ref="AS21">IF(SUMPRODUCT((TableauDatas[[Test]:[Test]]=$AS$2)*(TableauDatas[[Prénom]:[Prénom]]=V21)*(TableauDatas[[Date]:[Date]]=$AS$1)*(TableauDatas[[Perf]:[Perf]]))=0,"",SUMPRODUCT((TableauDatas[[Test]:[Test]]=$AS$2)*(TableauDatas[[Prénom]:[Prénom]]=V21)*(TableauDatas[[Date]:[Date]]=$AS$1)*(TableauDatas[[Perf]:[Perf]])))</f>
        <v/>
      </c>
      <c r="AT21" s="118" t="str" cm="1">
        <f t="array" ref="AT21">IF(SUMPRODUCT((TableauDatas[[Test]:[Test]]=$AS$2)*(TableauDatas[[Prénom]:[Prénom]]=V21)*(TableauDatas[[Date]:[Date]]=$AT$1)*(TableauDatas[[Perf]:[Perf]]))=0,"",SUMPRODUCT((TableauDatas[[Test]:[Test]]=$AS$2)*(TableauDatas[[Prénom]:[Prénom]]=V21)*(TableauDatas[[Date]:[Date]]=$AT$1)*(TableauDatas[[Perf]:[Perf]])))</f>
        <v/>
      </c>
      <c r="AU21" s="118" t="str" cm="1">
        <f t="array" ref="AU21">IF(SUMPRODUCT((TableauDatas[[Test]:[Test]]=$AU$2)*(TableauDatas[[Prénom]:[Prénom]]=V21)*(TableauDatas[[Date]:[Date]]=$AU$1)*(TableauDatas[[Perf]:[Perf]]))=0,"",SUMPRODUCT((TableauDatas[[Test]:[Test]]=$AU$2)*(TableauDatas[[Prénom]:[Prénom]]=V21)*(TableauDatas[[Date]:[Date]]=$AU$1)*(TableauDatas[[Perf]:[Perf]])))</f>
        <v/>
      </c>
      <c r="AV21" s="118" t="str" cm="1">
        <f t="array" ref="AV21">IF(SUMPRODUCT((TableauDatas[[Test]:[Test]]=$AU$2)*(TableauDatas[[Prénom]:[Prénom]]=V21)*(TableauDatas[[Date]:[Date]]=$AV$1)*(TableauDatas[[Perf]:[Perf]]))=0,"",SUMPRODUCT((TableauDatas[[Test]:[Test]]=$AU$2)*(TableauDatas[[Prénom]:[Prénom]]=V21)*(TableauDatas[[Date]:[Date]]=$AV$1)*(TableauDatas[[Perf]:[Perf]])))</f>
        <v/>
      </c>
      <c r="AW21" s="118" t="str" cm="1">
        <f t="array" ref="AW21">IF(SUMPRODUCT((TableauDatas[[Test]:[Test]]=$AW$2)*(TableauDatas[[Prénom]:[Prénom]]=V21)*(TableauDatas[[Date]:[Date]]=$AW$1)*(TableauDatas[[Perf]:[Perf]]))=0,"",SUMPRODUCT((TableauDatas[[Test]:[Test]]=$AW$2)*(TableauDatas[[Prénom]:[Prénom]]=V21)*(TableauDatas[[Date]:[Date]]=$AW$1)*(TableauDatas[[Perf]:[Perf]])))</f>
        <v/>
      </c>
      <c r="AX21" s="118" t="str" cm="1">
        <f t="array" ref="AX21">IF(SUMPRODUCT((TableauDatas[[Test]:[Test]]=$AW$2)*(TableauDatas[[Prénom]:[Prénom]]=V21)*(TableauDatas[[Date]:[Date]]=$AX$1)*(TableauDatas[[Perf]:[Perf]]))=0,"",SUMPRODUCT((TableauDatas[[Test]:[Test]]=$AW$2)*(TableauDatas[[Prénom]:[Prénom]]=V21)*(TableauDatas[[Date]:[Date]]=$AX$1)*(TableauDatas[[Perf]:[Perf]])))</f>
        <v/>
      </c>
      <c r="AY21" s="118" t="str" cm="1">
        <f t="array" ref="AY21">IF(SUMPRODUCT((TableauDatas[[Test]:[Test]]=$AY$2)*(TableauDatas[[Prénom]:[Prénom]]=V21)*(TableauDatas[[Date]:[Date]]=$AY$1)*(TableauDatas[[Perf]:[Perf]]))=0,"",SUMPRODUCT((TableauDatas[[Test]:[Test]]=$AY$2)*(TableauDatas[[Prénom]:[Prénom]]=V21)*(TableauDatas[[Date]:[Date]]=$AY$1)*(TableauDatas[[Perf]:[Perf]])))</f>
        <v/>
      </c>
      <c r="AZ21" s="118" t="str" cm="1">
        <f t="array" ref="AZ21">IF(SUMPRODUCT((TableauDatas[[Test]:[Test]]=$AY$2)*(TableauDatas[[Prénom]:[Prénom]]=V21)*(TableauDatas[[Date]:[Date]]=$AZ$1)*(TableauDatas[[Perf]:[Perf]]))=0,"",SUMPRODUCT((TableauDatas[[Test]:[Test]]=$AY$2)*(TableauDatas[[Prénom]:[Prénom]]=V21)*(TableauDatas[[Date]:[Date]]=$AZ$1)*(TableauDatas[[Perf]:[Perf]])))</f>
        <v/>
      </c>
      <c r="BA21" s="118" t="str" cm="1">
        <f t="array" ref="BA21">IF(SUMPRODUCT((TableauDatas[[Test]:[Test]]=$BA$2)*(TableauDatas[[Prénom]:[Prénom]]=V21)*(TableauDatas[[Date]:[Date]]=$BA$1)*(TableauDatas[[Perf]:[Perf]]))=0,"",SUMPRODUCT((TableauDatas[[Test]:[Test]]=$BA$2)*(TableauDatas[[Prénom]:[Prénom]]=V21)*(TableauDatas[[Date]:[Date]]=$BA$1)*(TableauDatas[[Perf]:[Perf]])))</f>
        <v/>
      </c>
      <c r="BB21" s="118" t="str" cm="1">
        <f t="array" ref="BB21">IF(SUMPRODUCT((TableauDatas[[Test]:[Test]]=$BA$2)*(TableauDatas[[Prénom]:[Prénom]]=V21)*(TableauDatas[[Date]:[Date]]=$BB$1)*(TableauDatas[[Perf]:[Perf]]))=0,"",SUMPRODUCT((TableauDatas[[Test]:[Test]]=$BA$2)*(TableauDatas[[Prénom]:[Prénom]]=V21)*(TableauDatas[[Date]:[Date]]=$BB$1)*(TableauDatas[[Perf]:[Perf]])))</f>
        <v/>
      </c>
      <c r="BC21" s="118" t="str" cm="1">
        <f t="array" ref="BC21">IF(SUMPRODUCT((TableauDatas[[Test]:[Test]]=$BC$2)*(TableauDatas[[Prénom]:[Prénom]]=V21)*(TableauDatas[[Date]:[Date]]=$BC$1)*(TableauDatas[[Perf]:[Perf]]))=0,"",SUMPRODUCT((TableauDatas[[Test]:[Test]]=$BC$2)*(TableauDatas[[Prénom]:[Prénom]]=V21)*(TableauDatas[[Date]:[Date]]=$BC$1)*(TableauDatas[[Perf]:[Perf]])))</f>
        <v/>
      </c>
      <c r="BD21" s="121" t="str" cm="1">
        <f t="array" ref="BD21">IF(SUMPRODUCT((TableauDatas[[Test]:[Test]]=$BC$2)*(TableauDatas[[Prénom]:[Prénom]]=V21)*(TableauDatas[[Date]:[Date]]=$BD$1)*(TableauDatas[[Perf]:[Perf]]))=0,"",SUMPRODUCT((TableauDatas[[Test]:[Test]]=$BC$2)*(TableauDatas[[Prénom]:[Prénom]]=V21)*(TableauDatas[[Date]:[Date]]=$BD$1)*(TableauDatas[[Perf]:[Perf]])))</f>
        <v/>
      </c>
      <c r="BE21" s="118" t="str" cm="1">
        <f t="array" ref="BE21">IF(SUMPRODUCT((TableauDatas[[Test]:[Test]]=$BE$2)*(TableauDatas[[Prénom]:[Prénom]]=V21)*(TableauDatas[[Date]:[Date]]=$BE$1)*(TableauDatas[[Perf]:[Perf]]))=0,"",SUMPRODUCT((TableauDatas[[Test]:[Test]]=$BE$2)*(TableauDatas[[Prénom]:[Prénom]]=V21)*(TableauDatas[[Date]:[Date]]=$BE$1)*(TableauDatas[[Perf]:[Perf]])))</f>
        <v/>
      </c>
      <c r="BF21" s="118" t="str" cm="1">
        <f t="array" ref="BF21">IF(SUMPRODUCT((TableauDatas[[Test]:[Test]]=$BE$2)*(TableauDatas[[Prénom]:[Prénom]]=V21)*(TableauDatas[[Date]:[Date]]=$BF$1)*(TableauDatas[[Perf]:[Perf]]))=0,"",SUMPRODUCT((TableauDatas[[Test]:[Test]]=$BE$2)*(TableauDatas[[Prénom]:[Prénom]]=V21)*(TableauDatas[[Date]:[Date]]=$BF$1)*(TableauDatas[[Perf]:[Perf]])))</f>
        <v/>
      </c>
      <c r="BG21" s="118" t="str" cm="1">
        <f t="array" ref="BG21">IF(SUMPRODUCT((TableauDatas[[Test]:[Test]]=$BG$2)*(TableauDatas[[Prénom]:[Prénom]]=V21)*(TableauDatas[[Date]:[Date]]=$BG$1)*(TableauDatas[[Perf]:[Perf]]))=0,"",SUMPRODUCT((TableauDatas[[Test]:[Test]]=$BG$2)*(TableauDatas[[Prénom]:[Prénom]]=V21)*(TableauDatas[[Date]:[Date]]=$BG$1)*(TableauDatas[[Perf]:[Perf]])))</f>
        <v/>
      </c>
      <c r="BH21" s="118" t="str" cm="1">
        <f t="array" ref="BH21">IF(SUMPRODUCT((TableauDatas[[Test]:[Test]]=$BG$2)*(TableauDatas[[Prénom]:[Prénom]]=V21)*(TableauDatas[[Date]:[Date]]=$BH$1)*(TableauDatas[[Perf]:[Perf]]))=0,"",SUMPRODUCT((TableauDatas[[Test]:[Test]]=$BG$2)*(TableauDatas[[Prénom]:[Prénom]]=V21)*(TableauDatas[[Date]:[Date]]=$BH$1)*(TableauDatas[[Perf]:[Perf]])))</f>
        <v/>
      </c>
      <c r="BI21" s="118" t="str" cm="1">
        <f t="array" ref="BI21">IF(SUMPRODUCT((TableauDatas[[Test]:[Test]]=$BI$2)*(TableauDatas[[Prénom]:[Prénom]]=V21)*(TableauDatas[[Date]:[Date]]=$BI$1)*(TableauDatas[[Perf]:[Perf]]))=0,"",SUMPRODUCT((TableauDatas[[Test]:[Test]]=$BI$2)*(TableauDatas[[Prénom]:[Prénom]]=V21)*(TableauDatas[[Date]:[Date]]=$BI$1)*(TableauDatas[[Perf]:[Perf]])))</f>
        <v/>
      </c>
      <c r="BJ21" s="118" t="str" cm="1">
        <f t="array" ref="BJ21">IF(SUMPRODUCT((TableauDatas[[Test]:[Test]]=$BI$2)*(TableauDatas[[Prénom]:[Prénom]]=V21)*(TableauDatas[[Date]:[Date]]=$BJ$1)*(TableauDatas[[Perf]:[Perf]]))=0,"",SUMPRODUCT((TableauDatas[[Test]:[Test]]=$BI$2)*(TableauDatas[[Prénom]:[Prénom]]=V21)*(TableauDatas[[Date]:[Date]]=$BJ$1)*(TableauDatas[[Perf]:[Perf]])))</f>
        <v/>
      </c>
      <c r="BK21" s="118" t="str" cm="1">
        <f t="array" ref="BK21">IF(SUMPRODUCT((TableauDatas[[Test]:[Test]]=$BK$2)*(TableauDatas[[Prénom]:[Prénom]]=V21)*(TableauDatas[[Date]:[Date]]=$BK$1)*(TableauDatas[[Perf]:[Perf]]))=0,"",SUMPRODUCT((TableauDatas[[Test]:[Test]]=$BK$2)*(TableauDatas[[Prénom]:[Prénom]]=V21)*(TableauDatas[[Date]:[Date]]=$BK$1)*(TableauDatas[[Perf]:[Perf]])))</f>
        <v/>
      </c>
      <c r="BL21" s="118" t="str" cm="1">
        <f t="array" ref="BL21">IF(SUMPRODUCT((TableauDatas[[Test]:[Test]]=$BK$2)*(TableauDatas[[Prénom]:[Prénom]]=V21)*(TableauDatas[[Date]:[Date]]=$BL$1)*(TableauDatas[[Perf]:[Perf]]))=0,"",SUMPRODUCT((TableauDatas[[Test]:[Test]]=$BK$2)*(TableauDatas[[Prénom]:[Prénom]]=V21)*(TableauDatas[[Date]:[Date]]=$BL$1)*(TableauDatas[[Perf]:[Perf]])))</f>
        <v/>
      </c>
      <c r="BM21" s="118" t="str" cm="1">
        <f t="array" ref="BM21">IF(SUMPRODUCT((TableauDatas[[Test]:[Test]]=$BM$2)*(TableauDatas[[Prénom]:[Prénom]]=V21)*(TableauDatas[[Date]:[Date]]=$BM$1)*(TableauDatas[[Perf]:[Perf]]))=0,"",SUMPRODUCT((TableauDatas[[Test]:[Test]]=$BM$2)*(TableauDatas[[Prénom]:[Prénom]]=V21)*(TableauDatas[[Date]:[Date]]=$BM$1)*(TableauDatas[[Perf]:[Perf]])))</f>
        <v/>
      </c>
      <c r="BN21" s="118" t="str" cm="1">
        <f t="array" ref="BN21">IF(SUMPRODUCT((TableauDatas[[Test]:[Test]]=$BM$2)*(TableauDatas[[Prénom]:[Prénom]]=V21)*(TableauDatas[[Date]:[Date]]=$BN$1)*(TableauDatas[[Perf]:[Perf]]))=0,"",SUMPRODUCT((TableauDatas[[Test]:[Test]]=$BM$2)*(TableauDatas[[Prénom]:[Prénom]]=V21)*(TableauDatas[[Date]:[Date]]=$BN$1)*(TableauDatas[[Perf]:[Perf]])))</f>
        <v/>
      </c>
      <c r="BO21" s="118" t="str" cm="1">
        <f t="array" ref="BO21">IF(SUMPRODUCT((TableauDatas[[Test]:[Test]]=$BO$2)*(TableauDatas[[Prénom]:[Prénom]]=V21)*(TableauDatas[[Date]:[Date]]=$BO$1)*(TableauDatas[[Perf]:[Perf]]))=0,"",SUMPRODUCT((TableauDatas[[Test]:[Test]]=$BO$2)*(TableauDatas[[Prénom]:[Prénom]]=V21)*(TableauDatas[[Date]:[Date]]=$BO$1)*(TableauDatas[[Perf]:[Perf]])))</f>
        <v/>
      </c>
      <c r="BP21" s="119" t="str" cm="1">
        <f t="array" ref="BP21">IF(SUMPRODUCT((TableauDatas[[Test]:[Test]]=$BO$2)*(TableauDatas[[Prénom]:[Prénom]]=V21)*(TableauDatas[[Date]:[Date]]=$BP$1)*(TableauDatas[[Perf]:[Perf]]))=0,"",SUMPRODUCT((TableauDatas[[Test]:[Test]]=$BO$2)*(TableauDatas[[Prénom]:[Prénom]]=V21)*(TableauDatas[[Date]:[Date]]=$BP$1)*(TableauDatas[[Perf]:[Perf]])))</f>
        <v/>
      </c>
      <c r="BQ21" s="18"/>
      <c r="BR21" s="18"/>
      <c r="BS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DA21" s="97"/>
      <c r="DB21" s="97"/>
      <c r="DC21" s="97"/>
      <c r="DD21" s="97"/>
      <c r="DE21" s="97"/>
      <c r="DF21" s="97"/>
      <c r="DG21" s="97"/>
      <c r="DH21" s="97"/>
      <c r="DI21" s="97"/>
      <c r="DJ21" s="97"/>
      <c r="DK21" s="97"/>
      <c r="DL21" s="97"/>
      <c r="DM21" s="97"/>
      <c r="DN21" s="97"/>
      <c r="DO21" s="97"/>
      <c r="DQ21" s="97"/>
      <c r="DR21" s="97"/>
      <c r="DS21" s="97"/>
      <c r="DT21" s="97"/>
      <c r="DU21" s="97"/>
      <c r="DV21" s="97"/>
      <c r="DW21" s="97"/>
      <c r="DX21" s="97"/>
      <c r="DY21" s="97"/>
      <c r="DZ21" s="97"/>
      <c r="EA21" s="97"/>
      <c r="EB21" s="97"/>
      <c r="EC21" s="97"/>
      <c r="ED21" s="97"/>
      <c r="EE21" s="97"/>
      <c r="EG21" s="97"/>
      <c r="EH21" s="97"/>
      <c r="EI21" s="97"/>
      <c r="EJ21" s="97"/>
      <c r="EK21" s="97"/>
      <c r="EL21" s="97"/>
      <c r="EM21" s="97"/>
      <c r="EN21" s="97"/>
      <c r="EO21" s="97"/>
      <c r="EP21" s="97"/>
      <c r="EQ21" s="97"/>
      <c r="ER21" s="97"/>
      <c r="ES21" s="97"/>
      <c r="ET21" s="97"/>
      <c r="EU21" s="97"/>
      <c r="EW21" s="97"/>
      <c r="EX21" s="97"/>
      <c r="EY21" s="97"/>
      <c r="EZ21" s="97"/>
      <c r="FA21" s="97"/>
      <c r="FB21" s="97"/>
      <c r="FC21" s="97"/>
      <c r="FD21" s="97"/>
      <c r="FE21" s="97"/>
      <c r="FF21" s="97"/>
      <c r="FG21" s="97"/>
      <c r="FH21" s="97"/>
      <c r="FI21" s="97"/>
      <c r="FJ21" s="97"/>
      <c r="FK21" s="97"/>
      <c r="FM21" s="97"/>
      <c r="FN21" s="97"/>
      <c r="FO21" s="97"/>
      <c r="FP21" s="97"/>
      <c r="FQ21" s="97"/>
      <c r="FR21" s="97"/>
      <c r="FS21" s="97"/>
      <c r="FT21" s="97"/>
      <c r="FU21" s="97"/>
      <c r="FV21" s="97"/>
      <c r="FW21" s="97"/>
      <c r="FX21" s="97"/>
      <c r="FY21" s="97"/>
      <c r="FZ21" s="97"/>
      <c r="GA21" s="97"/>
      <c r="GC21" s="97"/>
      <c r="GD21" s="97"/>
      <c r="GE21" s="97"/>
      <c r="GF21" s="97"/>
      <c r="GG21" s="97"/>
      <c r="GH21" s="97"/>
      <c r="GI21" s="97"/>
      <c r="GJ21" s="97"/>
      <c r="GK21" s="97"/>
      <c r="GL21" s="97"/>
      <c r="GM21" s="97"/>
      <c r="GN21" s="97"/>
      <c r="GO21" s="97"/>
      <c r="GP21" s="97"/>
      <c r="GQ21" s="97"/>
      <c r="GS21" s="97"/>
      <c r="GT21" s="97"/>
      <c r="GU21" s="97"/>
      <c r="GV21" s="97"/>
      <c r="GW21" s="97"/>
      <c r="GX21" s="97"/>
      <c r="GY21" s="97"/>
      <c r="GZ21" s="97"/>
      <c r="HA21" s="97"/>
      <c r="HB21" s="97"/>
      <c r="HC21" s="97"/>
      <c r="HD21" s="97"/>
      <c r="HE21" s="97"/>
      <c r="HF21" s="97"/>
      <c r="HG21" s="97"/>
      <c r="HI21" s="97"/>
      <c r="HJ21" s="97"/>
      <c r="HK21" s="97"/>
      <c r="HL21" s="97"/>
      <c r="HM21" s="97"/>
      <c r="HN21" s="97"/>
      <c r="HO21" s="97"/>
      <c r="HP21" s="97"/>
      <c r="HQ21" s="97"/>
      <c r="HR21" s="97"/>
      <c r="HS21" s="97"/>
      <c r="HT21" s="97"/>
      <c r="HU21" s="97"/>
      <c r="HV21" s="97"/>
      <c r="HW21" s="97"/>
      <c r="HY21" s="97"/>
      <c r="HZ21" s="97"/>
      <c r="IA21" s="97"/>
      <c r="IB21" s="97"/>
      <c r="IC21" s="97"/>
      <c r="ID21" s="97"/>
      <c r="IE21" s="97"/>
      <c r="IF21" s="97"/>
      <c r="IG21" s="97"/>
      <c r="IH21" s="97"/>
      <c r="II21" s="97"/>
      <c r="IJ21" s="97"/>
      <c r="IK21" s="97"/>
      <c r="IL21" s="97"/>
      <c r="IM21" s="97"/>
      <c r="IO21" s="97"/>
      <c r="IP21" s="97"/>
      <c r="IQ21" s="97"/>
      <c r="IR21" s="97"/>
      <c r="IS21" s="97"/>
      <c r="IT21" s="97"/>
      <c r="IU21" s="24"/>
      <c r="IV21" s="24"/>
      <c r="IW21" s="24"/>
      <c r="IX21" s="24"/>
      <c r="IY21" s="24"/>
      <c r="IZ21" s="24"/>
      <c r="JA21" s="24"/>
      <c r="JB21" s="24"/>
      <c r="JC21" s="24"/>
    </row>
    <row r="22" spans="1:263" x14ac:dyDescent="0.25">
      <c r="A22" s="155"/>
      <c r="B22" s="21"/>
      <c r="C22" s="56" t="str" cm="1">
        <f t="array" ref="C22">IF(SUMPRODUCT((TableauDatas[[Prénom]:[Prénom]]=$C$4)*(TableauDatas[[Date]:[Date]]=B22)*(TableauDatas[[Test]:[Test]]=A22)*(TableauDatas[[Perf]:[Perf]]))=0,"",SUMPRODUCT((TableauDatas[[Prénom]:[Prénom]]=$C$4)*(TableauDatas[[Date]:[Date]]=B22)*(TableauDatas[[Test]:[Test]]=A22)*(TableauDatas[[Perf]:[Perf]])))</f>
        <v/>
      </c>
      <c r="D22" s="32" t="str">
        <f>IFERROR(AG30,"")</f>
        <v/>
      </c>
      <c r="E22" s="30" t="str">
        <f>IFERROR(AG31,"")</f>
        <v/>
      </c>
      <c r="F22" s="33" t="str">
        <f>IFERROR(AG32,"")</f>
        <v/>
      </c>
      <c r="G22" s="163" t="str">
        <f>IFERROR(AG33,"")</f>
        <v/>
      </c>
      <c r="H22" s="40" t="str">
        <f>IFERROR(AG28,"")</f>
        <v/>
      </c>
      <c r="I22" s="27"/>
      <c r="J22" s="28"/>
      <c r="N22" s="44"/>
      <c r="O22" s="68"/>
      <c r="P22" s="69"/>
      <c r="Q22" s="69"/>
      <c r="R22" s="69"/>
      <c r="S22" s="70"/>
      <c r="T22" s="49"/>
      <c r="V22" s="89">
        <f t="shared" si="0"/>
        <v>0</v>
      </c>
      <c r="W22" s="86" t="str" cm="1">
        <f t="array" ref="W22">IF(SUMPRODUCT((TableauDatas[[Test]:[Test]]=$W$2)*(TableauDatas[[Prénom]:[Prénom]]=V22)*(TableauDatas[[Date]:[Date]]=$W$1)*(TableauDatas[[Perf]:[Perf]]))=0,"",SUMPRODUCT((TableauDatas[[Test]:[Test]]=$W$2)*(TableauDatas[[Prénom]:[Prénom]]=V22)*(TableauDatas[[Date]:[Date]]=$W$1)*(TableauDatas[[Perf]:[Perf]])))</f>
        <v/>
      </c>
      <c r="X22" s="86" t="str" cm="1">
        <f t="array" ref="X22">IF(SUMPRODUCT((TableauDatas[[Test]:[Test]]=$X$2)*(TableauDatas[[Prénom]:[Prénom]]=V22)*(TableauDatas[[Date]:[Date]]=$X$1)*(TableauDatas[[Perf]:[Perf]]))=0,"",SUMPRODUCT((TableauDatas[[Test]:[Test]]=$X$2)*(TableauDatas[[Prénom]:[Prénom]]=V22)*(TableauDatas[[Date]:[Date]]=$X$1)*(TableauDatas[[Perf]:[Perf]])))</f>
        <v/>
      </c>
      <c r="Y22" s="86" t="str" cm="1">
        <f t="array" ref="Y22">IF(SUMPRODUCT((TableauDatas[[Test]:[Test]]=$Y$2)*(TableauDatas[[Prénom]:[Prénom]]=V22)*(TableauDatas[[Date]:[Date]]=$Y$1)*(TableauDatas[[Perf]:[Perf]]))=0,"",SUMPRODUCT((TableauDatas[[Test]:[Test]]=$Y$2)*(TableauDatas[[Prénom]:[Prénom]]=V22)*(TableauDatas[[Date]:[Date]]=$Y$1)*(TableauDatas[[Perf]:[Perf]])))</f>
        <v/>
      </c>
      <c r="Z22" s="86" t="str" cm="1">
        <f t="array" ref="Z22">IF(SUMPRODUCT((TableauDatas[[Test]:[Test]]=$Z$2)*(TableauDatas[[Prénom]:[Prénom]]=V22)*(TableauDatas[[Date]:[Date]]=$Z$1)*(TableauDatas[[Perf]:[Perf]]))=0,"",SUMPRODUCT((TableauDatas[[Test]:[Test]]=$Z$2)*(TableauDatas[[Prénom]:[Prénom]]=V22)*(TableauDatas[[Date]:[Date]]=$Z$1)*(TableauDatas[[Perf]:[Perf]])))</f>
        <v/>
      </c>
      <c r="AA22" s="86" t="str" cm="1">
        <f t="array" ref="AA22">IF(SUMPRODUCT((TableauDatas[[Test]:[Test]]=$AA$2)*(TableauDatas[[Prénom]:[Prénom]]=V22)*(TableauDatas[[Date]:[Date]]=$AA$1)*(TableauDatas[[Perf]:[Perf]]))=0,"",SUMPRODUCT((TableauDatas[[Test]:[Test]]=$AA$2)*(TableauDatas[[Prénom]:[Prénom]]=V22)*(TableauDatas[[Date]:[Date]]=$AA$1)*(TableauDatas[[Perf]:[Perf]])))</f>
        <v/>
      </c>
      <c r="AB22" s="86" t="str" cm="1">
        <f t="array" ref="AB22">IF(SUMPRODUCT((TableauDatas[[Test]:[Test]]=$AB$2)*(TableauDatas[[Prénom]:[Prénom]]=V22)*(TableauDatas[[Date]:[Date]]=$AB$1)*(TableauDatas[[Perf]:[Perf]]))=0,"",SUMPRODUCT((TableauDatas[[Test]:[Test]]=$AB$2)*(TableauDatas[[Prénom]:[Prénom]]=V22)*(TableauDatas[[Date]:[Date]]=$AB$1)*(TableauDatas[[Perf]:[Perf]])))</f>
        <v/>
      </c>
      <c r="AC22" s="86" t="str" cm="1">
        <f t="array" ref="AC22">IF(SUMPRODUCT((TableauDatas[[Test]:[Test]]=$AC$2)*(TableauDatas[[Prénom]:[Prénom]]=V22)*(TableauDatas[[Date]:[Date]]=$AC$1)*(TableauDatas[[Perf]:[Perf]]))=0,"",SUMPRODUCT((TableauDatas[[Test]:[Test]]=$AC$2)*(TableauDatas[[Prénom]:[Prénom]]=V22)*(TableauDatas[[Date]:[Date]]=$AC$1)*(TableauDatas[[Perf]:[Perf]])))</f>
        <v/>
      </c>
      <c r="AD22" s="86" t="str" cm="1">
        <f t="array" ref="AD22">IF(SUMPRODUCT((TableauDatas[[Test]:[Test]]=$AD$2)*(TableauDatas[[Prénom]:[Prénom]]=V22)*(TableauDatas[[Date]:[Date]]=$AD$1)*(TableauDatas[[Perf]:[Perf]]))=0,"",SUMPRODUCT((TableauDatas[[Test]:[Test]]=$AD$2)*(TableauDatas[[Prénom]:[Prénom]]=V22)*(TableauDatas[[Date]:[Date]]=$AD$1)*(TableauDatas[[Perf]:[Perf]])))</f>
        <v/>
      </c>
      <c r="AE22" s="86" t="str" cm="1">
        <f t="array" ref="AE22">IF(SUMPRODUCT((TableauDatas[[Test]:[Test]]=$AE$2)*(TableauDatas[[Prénom]:[Prénom]]=V22)*(TableauDatas[[Date]:[Date]]=$AE$1)*(TableauDatas[[Perf]:[Perf]]))=0,"",SUMPRODUCT((TableauDatas[[Test]:[Test]]=$AE$2)*(TableauDatas[[Prénom]:[Prénom]]=V22)*(TableauDatas[[Date]:[Date]]=$AE$1)*(TableauDatas[[Perf]:[Perf]])))</f>
        <v/>
      </c>
      <c r="AF22" s="86" t="str" cm="1">
        <f t="array" ref="AF22">IF(SUMPRODUCT((TableauDatas[[Test]:[Test]]=$AF$2)*(TableauDatas[[Prénom]:[Prénom]]=V22)*(TableauDatas[[Date]:[Date]]=$AF$1)*(TableauDatas[[Perf]:[Perf]]))=0,"",SUMPRODUCT((TableauDatas[[Test]:[Test]]=$AF$2)*(TableauDatas[[Prénom]:[Prénom]]=V22)*(TableauDatas[[Date]:[Date]]=$AF$1)*(TableauDatas[[Perf]:[Perf]])))</f>
        <v/>
      </c>
      <c r="AG22" s="86" t="str" cm="1">
        <f t="array" ref="AG22">IF(SUMPRODUCT((TableauDatas[[Test]:[Test]]=$AG$2)*(TableauDatas[[Prénom]:[Prénom]]=V22)*(TableauDatas[[Date]:[Date]]=$AG$1)*(TableauDatas[[Perf]:[Perf]]))=0,"",SUMPRODUCT((TableauDatas[[Test]:[Test]]=$AG$2)*(TableauDatas[[Prénom]:[Prénom]]=V22)*(TableauDatas[[Date]:[Date]]=$AG$1)*(TableauDatas[[Perf]:[Perf]])))</f>
        <v/>
      </c>
      <c r="AH22" s="86" t="str" cm="1">
        <f t="array" ref="AH22">IF(SUMPRODUCT((TableauDatas[[Test]:[Test]]=$AH$2)*(TableauDatas[[Prénom]:[Prénom]]=V22)*(TableauDatas[[Date]:[Date]]=$AH$1)*(TableauDatas[[Perf]:[Perf]]))=0,"",SUMPRODUCT((TableauDatas[[Test]:[Test]]=$AH$2)*(TableauDatas[[Prénom]:[Prénom]]=V22)*(TableauDatas[[Date]:[Date]]=$AH$1)*(TableauDatas[[Perf]:[Perf]])))</f>
        <v/>
      </c>
      <c r="AI22" s="86" t="str" cm="1">
        <f t="array" ref="AI22">IF(SUMPRODUCT((TableauDatas[[Test]:[Test]]=$AI$2)*(TableauDatas[[Prénom]:[Prénom]]=V22)*(TableauDatas[[Date]:[Date]]=$AI$1)*(TableauDatas[[Perf]:[Perf]]))=0,"",SUMPRODUCT((TableauDatas[[Test]:[Test]]=$AI$2)*(TableauDatas[[Prénom]:[Prénom]]=V22)*(TableauDatas[[Date]:[Date]]=$AI$1)*(TableauDatas[[Perf]:[Perf]])))</f>
        <v/>
      </c>
      <c r="AJ22" s="86" t="str" cm="1">
        <f t="array" ref="AJ22">IF(SUMPRODUCT((TableauDatas[[Test]:[Test]]=$AJ$2)*(TableauDatas[[Prénom]:[Prénom]]=V22)*(TableauDatas[[Date]:[Date]]=$AJ$1)*(TableauDatas[[Perf]:[Perf]]))=0,"",SUMPRODUCT((TableauDatas[[Test]:[Test]]=$AJ$2)*(TableauDatas[[Prénom]:[Prénom]]=V22)*(TableauDatas[[Date]:[Date]]=$AJ$1)*(TableauDatas[[Perf]:[Perf]])))</f>
        <v/>
      </c>
      <c r="AK22" s="87" t="str" cm="1">
        <f t="array" ref="AK22">IF(SUMPRODUCT((TableauDatas[[Test]:[Test]]=$AK$2)*(TableauDatas[[Prénom]:[Prénom]]=V22)*(TableauDatas[[Date]:[Date]]=$AK$1)*(TableauDatas[[Perf]:[Perf]]))=0,"",SUMPRODUCT((TableauDatas[[Test]:[Test]]=$AK$2)*(TableauDatas[[Prénom]:[Prénom]]=V22)*(TableauDatas[[Date]:[Date]]=$AK$1)*(TableauDatas[[Perf]:[Perf]])))</f>
        <v/>
      </c>
      <c r="AL22" s="18"/>
      <c r="AM22" s="117" t="str" cm="1">
        <f t="array" ref="AM22">IF(SUMPRODUCT((TableauDatas[[Test]:[Test]]=$AM$2)*(TableauDatas[[Prénom]:[Prénom]]=V22)*(TableauDatas[[Date]:[Date]]=$AM$1)*(TableauDatas[[Perf]:[Perf]]))=0,"",SUMPRODUCT((TableauDatas[[Test]:[Test]]=$AM$2)*(TableauDatas[[Prénom]:[Prénom]]=V22)*(TableauDatas[[Date]:[Date]]=$AM$1)*(TableauDatas[[Perf]:[Perf]])))</f>
        <v/>
      </c>
      <c r="AN22" s="120" t="str" cm="1">
        <f t="array" ref="AN22">IF(SUMPRODUCT((TableauDatas[[Test]:[Test]]=$AM$2)*(TableauDatas[[Prénom]:[Prénom]]=V22)*(TableauDatas[[Date]:[Date]]=$AN$1)*(TableauDatas[[Perf]:[Perf]]))=0,"",SUMPRODUCT((TableauDatas[[Test]:[Test]]=$AM$2)*(TableauDatas[[Prénom]:[Prénom]]=V22)*(TableauDatas[[Date]:[Date]]=$AN$1)*(TableauDatas[[Perf]:[Perf]])))</f>
        <v/>
      </c>
      <c r="AO22" s="118" t="str" cm="1">
        <f t="array" ref="AO22">IF(SUMPRODUCT((TableauDatas[[Test]:[Test]]=$AO$2)*(TableauDatas[[Prénom]:[Prénom]]=V22)*(TableauDatas[[Date]:[Date]]=$AO$1)*(TableauDatas[[Perf]:[Perf]]))=0,"",SUMPRODUCT((TableauDatas[[Test]:[Test]]=$AO$2)*(TableauDatas[[Prénom]:[Prénom]]=V22)*(TableauDatas[[Date]:[Date]]=$AO$1)*(TableauDatas[[Perf]:[Perf]])))</f>
        <v/>
      </c>
      <c r="AP22" s="118" t="str" cm="1">
        <f t="array" ref="AP22">IF(SUMPRODUCT((TableauDatas[[Test]:[Test]]=$AO$2)*(TableauDatas[[Prénom]:[Prénom]]=V22)*(TableauDatas[[Date]:[Date]]=$AP$1)*(TableauDatas[[Perf]:[Perf]]))=0,"",SUMPRODUCT((TableauDatas[[Test]:[Test]]=$AO$2)*(TableauDatas[[Prénom]:[Prénom]]=V22)*(TableauDatas[[Date]:[Date]]=$AP$1)*(TableauDatas[[Perf]:[Perf]])))</f>
        <v/>
      </c>
      <c r="AQ22" s="118" t="str" cm="1">
        <f t="array" ref="AQ22">IF(SUMPRODUCT((TableauDatas[[Test]:[Test]]=$AQ$2)*(TableauDatas[[Prénom]:[Prénom]]=V22)*(TableauDatas[[Date]:[Date]]=$AQ$1)*(TableauDatas[[Perf]:[Perf]]))=0,"",SUMPRODUCT((TableauDatas[[Test]:[Test]]=$AQ$2)*(TableauDatas[[Prénom]:[Prénom]]=V22)*(TableauDatas[[Date]:[Date]]=$AQ$1)*(TableauDatas[[Perf]:[Perf]])))</f>
        <v/>
      </c>
      <c r="AR22" s="118" t="str" cm="1">
        <f t="array" ref="AR22">IF(SUMPRODUCT((TableauDatas[[Test]:[Test]]=$AQ$2)*(TableauDatas[[Prénom]:[Prénom]]=V22)*(TableauDatas[[Date]:[Date]]=$AR$1)*(TableauDatas[[Perf]:[Perf]]))=0,"",SUMPRODUCT((TableauDatas[[Test]:[Test]]=$AQ$2)*(TableauDatas[[Prénom]:[Prénom]]=V22)*(TableauDatas[[Date]:[Date]]=$AR$1)*(TableauDatas[[Perf]:[Perf]])))</f>
        <v/>
      </c>
      <c r="AS22" s="118" t="str" cm="1">
        <f t="array" ref="AS22">IF(SUMPRODUCT((TableauDatas[[Test]:[Test]]=$AS$2)*(TableauDatas[[Prénom]:[Prénom]]=V22)*(TableauDatas[[Date]:[Date]]=$AS$1)*(TableauDatas[[Perf]:[Perf]]))=0,"",SUMPRODUCT((TableauDatas[[Test]:[Test]]=$AS$2)*(TableauDatas[[Prénom]:[Prénom]]=V22)*(TableauDatas[[Date]:[Date]]=$AS$1)*(TableauDatas[[Perf]:[Perf]])))</f>
        <v/>
      </c>
      <c r="AT22" s="118" t="str" cm="1">
        <f t="array" ref="AT22">IF(SUMPRODUCT((TableauDatas[[Test]:[Test]]=$AS$2)*(TableauDatas[[Prénom]:[Prénom]]=V22)*(TableauDatas[[Date]:[Date]]=$AT$1)*(TableauDatas[[Perf]:[Perf]]))=0,"",SUMPRODUCT((TableauDatas[[Test]:[Test]]=$AS$2)*(TableauDatas[[Prénom]:[Prénom]]=V22)*(TableauDatas[[Date]:[Date]]=$AT$1)*(TableauDatas[[Perf]:[Perf]])))</f>
        <v/>
      </c>
      <c r="AU22" s="118" t="str" cm="1">
        <f t="array" ref="AU22">IF(SUMPRODUCT((TableauDatas[[Test]:[Test]]=$AU$2)*(TableauDatas[[Prénom]:[Prénom]]=V22)*(TableauDatas[[Date]:[Date]]=$AU$1)*(TableauDatas[[Perf]:[Perf]]))=0,"",SUMPRODUCT((TableauDatas[[Test]:[Test]]=$AU$2)*(TableauDatas[[Prénom]:[Prénom]]=V22)*(TableauDatas[[Date]:[Date]]=$AU$1)*(TableauDatas[[Perf]:[Perf]])))</f>
        <v/>
      </c>
      <c r="AV22" s="118" t="str" cm="1">
        <f t="array" ref="AV22">IF(SUMPRODUCT((TableauDatas[[Test]:[Test]]=$AU$2)*(TableauDatas[[Prénom]:[Prénom]]=V22)*(TableauDatas[[Date]:[Date]]=$AV$1)*(TableauDatas[[Perf]:[Perf]]))=0,"",SUMPRODUCT((TableauDatas[[Test]:[Test]]=$AU$2)*(TableauDatas[[Prénom]:[Prénom]]=V22)*(TableauDatas[[Date]:[Date]]=$AV$1)*(TableauDatas[[Perf]:[Perf]])))</f>
        <v/>
      </c>
      <c r="AW22" s="118" t="str" cm="1">
        <f t="array" ref="AW22">IF(SUMPRODUCT((TableauDatas[[Test]:[Test]]=$AW$2)*(TableauDatas[[Prénom]:[Prénom]]=V22)*(TableauDatas[[Date]:[Date]]=$AW$1)*(TableauDatas[[Perf]:[Perf]]))=0,"",SUMPRODUCT((TableauDatas[[Test]:[Test]]=$AW$2)*(TableauDatas[[Prénom]:[Prénom]]=V22)*(TableauDatas[[Date]:[Date]]=$AW$1)*(TableauDatas[[Perf]:[Perf]])))</f>
        <v/>
      </c>
      <c r="AX22" s="118" t="str" cm="1">
        <f t="array" ref="AX22">IF(SUMPRODUCT((TableauDatas[[Test]:[Test]]=$AW$2)*(TableauDatas[[Prénom]:[Prénom]]=V22)*(TableauDatas[[Date]:[Date]]=$AX$1)*(TableauDatas[[Perf]:[Perf]]))=0,"",SUMPRODUCT((TableauDatas[[Test]:[Test]]=$AW$2)*(TableauDatas[[Prénom]:[Prénom]]=V22)*(TableauDatas[[Date]:[Date]]=$AX$1)*(TableauDatas[[Perf]:[Perf]])))</f>
        <v/>
      </c>
      <c r="AY22" s="118" t="str" cm="1">
        <f t="array" ref="AY22">IF(SUMPRODUCT((TableauDatas[[Test]:[Test]]=$AY$2)*(TableauDatas[[Prénom]:[Prénom]]=V22)*(TableauDatas[[Date]:[Date]]=$AY$1)*(TableauDatas[[Perf]:[Perf]]))=0,"",SUMPRODUCT((TableauDatas[[Test]:[Test]]=$AY$2)*(TableauDatas[[Prénom]:[Prénom]]=V22)*(TableauDatas[[Date]:[Date]]=$AY$1)*(TableauDatas[[Perf]:[Perf]])))</f>
        <v/>
      </c>
      <c r="AZ22" s="118" t="str" cm="1">
        <f t="array" ref="AZ22">IF(SUMPRODUCT((TableauDatas[[Test]:[Test]]=$AY$2)*(TableauDatas[[Prénom]:[Prénom]]=V22)*(TableauDatas[[Date]:[Date]]=$AZ$1)*(TableauDatas[[Perf]:[Perf]]))=0,"",SUMPRODUCT((TableauDatas[[Test]:[Test]]=$AY$2)*(TableauDatas[[Prénom]:[Prénom]]=V22)*(TableauDatas[[Date]:[Date]]=$AZ$1)*(TableauDatas[[Perf]:[Perf]])))</f>
        <v/>
      </c>
      <c r="BA22" s="118" t="str" cm="1">
        <f t="array" ref="BA22">IF(SUMPRODUCT((TableauDatas[[Test]:[Test]]=$BA$2)*(TableauDatas[[Prénom]:[Prénom]]=V22)*(TableauDatas[[Date]:[Date]]=$BA$1)*(TableauDatas[[Perf]:[Perf]]))=0,"",SUMPRODUCT((TableauDatas[[Test]:[Test]]=$BA$2)*(TableauDatas[[Prénom]:[Prénom]]=V22)*(TableauDatas[[Date]:[Date]]=$BA$1)*(TableauDatas[[Perf]:[Perf]])))</f>
        <v/>
      </c>
      <c r="BB22" s="118" t="str" cm="1">
        <f t="array" ref="BB22">IF(SUMPRODUCT((TableauDatas[[Test]:[Test]]=$BA$2)*(TableauDatas[[Prénom]:[Prénom]]=V22)*(TableauDatas[[Date]:[Date]]=$BB$1)*(TableauDatas[[Perf]:[Perf]]))=0,"",SUMPRODUCT((TableauDatas[[Test]:[Test]]=$BA$2)*(TableauDatas[[Prénom]:[Prénom]]=V22)*(TableauDatas[[Date]:[Date]]=$BB$1)*(TableauDatas[[Perf]:[Perf]])))</f>
        <v/>
      </c>
      <c r="BC22" s="118" t="str" cm="1">
        <f t="array" ref="BC22">IF(SUMPRODUCT((TableauDatas[[Test]:[Test]]=$BC$2)*(TableauDatas[[Prénom]:[Prénom]]=V22)*(TableauDatas[[Date]:[Date]]=$BC$1)*(TableauDatas[[Perf]:[Perf]]))=0,"",SUMPRODUCT((TableauDatas[[Test]:[Test]]=$BC$2)*(TableauDatas[[Prénom]:[Prénom]]=V22)*(TableauDatas[[Date]:[Date]]=$BC$1)*(TableauDatas[[Perf]:[Perf]])))</f>
        <v/>
      </c>
      <c r="BD22" s="121" t="str" cm="1">
        <f t="array" ref="BD22">IF(SUMPRODUCT((TableauDatas[[Test]:[Test]]=$BC$2)*(TableauDatas[[Prénom]:[Prénom]]=V22)*(TableauDatas[[Date]:[Date]]=$BD$1)*(TableauDatas[[Perf]:[Perf]]))=0,"",SUMPRODUCT((TableauDatas[[Test]:[Test]]=$BC$2)*(TableauDatas[[Prénom]:[Prénom]]=V22)*(TableauDatas[[Date]:[Date]]=$BD$1)*(TableauDatas[[Perf]:[Perf]])))</f>
        <v/>
      </c>
      <c r="BE22" s="118" t="str" cm="1">
        <f t="array" ref="BE22">IF(SUMPRODUCT((TableauDatas[[Test]:[Test]]=$BE$2)*(TableauDatas[[Prénom]:[Prénom]]=V22)*(TableauDatas[[Date]:[Date]]=$BE$1)*(TableauDatas[[Perf]:[Perf]]))=0,"",SUMPRODUCT((TableauDatas[[Test]:[Test]]=$BE$2)*(TableauDatas[[Prénom]:[Prénom]]=V22)*(TableauDatas[[Date]:[Date]]=$BE$1)*(TableauDatas[[Perf]:[Perf]])))</f>
        <v/>
      </c>
      <c r="BF22" s="118" t="str" cm="1">
        <f t="array" ref="BF22">IF(SUMPRODUCT((TableauDatas[[Test]:[Test]]=$BE$2)*(TableauDatas[[Prénom]:[Prénom]]=V22)*(TableauDatas[[Date]:[Date]]=$BF$1)*(TableauDatas[[Perf]:[Perf]]))=0,"",SUMPRODUCT((TableauDatas[[Test]:[Test]]=$BE$2)*(TableauDatas[[Prénom]:[Prénom]]=V22)*(TableauDatas[[Date]:[Date]]=$BF$1)*(TableauDatas[[Perf]:[Perf]])))</f>
        <v/>
      </c>
      <c r="BG22" s="118" t="str" cm="1">
        <f t="array" ref="BG22">IF(SUMPRODUCT((TableauDatas[[Test]:[Test]]=$BG$2)*(TableauDatas[[Prénom]:[Prénom]]=V22)*(TableauDatas[[Date]:[Date]]=$BG$1)*(TableauDatas[[Perf]:[Perf]]))=0,"",SUMPRODUCT((TableauDatas[[Test]:[Test]]=$BG$2)*(TableauDatas[[Prénom]:[Prénom]]=V22)*(TableauDatas[[Date]:[Date]]=$BG$1)*(TableauDatas[[Perf]:[Perf]])))</f>
        <v/>
      </c>
      <c r="BH22" s="118" t="str" cm="1">
        <f t="array" ref="BH22">IF(SUMPRODUCT((TableauDatas[[Test]:[Test]]=$BG$2)*(TableauDatas[[Prénom]:[Prénom]]=V22)*(TableauDatas[[Date]:[Date]]=$BH$1)*(TableauDatas[[Perf]:[Perf]]))=0,"",SUMPRODUCT((TableauDatas[[Test]:[Test]]=$BG$2)*(TableauDatas[[Prénom]:[Prénom]]=V22)*(TableauDatas[[Date]:[Date]]=$BH$1)*(TableauDatas[[Perf]:[Perf]])))</f>
        <v/>
      </c>
      <c r="BI22" s="118" t="str" cm="1">
        <f t="array" ref="BI22">IF(SUMPRODUCT((TableauDatas[[Test]:[Test]]=$BI$2)*(TableauDatas[[Prénom]:[Prénom]]=V22)*(TableauDatas[[Date]:[Date]]=$BI$1)*(TableauDatas[[Perf]:[Perf]]))=0,"",SUMPRODUCT((TableauDatas[[Test]:[Test]]=$BI$2)*(TableauDatas[[Prénom]:[Prénom]]=V22)*(TableauDatas[[Date]:[Date]]=$BI$1)*(TableauDatas[[Perf]:[Perf]])))</f>
        <v/>
      </c>
      <c r="BJ22" s="118" t="str" cm="1">
        <f t="array" ref="BJ22">IF(SUMPRODUCT((TableauDatas[[Test]:[Test]]=$BI$2)*(TableauDatas[[Prénom]:[Prénom]]=V22)*(TableauDatas[[Date]:[Date]]=$BJ$1)*(TableauDatas[[Perf]:[Perf]]))=0,"",SUMPRODUCT((TableauDatas[[Test]:[Test]]=$BI$2)*(TableauDatas[[Prénom]:[Prénom]]=V22)*(TableauDatas[[Date]:[Date]]=$BJ$1)*(TableauDatas[[Perf]:[Perf]])))</f>
        <v/>
      </c>
      <c r="BK22" s="118" t="str" cm="1">
        <f t="array" ref="BK22">IF(SUMPRODUCT((TableauDatas[[Test]:[Test]]=$BK$2)*(TableauDatas[[Prénom]:[Prénom]]=V22)*(TableauDatas[[Date]:[Date]]=$BK$1)*(TableauDatas[[Perf]:[Perf]]))=0,"",SUMPRODUCT((TableauDatas[[Test]:[Test]]=$BK$2)*(TableauDatas[[Prénom]:[Prénom]]=V22)*(TableauDatas[[Date]:[Date]]=$BK$1)*(TableauDatas[[Perf]:[Perf]])))</f>
        <v/>
      </c>
      <c r="BL22" s="118" t="str" cm="1">
        <f t="array" ref="BL22">IF(SUMPRODUCT((TableauDatas[[Test]:[Test]]=$BK$2)*(TableauDatas[[Prénom]:[Prénom]]=V22)*(TableauDatas[[Date]:[Date]]=$BL$1)*(TableauDatas[[Perf]:[Perf]]))=0,"",SUMPRODUCT((TableauDatas[[Test]:[Test]]=$BK$2)*(TableauDatas[[Prénom]:[Prénom]]=V22)*(TableauDatas[[Date]:[Date]]=$BL$1)*(TableauDatas[[Perf]:[Perf]])))</f>
        <v/>
      </c>
      <c r="BM22" s="118" t="str" cm="1">
        <f t="array" ref="BM22">IF(SUMPRODUCT((TableauDatas[[Test]:[Test]]=$BM$2)*(TableauDatas[[Prénom]:[Prénom]]=V22)*(TableauDatas[[Date]:[Date]]=$BM$1)*(TableauDatas[[Perf]:[Perf]]))=0,"",SUMPRODUCT((TableauDatas[[Test]:[Test]]=$BM$2)*(TableauDatas[[Prénom]:[Prénom]]=V22)*(TableauDatas[[Date]:[Date]]=$BM$1)*(TableauDatas[[Perf]:[Perf]])))</f>
        <v/>
      </c>
      <c r="BN22" s="118" t="str" cm="1">
        <f t="array" ref="BN22">IF(SUMPRODUCT((TableauDatas[[Test]:[Test]]=$BM$2)*(TableauDatas[[Prénom]:[Prénom]]=V22)*(TableauDatas[[Date]:[Date]]=$BN$1)*(TableauDatas[[Perf]:[Perf]]))=0,"",SUMPRODUCT((TableauDatas[[Test]:[Test]]=$BM$2)*(TableauDatas[[Prénom]:[Prénom]]=V22)*(TableauDatas[[Date]:[Date]]=$BN$1)*(TableauDatas[[Perf]:[Perf]])))</f>
        <v/>
      </c>
      <c r="BO22" s="118" t="str" cm="1">
        <f t="array" ref="BO22">IF(SUMPRODUCT((TableauDatas[[Test]:[Test]]=$BO$2)*(TableauDatas[[Prénom]:[Prénom]]=V22)*(TableauDatas[[Date]:[Date]]=$BO$1)*(TableauDatas[[Perf]:[Perf]]))=0,"",SUMPRODUCT((TableauDatas[[Test]:[Test]]=$BO$2)*(TableauDatas[[Prénom]:[Prénom]]=V22)*(TableauDatas[[Date]:[Date]]=$BO$1)*(TableauDatas[[Perf]:[Perf]])))</f>
        <v/>
      </c>
      <c r="BP22" s="119" t="str" cm="1">
        <f t="array" ref="BP22">IF(SUMPRODUCT((TableauDatas[[Test]:[Test]]=$BO$2)*(TableauDatas[[Prénom]:[Prénom]]=V22)*(TableauDatas[[Date]:[Date]]=$BP$1)*(TableauDatas[[Perf]:[Perf]]))=0,"",SUMPRODUCT((TableauDatas[[Test]:[Test]]=$BO$2)*(TableauDatas[[Prénom]:[Prénom]]=V22)*(TableauDatas[[Date]:[Date]]=$BP$1)*(TableauDatas[[Perf]:[Perf]])))</f>
        <v/>
      </c>
      <c r="BQ22" s="18"/>
      <c r="BR22" s="18"/>
      <c r="BS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DA22" s="97"/>
      <c r="DB22" s="97"/>
      <c r="DC22" s="97"/>
      <c r="DD22" s="97"/>
      <c r="DE22" s="97"/>
      <c r="DF22" s="97"/>
      <c r="DG22" s="97"/>
      <c r="DH22" s="97"/>
      <c r="DI22" s="97"/>
      <c r="DJ22" s="97"/>
      <c r="DK22" s="97"/>
      <c r="DL22" s="97"/>
      <c r="DM22" s="97"/>
      <c r="DN22" s="97"/>
      <c r="DO22" s="97"/>
      <c r="DQ22" s="97"/>
      <c r="DR22" s="97"/>
      <c r="DS22" s="97"/>
      <c r="DT22" s="97"/>
      <c r="DU22" s="97"/>
      <c r="DV22" s="97"/>
      <c r="DW22" s="97"/>
      <c r="DX22" s="97"/>
      <c r="DY22" s="97"/>
      <c r="DZ22" s="97"/>
      <c r="EA22" s="97"/>
      <c r="EB22" s="97"/>
      <c r="EC22" s="97"/>
      <c r="ED22" s="97"/>
      <c r="EE22" s="97"/>
      <c r="EG22" s="97"/>
      <c r="EH22" s="97"/>
      <c r="EI22" s="97"/>
      <c r="EJ22" s="97"/>
      <c r="EK22" s="97"/>
      <c r="EL22" s="97"/>
      <c r="EM22" s="97"/>
      <c r="EN22" s="97"/>
      <c r="EO22" s="97"/>
      <c r="EP22" s="97"/>
      <c r="EQ22" s="97"/>
      <c r="ER22" s="97"/>
      <c r="ES22" s="97"/>
      <c r="ET22" s="97"/>
      <c r="EU22" s="97"/>
      <c r="EW22" s="97"/>
      <c r="EX22" s="97"/>
      <c r="EY22" s="97"/>
      <c r="EZ22" s="97"/>
      <c r="FA22" s="97"/>
      <c r="FB22" s="97"/>
      <c r="FC22" s="97"/>
      <c r="FD22" s="97"/>
      <c r="FE22" s="97"/>
      <c r="FF22" s="97"/>
      <c r="FG22" s="97"/>
      <c r="FH22" s="97"/>
      <c r="FI22" s="97"/>
      <c r="FJ22" s="97"/>
      <c r="FK22" s="97"/>
      <c r="FM22" s="97"/>
      <c r="FN22" s="97"/>
      <c r="FO22" s="97"/>
      <c r="FP22" s="97"/>
      <c r="FQ22" s="97"/>
      <c r="FR22" s="97"/>
      <c r="FS22" s="97"/>
      <c r="FT22" s="97"/>
      <c r="FU22" s="97"/>
      <c r="FV22" s="97"/>
      <c r="FW22" s="97"/>
      <c r="FX22" s="97"/>
      <c r="FY22" s="97"/>
      <c r="FZ22" s="97"/>
      <c r="GA22" s="97"/>
      <c r="GC22" s="97"/>
      <c r="GD22" s="97"/>
      <c r="GE22" s="97"/>
      <c r="GF22" s="97"/>
      <c r="GG22" s="97"/>
      <c r="GH22" s="97"/>
      <c r="GI22" s="97"/>
      <c r="GJ22" s="97"/>
      <c r="GK22" s="97"/>
      <c r="GL22" s="97"/>
      <c r="GM22" s="97"/>
      <c r="GN22" s="97"/>
      <c r="GO22" s="97"/>
      <c r="GP22" s="97"/>
      <c r="GQ22" s="97"/>
      <c r="GS22" s="97"/>
      <c r="GT22" s="97"/>
      <c r="GU22" s="97"/>
      <c r="GV22" s="97"/>
      <c r="GW22" s="97"/>
      <c r="GX22" s="97"/>
      <c r="GY22" s="97"/>
      <c r="GZ22" s="97"/>
      <c r="HA22" s="97"/>
      <c r="HB22" s="97"/>
      <c r="HC22" s="97"/>
      <c r="HD22" s="97"/>
      <c r="HE22" s="97"/>
      <c r="HF22" s="97"/>
      <c r="HG22" s="97"/>
      <c r="HI22" s="97"/>
      <c r="HJ22" s="97"/>
      <c r="HK22" s="97"/>
      <c r="HL22" s="97"/>
      <c r="HM22" s="97"/>
      <c r="HN22" s="97"/>
      <c r="HO22" s="97"/>
      <c r="HP22" s="97"/>
      <c r="HQ22" s="97"/>
      <c r="HR22" s="97"/>
      <c r="HS22" s="97"/>
      <c r="HT22" s="97"/>
      <c r="HU22" s="97"/>
      <c r="HV22" s="97"/>
      <c r="HW22" s="97"/>
      <c r="HY22" s="97"/>
      <c r="HZ22" s="97"/>
      <c r="IA22" s="97"/>
      <c r="IB22" s="97"/>
      <c r="IC22" s="97"/>
      <c r="ID22" s="97"/>
      <c r="IE22" s="97"/>
      <c r="IF22" s="97"/>
      <c r="IG22" s="97"/>
      <c r="IH22" s="97"/>
      <c r="II22" s="97"/>
      <c r="IJ22" s="97"/>
      <c r="IK22" s="97"/>
      <c r="IL22" s="97"/>
      <c r="IM22" s="97"/>
      <c r="IO22" s="97"/>
      <c r="IP22" s="97"/>
      <c r="IQ22" s="97"/>
      <c r="IR22" s="97"/>
      <c r="IS22" s="97"/>
      <c r="IT22" s="97"/>
      <c r="IU22" s="24"/>
      <c r="IV22" s="24"/>
      <c r="IW22" s="24"/>
      <c r="IX22" s="24"/>
      <c r="IY22" s="24"/>
      <c r="IZ22" s="24"/>
      <c r="JA22" s="24"/>
      <c r="JB22" s="24"/>
      <c r="JC22" s="24"/>
    </row>
    <row r="23" spans="1:263" x14ac:dyDescent="0.25">
      <c r="A23" s="155"/>
      <c r="B23" s="21"/>
      <c r="C23" s="56" t="str" cm="1">
        <f t="array" ref="C23">IF(SUMPRODUCT((TableauDatas[[Prénom]:[Prénom]]=$C$4)*(TableauDatas[[Date]:[Date]]=B23)*(TableauDatas[[Test]:[Test]]=A23)*(TableauDatas[[Perf]:[Perf]]))=0,"",SUMPRODUCT((TableauDatas[[Prénom]:[Prénom]]=$C$4)*(TableauDatas[[Date]:[Date]]=B23)*(TableauDatas[[Test]:[Test]]=A23)*(TableauDatas[[Perf]:[Perf]])))</f>
        <v/>
      </c>
      <c r="D23" s="32" t="str">
        <f>IFERROR(AH30,"")</f>
        <v/>
      </c>
      <c r="E23" s="30" t="str">
        <f>IFERROR(AH31,"")</f>
        <v/>
      </c>
      <c r="F23" s="33" t="str">
        <f>IFERROR(AH32,"")</f>
        <v/>
      </c>
      <c r="G23" s="163" t="str">
        <f>IFERROR(AH33,"")</f>
        <v/>
      </c>
      <c r="H23" s="40" t="str">
        <f>IFERROR(AH28,"")</f>
        <v/>
      </c>
      <c r="I23" s="27"/>
      <c r="J23" s="28"/>
      <c r="N23" s="44"/>
      <c r="O23" s="105"/>
      <c r="P23" s="106"/>
      <c r="Q23" s="106"/>
      <c r="R23" s="106"/>
      <c r="S23" s="107"/>
      <c r="T23" s="109"/>
      <c r="V23" s="89">
        <f t="shared" si="0"/>
        <v>0</v>
      </c>
      <c r="W23" s="86" t="str" cm="1">
        <f t="array" ref="W23">IF(SUMPRODUCT((TableauDatas[[Test]:[Test]]=$W$2)*(TableauDatas[[Prénom]:[Prénom]]=V23)*(TableauDatas[[Date]:[Date]]=$W$1)*(TableauDatas[[Perf]:[Perf]]))=0,"",SUMPRODUCT((TableauDatas[[Test]:[Test]]=$W$2)*(TableauDatas[[Prénom]:[Prénom]]=V23)*(TableauDatas[[Date]:[Date]]=$W$1)*(TableauDatas[[Perf]:[Perf]])))</f>
        <v/>
      </c>
      <c r="X23" s="86" t="str" cm="1">
        <f t="array" ref="X23">IF(SUMPRODUCT((TableauDatas[[Test]:[Test]]=$X$2)*(TableauDatas[[Prénom]:[Prénom]]=V23)*(TableauDatas[[Date]:[Date]]=$X$1)*(TableauDatas[[Perf]:[Perf]]))=0,"",SUMPRODUCT((TableauDatas[[Test]:[Test]]=$X$2)*(TableauDatas[[Prénom]:[Prénom]]=V23)*(TableauDatas[[Date]:[Date]]=$X$1)*(TableauDatas[[Perf]:[Perf]])))</f>
        <v/>
      </c>
      <c r="Y23" s="86" t="str" cm="1">
        <f t="array" ref="Y23">IF(SUMPRODUCT((TableauDatas[[Test]:[Test]]=$Y$2)*(TableauDatas[[Prénom]:[Prénom]]=V23)*(TableauDatas[[Date]:[Date]]=$Y$1)*(TableauDatas[[Perf]:[Perf]]))=0,"",SUMPRODUCT((TableauDatas[[Test]:[Test]]=$Y$2)*(TableauDatas[[Prénom]:[Prénom]]=V23)*(TableauDatas[[Date]:[Date]]=$Y$1)*(TableauDatas[[Perf]:[Perf]])))</f>
        <v/>
      </c>
      <c r="Z23" s="86" t="str" cm="1">
        <f t="array" ref="Z23">IF(SUMPRODUCT((TableauDatas[[Test]:[Test]]=$Z$2)*(TableauDatas[[Prénom]:[Prénom]]=V23)*(TableauDatas[[Date]:[Date]]=$Z$1)*(TableauDatas[[Perf]:[Perf]]))=0,"",SUMPRODUCT((TableauDatas[[Test]:[Test]]=$Z$2)*(TableauDatas[[Prénom]:[Prénom]]=V23)*(TableauDatas[[Date]:[Date]]=$Z$1)*(TableauDatas[[Perf]:[Perf]])))</f>
        <v/>
      </c>
      <c r="AA23" s="86" t="str" cm="1">
        <f t="array" ref="AA23">IF(SUMPRODUCT((TableauDatas[[Test]:[Test]]=$AA$2)*(TableauDatas[[Prénom]:[Prénom]]=V23)*(TableauDatas[[Date]:[Date]]=$AA$1)*(TableauDatas[[Perf]:[Perf]]))=0,"",SUMPRODUCT((TableauDatas[[Test]:[Test]]=$AA$2)*(TableauDatas[[Prénom]:[Prénom]]=V23)*(TableauDatas[[Date]:[Date]]=$AA$1)*(TableauDatas[[Perf]:[Perf]])))</f>
        <v/>
      </c>
      <c r="AB23" s="86" t="str" cm="1">
        <f t="array" ref="AB23">IF(SUMPRODUCT((TableauDatas[[Test]:[Test]]=$AB$2)*(TableauDatas[[Prénom]:[Prénom]]=V23)*(TableauDatas[[Date]:[Date]]=$AB$1)*(TableauDatas[[Perf]:[Perf]]))=0,"",SUMPRODUCT((TableauDatas[[Test]:[Test]]=$AB$2)*(TableauDatas[[Prénom]:[Prénom]]=V23)*(TableauDatas[[Date]:[Date]]=$AB$1)*(TableauDatas[[Perf]:[Perf]])))</f>
        <v/>
      </c>
      <c r="AC23" s="86" t="str" cm="1">
        <f t="array" ref="AC23">IF(SUMPRODUCT((TableauDatas[[Test]:[Test]]=$AC$2)*(TableauDatas[[Prénom]:[Prénom]]=V23)*(TableauDatas[[Date]:[Date]]=$AC$1)*(TableauDatas[[Perf]:[Perf]]))=0,"",SUMPRODUCT((TableauDatas[[Test]:[Test]]=$AC$2)*(TableauDatas[[Prénom]:[Prénom]]=V23)*(TableauDatas[[Date]:[Date]]=$AC$1)*(TableauDatas[[Perf]:[Perf]])))</f>
        <v/>
      </c>
      <c r="AD23" s="86" t="str" cm="1">
        <f t="array" ref="AD23">IF(SUMPRODUCT((TableauDatas[[Test]:[Test]]=$AD$2)*(TableauDatas[[Prénom]:[Prénom]]=V23)*(TableauDatas[[Date]:[Date]]=$AD$1)*(TableauDatas[[Perf]:[Perf]]))=0,"",SUMPRODUCT((TableauDatas[[Test]:[Test]]=$AD$2)*(TableauDatas[[Prénom]:[Prénom]]=V23)*(TableauDatas[[Date]:[Date]]=$AD$1)*(TableauDatas[[Perf]:[Perf]])))</f>
        <v/>
      </c>
      <c r="AE23" s="86" t="str" cm="1">
        <f t="array" ref="AE23">IF(SUMPRODUCT((TableauDatas[[Test]:[Test]]=$AE$2)*(TableauDatas[[Prénom]:[Prénom]]=V23)*(TableauDatas[[Date]:[Date]]=$AE$1)*(TableauDatas[[Perf]:[Perf]]))=0,"",SUMPRODUCT((TableauDatas[[Test]:[Test]]=$AE$2)*(TableauDatas[[Prénom]:[Prénom]]=V23)*(TableauDatas[[Date]:[Date]]=$AE$1)*(TableauDatas[[Perf]:[Perf]])))</f>
        <v/>
      </c>
      <c r="AF23" s="86" t="str" cm="1">
        <f t="array" ref="AF23">IF(SUMPRODUCT((TableauDatas[[Test]:[Test]]=$AF$2)*(TableauDatas[[Prénom]:[Prénom]]=V23)*(TableauDatas[[Date]:[Date]]=$AF$1)*(TableauDatas[[Perf]:[Perf]]))=0,"",SUMPRODUCT((TableauDatas[[Test]:[Test]]=$AF$2)*(TableauDatas[[Prénom]:[Prénom]]=V23)*(TableauDatas[[Date]:[Date]]=$AF$1)*(TableauDatas[[Perf]:[Perf]])))</f>
        <v/>
      </c>
      <c r="AG23" s="86" t="str" cm="1">
        <f t="array" ref="AG23">IF(SUMPRODUCT((TableauDatas[[Test]:[Test]]=$AG$2)*(TableauDatas[[Prénom]:[Prénom]]=V23)*(TableauDatas[[Date]:[Date]]=$AG$1)*(TableauDatas[[Perf]:[Perf]]))=0,"",SUMPRODUCT((TableauDatas[[Test]:[Test]]=$AG$2)*(TableauDatas[[Prénom]:[Prénom]]=V23)*(TableauDatas[[Date]:[Date]]=$AG$1)*(TableauDatas[[Perf]:[Perf]])))</f>
        <v/>
      </c>
      <c r="AH23" s="86" t="str" cm="1">
        <f t="array" ref="AH23">IF(SUMPRODUCT((TableauDatas[[Test]:[Test]]=$AH$2)*(TableauDatas[[Prénom]:[Prénom]]=V23)*(TableauDatas[[Date]:[Date]]=$AH$1)*(TableauDatas[[Perf]:[Perf]]))=0,"",SUMPRODUCT((TableauDatas[[Test]:[Test]]=$AH$2)*(TableauDatas[[Prénom]:[Prénom]]=V23)*(TableauDatas[[Date]:[Date]]=$AH$1)*(TableauDatas[[Perf]:[Perf]])))</f>
        <v/>
      </c>
      <c r="AI23" s="86" t="str" cm="1">
        <f t="array" ref="AI23">IF(SUMPRODUCT((TableauDatas[[Test]:[Test]]=$AI$2)*(TableauDatas[[Prénom]:[Prénom]]=V23)*(TableauDatas[[Date]:[Date]]=$AI$1)*(TableauDatas[[Perf]:[Perf]]))=0,"",SUMPRODUCT((TableauDatas[[Test]:[Test]]=$AI$2)*(TableauDatas[[Prénom]:[Prénom]]=V23)*(TableauDatas[[Date]:[Date]]=$AI$1)*(TableauDatas[[Perf]:[Perf]])))</f>
        <v/>
      </c>
      <c r="AJ23" s="86" t="str" cm="1">
        <f t="array" ref="AJ23">IF(SUMPRODUCT((TableauDatas[[Test]:[Test]]=$AJ$2)*(TableauDatas[[Prénom]:[Prénom]]=V23)*(TableauDatas[[Date]:[Date]]=$AJ$1)*(TableauDatas[[Perf]:[Perf]]))=0,"",SUMPRODUCT((TableauDatas[[Test]:[Test]]=$AJ$2)*(TableauDatas[[Prénom]:[Prénom]]=V23)*(TableauDatas[[Date]:[Date]]=$AJ$1)*(TableauDatas[[Perf]:[Perf]])))</f>
        <v/>
      </c>
      <c r="AK23" s="87" t="str" cm="1">
        <f t="array" ref="AK23">IF(SUMPRODUCT((TableauDatas[[Test]:[Test]]=$AK$2)*(TableauDatas[[Prénom]:[Prénom]]=V23)*(TableauDatas[[Date]:[Date]]=$AK$1)*(TableauDatas[[Perf]:[Perf]]))=0,"",SUMPRODUCT((TableauDatas[[Test]:[Test]]=$AK$2)*(TableauDatas[[Prénom]:[Prénom]]=V23)*(TableauDatas[[Date]:[Date]]=$AK$1)*(TableauDatas[[Perf]:[Perf]])))</f>
        <v/>
      </c>
      <c r="AL23" s="18"/>
      <c r="AM23" s="117" t="str" cm="1">
        <f t="array" ref="AM23">IF(SUMPRODUCT((TableauDatas[[Test]:[Test]]=$AM$2)*(TableauDatas[[Prénom]:[Prénom]]=V23)*(TableauDatas[[Date]:[Date]]=$AM$1)*(TableauDatas[[Perf]:[Perf]]))=0,"",SUMPRODUCT((TableauDatas[[Test]:[Test]]=$AM$2)*(TableauDatas[[Prénom]:[Prénom]]=V23)*(TableauDatas[[Date]:[Date]]=$AM$1)*(TableauDatas[[Perf]:[Perf]])))</f>
        <v/>
      </c>
      <c r="AN23" s="120" t="str" cm="1">
        <f t="array" ref="AN23">IF(SUMPRODUCT((TableauDatas[[Test]:[Test]]=$AM$2)*(TableauDatas[[Prénom]:[Prénom]]=V23)*(TableauDatas[[Date]:[Date]]=$AN$1)*(TableauDatas[[Perf]:[Perf]]))=0,"",SUMPRODUCT((TableauDatas[[Test]:[Test]]=$AM$2)*(TableauDatas[[Prénom]:[Prénom]]=V23)*(TableauDatas[[Date]:[Date]]=$AN$1)*(TableauDatas[[Perf]:[Perf]])))</f>
        <v/>
      </c>
      <c r="AO23" s="118" t="str" cm="1">
        <f t="array" ref="AO23">IF(SUMPRODUCT((TableauDatas[[Test]:[Test]]=$AO$2)*(TableauDatas[[Prénom]:[Prénom]]=V23)*(TableauDatas[[Date]:[Date]]=$AO$1)*(TableauDatas[[Perf]:[Perf]]))=0,"",SUMPRODUCT((TableauDatas[[Test]:[Test]]=$AO$2)*(TableauDatas[[Prénom]:[Prénom]]=V23)*(TableauDatas[[Date]:[Date]]=$AO$1)*(TableauDatas[[Perf]:[Perf]])))</f>
        <v/>
      </c>
      <c r="AP23" s="118" t="str" cm="1">
        <f t="array" ref="AP23">IF(SUMPRODUCT((TableauDatas[[Test]:[Test]]=$AO$2)*(TableauDatas[[Prénom]:[Prénom]]=V23)*(TableauDatas[[Date]:[Date]]=$AP$1)*(TableauDatas[[Perf]:[Perf]]))=0,"",SUMPRODUCT((TableauDatas[[Test]:[Test]]=$AO$2)*(TableauDatas[[Prénom]:[Prénom]]=V23)*(TableauDatas[[Date]:[Date]]=$AP$1)*(TableauDatas[[Perf]:[Perf]])))</f>
        <v/>
      </c>
      <c r="AQ23" s="118" t="str" cm="1">
        <f t="array" ref="AQ23">IF(SUMPRODUCT((TableauDatas[[Test]:[Test]]=$AQ$2)*(TableauDatas[[Prénom]:[Prénom]]=V23)*(TableauDatas[[Date]:[Date]]=$AQ$1)*(TableauDatas[[Perf]:[Perf]]))=0,"",SUMPRODUCT((TableauDatas[[Test]:[Test]]=$AQ$2)*(TableauDatas[[Prénom]:[Prénom]]=V23)*(TableauDatas[[Date]:[Date]]=$AQ$1)*(TableauDatas[[Perf]:[Perf]])))</f>
        <v/>
      </c>
      <c r="AR23" s="118" t="str" cm="1">
        <f t="array" ref="AR23">IF(SUMPRODUCT((TableauDatas[[Test]:[Test]]=$AQ$2)*(TableauDatas[[Prénom]:[Prénom]]=V23)*(TableauDatas[[Date]:[Date]]=$AR$1)*(TableauDatas[[Perf]:[Perf]]))=0,"",SUMPRODUCT((TableauDatas[[Test]:[Test]]=$AQ$2)*(TableauDatas[[Prénom]:[Prénom]]=V23)*(TableauDatas[[Date]:[Date]]=$AR$1)*(TableauDatas[[Perf]:[Perf]])))</f>
        <v/>
      </c>
      <c r="AS23" s="118" t="str" cm="1">
        <f t="array" ref="AS23">IF(SUMPRODUCT((TableauDatas[[Test]:[Test]]=$AS$2)*(TableauDatas[[Prénom]:[Prénom]]=V23)*(TableauDatas[[Date]:[Date]]=$AS$1)*(TableauDatas[[Perf]:[Perf]]))=0,"",SUMPRODUCT((TableauDatas[[Test]:[Test]]=$AS$2)*(TableauDatas[[Prénom]:[Prénom]]=V23)*(TableauDatas[[Date]:[Date]]=$AS$1)*(TableauDatas[[Perf]:[Perf]])))</f>
        <v/>
      </c>
      <c r="AT23" s="118" t="str" cm="1">
        <f t="array" ref="AT23">IF(SUMPRODUCT((TableauDatas[[Test]:[Test]]=$AS$2)*(TableauDatas[[Prénom]:[Prénom]]=V23)*(TableauDatas[[Date]:[Date]]=$AT$1)*(TableauDatas[[Perf]:[Perf]]))=0,"",SUMPRODUCT((TableauDatas[[Test]:[Test]]=$AS$2)*(TableauDatas[[Prénom]:[Prénom]]=V23)*(TableauDatas[[Date]:[Date]]=$AT$1)*(TableauDatas[[Perf]:[Perf]])))</f>
        <v/>
      </c>
      <c r="AU23" s="118" t="str" cm="1">
        <f t="array" ref="AU23">IF(SUMPRODUCT((TableauDatas[[Test]:[Test]]=$AU$2)*(TableauDatas[[Prénom]:[Prénom]]=V23)*(TableauDatas[[Date]:[Date]]=$AU$1)*(TableauDatas[[Perf]:[Perf]]))=0,"",SUMPRODUCT((TableauDatas[[Test]:[Test]]=$AU$2)*(TableauDatas[[Prénom]:[Prénom]]=V23)*(TableauDatas[[Date]:[Date]]=$AU$1)*(TableauDatas[[Perf]:[Perf]])))</f>
        <v/>
      </c>
      <c r="AV23" s="118" t="str" cm="1">
        <f t="array" ref="AV23">IF(SUMPRODUCT((TableauDatas[[Test]:[Test]]=$AU$2)*(TableauDatas[[Prénom]:[Prénom]]=V23)*(TableauDatas[[Date]:[Date]]=$AV$1)*(TableauDatas[[Perf]:[Perf]]))=0,"",SUMPRODUCT((TableauDatas[[Test]:[Test]]=$AU$2)*(TableauDatas[[Prénom]:[Prénom]]=V23)*(TableauDatas[[Date]:[Date]]=$AV$1)*(TableauDatas[[Perf]:[Perf]])))</f>
        <v/>
      </c>
      <c r="AW23" s="118" t="str" cm="1">
        <f t="array" ref="AW23">IF(SUMPRODUCT((TableauDatas[[Test]:[Test]]=$AW$2)*(TableauDatas[[Prénom]:[Prénom]]=V23)*(TableauDatas[[Date]:[Date]]=$AW$1)*(TableauDatas[[Perf]:[Perf]]))=0,"",SUMPRODUCT((TableauDatas[[Test]:[Test]]=$AW$2)*(TableauDatas[[Prénom]:[Prénom]]=V23)*(TableauDatas[[Date]:[Date]]=$AW$1)*(TableauDatas[[Perf]:[Perf]])))</f>
        <v/>
      </c>
      <c r="AX23" s="118" t="str" cm="1">
        <f t="array" ref="AX23">IF(SUMPRODUCT((TableauDatas[[Test]:[Test]]=$AW$2)*(TableauDatas[[Prénom]:[Prénom]]=V23)*(TableauDatas[[Date]:[Date]]=$AX$1)*(TableauDatas[[Perf]:[Perf]]))=0,"",SUMPRODUCT((TableauDatas[[Test]:[Test]]=$AW$2)*(TableauDatas[[Prénom]:[Prénom]]=V23)*(TableauDatas[[Date]:[Date]]=$AX$1)*(TableauDatas[[Perf]:[Perf]])))</f>
        <v/>
      </c>
      <c r="AY23" s="118" t="str" cm="1">
        <f t="array" ref="AY23">IF(SUMPRODUCT((TableauDatas[[Test]:[Test]]=$AY$2)*(TableauDatas[[Prénom]:[Prénom]]=V23)*(TableauDatas[[Date]:[Date]]=$AY$1)*(TableauDatas[[Perf]:[Perf]]))=0,"",SUMPRODUCT((TableauDatas[[Test]:[Test]]=$AY$2)*(TableauDatas[[Prénom]:[Prénom]]=V23)*(TableauDatas[[Date]:[Date]]=$AY$1)*(TableauDatas[[Perf]:[Perf]])))</f>
        <v/>
      </c>
      <c r="AZ23" s="118" t="str" cm="1">
        <f t="array" ref="AZ23">IF(SUMPRODUCT((TableauDatas[[Test]:[Test]]=$AY$2)*(TableauDatas[[Prénom]:[Prénom]]=V23)*(TableauDatas[[Date]:[Date]]=$AZ$1)*(TableauDatas[[Perf]:[Perf]]))=0,"",SUMPRODUCT((TableauDatas[[Test]:[Test]]=$AY$2)*(TableauDatas[[Prénom]:[Prénom]]=V23)*(TableauDatas[[Date]:[Date]]=$AZ$1)*(TableauDatas[[Perf]:[Perf]])))</f>
        <v/>
      </c>
      <c r="BA23" s="118" t="str" cm="1">
        <f t="array" ref="BA23">IF(SUMPRODUCT((TableauDatas[[Test]:[Test]]=$BA$2)*(TableauDatas[[Prénom]:[Prénom]]=V23)*(TableauDatas[[Date]:[Date]]=$BA$1)*(TableauDatas[[Perf]:[Perf]]))=0,"",SUMPRODUCT((TableauDatas[[Test]:[Test]]=$BA$2)*(TableauDatas[[Prénom]:[Prénom]]=V23)*(TableauDatas[[Date]:[Date]]=$BA$1)*(TableauDatas[[Perf]:[Perf]])))</f>
        <v/>
      </c>
      <c r="BB23" s="118" t="str" cm="1">
        <f t="array" ref="BB23">IF(SUMPRODUCT((TableauDatas[[Test]:[Test]]=$BA$2)*(TableauDatas[[Prénom]:[Prénom]]=V23)*(TableauDatas[[Date]:[Date]]=$BB$1)*(TableauDatas[[Perf]:[Perf]]))=0,"",SUMPRODUCT((TableauDatas[[Test]:[Test]]=$BA$2)*(TableauDatas[[Prénom]:[Prénom]]=V23)*(TableauDatas[[Date]:[Date]]=$BB$1)*(TableauDatas[[Perf]:[Perf]])))</f>
        <v/>
      </c>
      <c r="BC23" s="118" t="str" cm="1">
        <f t="array" ref="BC23">IF(SUMPRODUCT((TableauDatas[[Test]:[Test]]=$BC$2)*(TableauDatas[[Prénom]:[Prénom]]=V23)*(TableauDatas[[Date]:[Date]]=$BC$1)*(TableauDatas[[Perf]:[Perf]]))=0,"",SUMPRODUCT((TableauDatas[[Test]:[Test]]=$BC$2)*(TableauDatas[[Prénom]:[Prénom]]=V23)*(TableauDatas[[Date]:[Date]]=$BC$1)*(TableauDatas[[Perf]:[Perf]])))</f>
        <v/>
      </c>
      <c r="BD23" s="121" t="str" cm="1">
        <f t="array" ref="BD23">IF(SUMPRODUCT((TableauDatas[[Test]:[Test]]=$BC$2)*(TableauDatas[[Prénom]:[Prénom]]=V23)*(TableauDatas[[Date]:[Date]]=$BD$1)*(TableauDatas[[Perf]:[Perf]]))=0,"",SUMPRODUCT((TableauDatas[[Test]:[Test]]=$BC$2)*(TableauDatas[[Prénom]:[Prénom]]=V23)*(TableauDatas[[Date]:[Date]]=$BD$1)*(TableauDatas[[Perf]:[Perf]])))</f>
        <v/>
      </c>
      <c r="BE23" s="118" t="str" cm="1">
        <f t="array" ref="BE23">IF(SUMPRODUCT((TableauDatas[[Test]:[Test]]=$BE$2)*(TableauDatas[[Prénom]:[Prénom]]=V23)*(TableauDatas[[Date]:[Date]]=$BE$1)*(TableauDatas[[Perf]:[Perf]]))=0,"",SUMPRODUCT((TableauDatas[[Test]:[Test]]=$BE$2)*(TableauDatas[[Prénom]:[Prénom]]=V23)*(TableauDatas[[Date]:[Date]]=$BE$1)*(TableauDatas[[Perf]:[Perf]])))</f>
        <v/>
      </c>
      <c r="BF23" s="118" t="str" cm="1">
        <f t="array" ref="BF23">IF(SUMPRODUCT((TableauDatas[[Test]:[Test]]=$BE$2)*(TableauDatas[[Prénom]:[Prénom]]=V23)*(TableauDatas[[Date]:[Date]]=$BF$1)*(TableauDatas[[Perf]:[Perf]]))=0,"",SUMPRODUCT((TableauDatas[[Test]:[Test]]=$BE$2)*(TableauDatas[[Prénom]:[Prénom]]=V23)*(TableauDatas[[Date]:[Date]]=$BF$1)*(TableauDatas[[Perf]:[Perf]])))</f>
        <v/>
      </c>
      <c r="BG23" s="118" t="str" cm="1">
        <f t="array" ref="BG23">IF(SUMPRODUCT((TableauDatas[[Test]:[Test]]=$BG$2)*(TableauDatas[[Prénom]:[Prénom]]=V23)*(TableauDatas[[Date]:[Date]]=$BG$1)*(TableauDatas[[Perf]:[Perf]]))=0,"",SUMPRODUCT((TableauDatas[[Test]:[Test]]=$BG$2)*(TableauDatas[[Prénom]:[Prénom]]=V23)*(TableauDatas[[Date]:[Date]]=$BG$1)*(TableauDatas[[Perf]:[Perf]])))</f>
        <v/>
      </c>
      <c r="BH23" s="118" t="str" cm="1">
        <f t="array" ref="BH23">IF(SUMPRODUCT((TableauDatas[[Test]:[Test]]=$BG$2)*(TableauDatas[[Prénom]:[Prénom]]=V23)*(TableauDatas[[Date]:[Date]]=$BH$1)*(TableauDatas[[Perf]:[Perf]]))=0,"",SUMPRODUCT((TableauDatas[[Test]:[Test]]=$BG$2)*(TableauDatas[[Prénom]:[Prénom]]=V23)*(TableauDatas[[Date]:[Date]]=$BH$1)*(TableauDatas[[Perf]:[Perf]])))</f>
        <v/>
      </c>
      <c r="BI23" s="118" t="str" cm="1">
        <f t="array" ref="BI23">IF(SUMPRODUCT((TableauDatas[[Test]:[Test]]=$BI$2)*(TableauDatas[[Prénom]:[Prénom]]=V23)*(TableauDatas[[Date]:[Date]]=$BI$1)*(TableauDatas[[Perf]:[Perf]]))=0,"",SUMPRODUCT((TableauDatas[[Test]:[Test]]=$BI$2)*(TableauDatas[[Prénom]:[Prénom]]=V23)*(TableauDatas[[Date]:[Date]]=$BI$1)*(TableauDatas[[Perf]:[Perf]])))</f>
        <v/>
      </c>
      <c r="BJ23" s="118" t="str" cm="1">
        <f t="array" ref="BJ23">IF(SUMPRODUCT((TableauDatas[[Test]:[Test]]=$BI$2)*(TableauDatas[[Prénom]:[Prénom]]=V23)*(TableauDatas[[Date]:[Date]]=$BJ$1)*(TableauDatas[[Perf]:[Perf]]))=0,"",SUMPRODUCT((TableauDatas[[Test]:[Test]]=$BI$2)*(TableauDatas[[Prénom]:[Prénom]]=V23)*(TableauDatas[[Date]:[Date]]=$BJ$1)*(TableauDatas[[Perf]:[Perf]])))</f>
        <v/>
      </c>
      <c r="BK23" s="118" t="str" cm="1">
        <f t="array" ref="BK23">IF(SUMPRODUCT((TableauDatas[[Test]:[Test]]=$BK$2)*(TableauDatas[[Prénom]:[Prénom]]=V23)*(TableauDatas[[Date]:[Date]]=$BK$1)*(TableauDatas[[Perf]:[Perf]]))=0,"",SUMPRODUCT((TableauDatas[[Test]:[Test]]=$BK$2)*(TableauDatas[[Prénom]:[Prénom]]=V23)*(TableauDatas[[Date]:[Date]]=$BK$1)*(TableauDatas[[Perf]:[Perf]])))</f>
        <v/>
      </c>
      <c r="BL23" s="118" t="str" cm="1">
        <f t="array" ref="BL23">IF(SUMPRODUCT((TableauDatas[[Test]:[Test]]=$BK$2)*(TableauDatas[[Prénom]:[Prénom]]=V23)*(TableauDatas[[Date]:[Date]]=$BL$1)*(TableauDatas[[Perf]:[Perf]]))=0,"",SUMPRODUCT((TableauDatas[[Test]:[Test]]=$BK$2)*(TableauDatas[[Prénom]:[Prénom]]=V23)*(TableauDatas[[Date]:[Date]]=$BL$1)*(TableauDatas[[Perf]:[Perf]])))</f>
        <v/>
      </c>
      <c r="BM23" s="118" t="str" cm="1">
        <f t="array" ref="BM23">IF(SUMPRODUCT((TableauDatas[[Test]:[Test]]=$BM$2)*(TableauDatas[[Prénom]:[Prénom]]=V23)*(TableauDatas[[Date]:[Date]]=$BM$1)*(TableauDatas[[Perf]:[Perf]]))=0,"",SUMPRODUCT((TableauDatas[[Test]:[Test]]=$BM$2)*(TableauDatas[[Prénom]:[Prénom]]=V23)*(TableauDatas[[Date]:[Date]]=$BM$1)*(TableauDatas[[Perf]:[Perf]])))</f>
        <v/>
      </c>
      <c r="BN23" s="118" t="str" cm="1">
        <f t="array" ref="BN23">IF(SUMPRODUCT((TableauDatas[[Test]:[Test]]=$BM$2)*(TableauDatas[[Prénom]:[Prénom]]=V23)*(TableauDatas[[Date]:[Date]]=$BN$1)*(TableauDatas[[Perf]:[Perf]]))=0,"",SUMPRODUCT((TableauDatas[[Test]:[Test]]=$BM$2)*(TableauDatas[[Prénom]:[Prénom]]=V23)*(TableauDatas[[Date]:[Date]]=$BN$1)*(TableauDatas[[Perf]:[Perf]])))</f>
        <v/>
      </c>
      <c r="BO23" s="118" t="str" cm="1">
        <f t="array" ref="BO23">IF(SUMPRODUCT((TableauDatas[[Test]:[Test]]=$BO$2)*(TableauDatas[[Prénom]:[Prénom]]=V23)*(TableauDatas[[Date]:[Date]]=$BO$1)*(TableauDatas[[Perf]:[Perf]]))=0,"",SUMPRODUCT((TableauDatas[[Test]:[Test]]=$BO$2)*(TableauDatas[[Prénom]:[Prénom]]=V23)*(TableauDatas[[Date]:[Date]]=$BO$1)*(TableauDatas[[Perf]:[Perf]])))</f>
        <v/>
      </c>
      <c r="BP23" s="119" t="str" cm="1">
        <f t="array" ref="BP23">IF(SUMPRODUCT((TableauDatas[[Test]:[Test]]=$BO$2)*(TableauDatas[[Prénom]:[Prénom]]=V23)*(TableauDatas[[Date]:[Date]]=$BP$1)*(TableauDatas[[Perf]:[Perf]]))=0,"",SUMPRODUCT((TableauDatas[[Test]:[Test]]=$BO$2)*(TableauDatas[[Prénom]:[Prénom]]=V23)*(TableauDatas[[Date]:[Date]]=$BP$1)*(TableauDatas[[Perf]:[Perf]])))</f>
        <v/>
      </c>
      <c r="BQ23" s="18"/>
      <c r="BR23" s="18"/>
      <c r="BS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DA23" s="97"/>
      <c r="DB23" s="97"/>
      <c r="DC23" s="97"/>
      <c r="DD23" s="97"/>
      <c r="DE23" s="97"/>
      <c r="DF23" s="97"/>
      <c r="DG23" s="97"/>
      <c r="DH23" s="97"/>
      <c r="DI23" s="97"/>
      <c r="DJ23" s="97"/>
      <c r="DK23" s="97"/>
      <c r="DL23" s="97"/>
      <c r="DM23" s="97"/>
      <c r="DN23" s="97"/>
      <c r="DO23" s="97"/>
      <c r="DQ23" s="97"/>
      <c r="DR23" s="97"/>
      <c r="DS23" s="97"/>
      <c r="DT23" s="97"/>
      <c r="DU23" s="97"/>
      <c r="DV23" s="97"/>
      <c r="DW23" s="97"/>
      <c r="DX23" s="97"/>
      <c r="DY23" s="97"/>
      <c r="DZ23" s="97"/>
      <c r="EA23" s="97"/>
      <c r="EB23" s="97"/>
      <c r="EC23" s="97"/>
      <c r="ED23" s="97"/>
      <c r="EE23" s="97"/>
      <c r="EG23" s="97"/>
      <c r="EH23" s="97"/>
      <c r="EI23" s="97"/>
      <c r="EJ23" s="97"/>
      <c r="EK23" s="97"/>
      <c r="EL23" s="97"/>
      <c r="EM23" s="97"/>
      <c r="EN23" s="97"/>
      <c r="EO23" s="97"/>
      <c r="EP23" s="97"/>
      <c r="EQ23" s="97"/>
      <c r="ER23" s="97"/>
      <c r="ES23" s="97"/>
      <c r="ET23" s="97"/>
      <c r="EU23" s="97"/>
      <c r="EW23" s="97"/>
      <c r="EX23" s="97"/>
      <c r="EY23" s="97"/>
      <c r="EZ23" s="97"/>
      <c r="FA23" s="97"/>
      <c r="FB23" s="97"/>
      <c r="FC23" s="97"/>
      <c r="FD23" s="97"/>
      <c r="FE23" s="97"/>
      <c r="FF23" s="97"/>
      <c r="FG23" s="97"/>
      <c r="FH23" s="97"/>
      <c r="FI23" s="97"/>
      <c r="FJ23" s="97"/>
      <c r="FK23" s="97"/>
      <c r="FM23" s="97"/>
      <c r="FN23" s="97"/>
      <c r="FO23" s="97"/>
      <c r="FP23" s="97"/>
      <c r="FQ23" s="97"/>
      <c r="FR23" s="97"/>
      <c r="FS23" s="97"/>
      <c r="FT23" s="97"/>
      <c r="FU23" s="97"/>
      <c r="FV23" s="97"/>
      <c r="FW23" s="97"/>
      <c r="FX23" s="97"/>
      <c r="FY23" s="97"/>
      <c r="FZ23" s="97"/>
      <c r="GA23" s="97"/>
      <c r="GC23" s="97"/>
      <c r="GD23" s="97"/>
      <c r="GE23" s="97"/>
      <c r="GF23" s="97"/>
      <c r="GG23" s="97"/>
      <c r="GH23" s="97"/>
      <c r="GI23" s="97"/>
      <c r="GJ23" s="97"/>
      <c r="GK23" s="97"/>
      <c r="GL23" s="97"/>
      <c r="GM23" s="97"/>
      <c r="GN23" s="97"/>
      <c r="GO23" s="97"/>
      <c r="GP23" s="97"/>
      <c r="GQ23" s="97"/>
      <c r="GS23" s="97"/>
      <c r="GT23" s="97"/>
      <c r="GU23" s="97"/>
      <c r="GV23" s="97"/>
      <c r="GW23" s="97"/>
      <c r="GX23" s="97"/>
      <c r="GY23" s="97"/>
      <c r="GZ23" s="97"/>
      <c r="HA23" s="97"/>
      <c r="HB23" s="97"/>
      <c r="HC23" s="97"/>
      <c r="HD23" s="97"/>
      <c r="HE23" s="97"/>
      <c r="HF23" s="97"/>
      <c r="HG23" s="97"/>
      <c r="HI23" s="97"/>
      <c r="HJ23" s="97"/>
      <c r="HK23" s="97"/>
      <c r="HL23" s="97"/>
      <c r="HM23" s="97"/>
      <c r="HN23" s="97"/>
      <c r="HO23" s="97"/>
      <c r="HP23" s="97"/>
      <c r="HQ23" s="97"/>
      <c r="HR23" s="97"/>
      <c r="HS23" s="97"/>
      <c r="HT23" s="97"/>
      <c r="HU23" s="97"/>
      <c r="HV23" s="97"/>
      <c r="HW23" s="97"/>
      <c r="HY23" s="97"/>
      <c r="HZ23" s="97"/>
      <c r="IA23" s="97"/>
      <c r="IB23" s="97"/>
      <c r="IC23" s="97"/>
      <c r="ID23" s="97"/>
      <c r="IE23" s="97"/>
      <c r="IF23" s="97"/>
      <c r="IG23" s="97"/>
      <c r="IH23" s="97"/>
      <c r="II23" s="97"/>
      <c r="IJ23" s="97"/>
      <c r="IK23" s="97"/>
      <c r="IL23" s="97"/>
      <c r="IM23" s="97"/>
      <c r="IO23" s="97"/>
      <c r="IP23" s="97"/>
      <c r="IQ23" s="97"/>
      <c r="IR23" s="97"/>
      <c r="IS23" s="97"/>
      <c r="IT23" s="97"/>
      <c r="IU23" s="24"/>
      <c r="IV23" s="24"/>
      <c r="IW23" s="24"/>
      <c r="IX23" s="24"/>
      <c r="IY23" s="24"/>
      <c r="IZ23" s="24"/>
      <c r="JA23" s="24"/>
      <c r="JB23" s="24"/>
      <c r="JC23" s="24"/>
    </row>
    <row r="24" spans="1:263" x14ac:dyDescent="0.25">
      <c r="A24" s="155"/>
      <c r="B24" s="21"/>
      <c r="C24" s="56" t="str" cm="1">
        <f t="array" ref="C24">IF(SUMPRODUCT((TableauDatas[[Prénom]:[Prénom]]=$C$4)*(TableauDatas[[Date]:[Date]]=B24)*(TableauDatas[[Test]:[Test]]=A24)*(TableauDatas[[Perf]:[Perf]]))=0,"",SUMPRODUCT((TableauDatas[[Prénom]:[Prénom]]=$C$4)*(TableauDatas[[Date]:[Date]]=B24)*(TableauDatas[[Test]:[Test]]=A24)*(TableauDatas[[Perf]:[Perf]])))</f>
        <v/>
      </c>
      <c r="D24" s="32" t="str">
        <f>IFERROR(AI30,"")</f>
        <v/>
      </c>
      <c r="E24" s="30" t="str">
        <f>IFERROR(AI31,"")</f>
        <v/>
      </c>
      <c r="F24" s="33" t="str">
        <f>IFERROR(AI32,"")</f>
        <v/>
      </c>
      <c r="G24" s="163" t="str">
        <f>IFERROR(AI33,"")</f>
        <v/>
      </c>
      <c r="H24" s="40" t="str">
        <f>IFERROR(AI28,"")</f>
        <v/>
      </c>
      <c r="I24" s="27"/>
      <c r="J24" s="28"/>
      <c r="N24" s="44"/>
      <c r="O24" s="68"/>
      <c r="P24" s="69"/>
      <c r="Q24" s="69"/>
      <c r="R24" s="69"/>
      <c r="S24" s="70"/>
      <c r="T24" s="49"/>
      <c r="V24" s="89">
        <f t="shared" si="0"/>
        <v>0</v>
      </c>
      <c r="W24" s="86" t="str" cm="1">
        <f t="array" ref="W24">IF(SUMPRODUCT((TableauDatas[[Test]:[Test]]=$W$2)*(TableauDatas[[Prénom]:[Prénom]]=V24)*(TableauDatas[[Date]:[Date]]=$W$1)*(TableauDatas[[Perf]:[Perf]]))=0,"",SUMPRODUCT((TableauDatas[[Test]:[Test]]=$W$2)*(TableauDatas[[Prénom]:[Prénom]]=V24)*(TableauDatas[[Date]:[Date]]=$W$1)*(TableauDatas[[Perf]:[Perf]])))</f>
        <v/>
      </c>
      <c r="X24" s="86" t="str" cm="1">
        <f t="array" ref="X24">IF(SUMPRODUCT((TableauDatas[[Test]:[Test]]=$X$2)*(TableauDatas[[Prénom]:[Prénom]]=V24)*(TableauDatas[[Date]:[Date]]=$X$1)*(TableauDatas[[Perf]:[Perf]]))=0,"",SUMPRODUCT((TableauDatas[[Test]:[Test]]=$X$2)*(TableauDatas[[Prénom]:[Prénom]]=V24)*(TableauDatas[[Date]:[Date]]=$X$1)*(TableauDatas[[Perf]:[Perf]])))</f>
        <v/>
      </c>
      <c r="Y24" s="86" t="str" cm="1">
        <f t="array" ref="Y24">IF(SUMPRODUCT((TableauDatas[[Test]:[Test]]=$Y$2)*(TableauDatas[[Prénom]:[Prénom]]=V24)*(TableauDatas[[Date]:[Date]]=$Y$1)*(TableauDatas[[Perf]:[Perf]]))=0,"",SUMPRODUCT((TableauDatas[[Test]:[Test]]=$Y$2)*(TableauDatas[[Prénom]:[Prénom]]=V24)*(TableauDatas[[Date]:[Date]]=$Y$1)*(TableauDatas[[Perf]:[Perf]])))</f>
        <v/>
      </c>
      <c r="Z24" s="86" t="str" cm="1">
        <f t="array" ref="Z24">IF(SUMPRODUCT((TableauDatas[[Test]:[Test]]=$Z$2)*(TableauDatas[[Prénom]:[Prénom]]=V24)*(TableauDatas[[Date]:[Date]]=$Z$1)*(TableauDatas[[Perf]:[Perf]]))=0,"",SUMPRODUCT((TableauDatas[[Test]:[Test]]=$Z$2)*(TableauDatas[[Prénom]:[Prénom]]=V24)*(TableauDatas[[Date]:[Date]]=$Z$1)*(TableauDatas[[Perf]:[Perf]])))</f>
        <v/>
      </c>
      <c r="AA24" s="86" t="str" cm="1">
        <f t="array" ref="AA24">IF(SUMPRODUCT((TableauDatas[[Test]:[Test]]=$AA$2)*(TableauDatas[[Prénom]:[Prénom]]=V24)*(TableauDatas[[Date]:[Date]]=$AA$1)*(TableauDatas[[Perf]:[Perf]]))=0,"",SUMPRODUCT((TableauDatas[[Test]:[Test]]=$AA$2)*(TableauDatas[[Prénom]:[Prénom]]=V24)*(TableauDatas[[Date]:[Date]]=$AA$1)*(TableauDatas[[Perf]:[Perf]])))</f>
        <v/>
      </c>
      <c r="AB24" s="86" t="str" cm="1">
        <f t="array" ref="AB24">IF(SUMPRODUCT((TableauDatas[[Test]:[Test]]=$AB$2)*(TableauDatas[[Prénom]:[Prénom]]=V24)*(TableauDatas[[Date]:[Date]]=$AB$1)*(TableauDatas[[Perf]:[Perf]]))=0,"",SUMPRODUCT((TableauDatas[[Test]:[Test]]=$AB$2)*(TableauDatas[[Prénom]:[Prénom]]=V24)*(TableauDatas[[Date]:[Date]]=$AB$1)*(TableauDatas[[Perf]:[Perf]])))</f>
        <v/>
      </c>
      <c r="AC24" s="86" t="str" cm="1">
        <f t="array" ref="AC24">IF(SUMPRODUCT((TableauDatas[[Test]:[Test]]=$AC$2)*(TableauDatas[[Prénom]:[Prénom]]=V24)*(TableauDatas[[Date]:[Date]]=$AC$1)*(TableauDatas[[Perf]:[Perf]]))=0,"",SUMPRODUCT((TableauDatas[[Test]:[Test]]=$AC$2)*(TableauDatas[[Prénom]:[Prénom]]=V24)*(TableauDatas[[Date]:[Date]]=$AC$1)*(TableauDatas[[Perf]:[Perf]])))</f>
        <v/>
      </c>
      <c r="AD24" s="86" t="str" cm="1">
        <f t="array" ref="AD24">IF(SUMPRODUCT((TableauDatas[[Test]:[Test]]=$AD$2)*(TableauDatas[[Prénom]:[Prénom]]=V24)*(TableauDatas[[Date]:[Date]]=$AD$1)*(TableauDatas[[Perf]:[Perf]]))=0,"",SUMPRODUCT((TableauDatas[[Test]:[Test]]=$AD$2)*(TableauDatas[[Prénom]:[Prénom]]=V24)*(TableauDatas[[Date]:[Date]]=$AD$1)*(TableauDatas[[Perf]:[Perf]])))</f>
        <v/>
      </c>
      <c r="AE24" s="86" t="str" cm="1">
        <f t="array" ref="AE24">IF(SUMPRODUCT((TableauDatas[[Test]:[Test]]=$AE$2)*(TableauDatas[[Prénom]:[Prénom]]=V24)*(TableauDatas[[Date]:[Date]]=$AE$1)*(TableauDatas[[Perf]:[Perf]]))=0,"",SUMPRODUCT((TableauDatas[[Test]:[Test]]=$AE$2)*(TableauDatas[[Prénom]:[Prénom]]=V24)*(TableauDatas[[Date]:[Date]]=$AE$1)*(TableauDatas[[Perf]:[Perf]])))</f>
        <v/>
      </c>
      <c r="AF24" s="86" t="str" cm="1">
        <f t="array" ref="AF24">IF(SUMPRODUCT((TableauDatas[[Test]:[Test]]=$AF$2)*(TableauDatas[[Prénom]:[Prénom]]=V24)*(TableauDatas[[Date]:[Date]]=$AF$1)*(TableauDatas[[Perf]:[Perf]]))=0,"",SUMPRODUCT((TableauDatas[[Test]:[Test]]=$AF$2)*(TableauDatas[[Prénom]:[Prénom]]=V24)*(TableauDatas[[Date]:[Date]]=$AF$1)*(TableauDatas[[Perf]:[Perf]])))</f>
        <v/>
      </c>
      <c r="AG24" s="86" t="str" cm="1">
        <f t="array" ref="AG24">IF(SUMPRODUCT((TableauDatas[[Test]:[Test]]=$AG$2)*(TableauDatas[[Prénom]:[Prénom]]=V24)*(TableauDatas[[Date]:[Date]]=$AG$1)*(TableauDatas[[Perf]:[Perf]]))=0,"",SUMPRODUCT((TableauDatas[[Test]:[Test]]=$AG$2)*(TableauDatas[[Prénom]:[Prénom]]=V24)*(TableauDatas[[Date]:[Date]]=$AG$1)*(TableauDatas[[Perf]:[Perf]])))</f>
        <v/>
      </c>
      <c r="AH24" s="86" t="str" cm="1">
        <f t="array" ref="AH24">IF(SUMPRODUCT((TableauDatas[[Test]:[Test]]=$AH$2)*(TableauDatas[[Prénom]:[Prénom]]=V24)*(TableauDatas[[Date]:[Date]]=$AH$1)*(TableauDatas[[Perf]:[Perf]]))=0,"",SUMPRODUCT((TableauDatas[[Test]:[Test]]=$AH$2)*(TableauDatas[[Prénom]:[Prénom]]=V24)*(TableauDatas[[Date]:[Date]]=$AH$1)*(TableauDatas[[Perf]:[Perf]])))</f>
        <v/>
      </c>
      <c r="AI24" s="86" t="str" cm="1">
        <f t="array" ref="AI24">IF(SUMPRODUCT((TableauDatas[[Test]:[Test]]=$AI$2)*(TableauDatas[[Prénom]:[Prénom]]=V24)*(TableauDatas[[Date]:[Date]]=$AI$1)*(TableauDatas[[Perf]:[Perf]]))=0,"",SUMPRODUCT((TableauDatas[[Test]:[Test]]=$AI$2)*(TableauDatas[[Prénom]:[Prénom]]=V24)*(TableauDatas[[Date]:[Date]]=$AI$1)*(TableauDatas[[Perf]:[Perf]])))</f>
        <v/>
      </c>
      <c r="AJ24" s="86" t="str" cm="1">
        <f t="array" ref="AJ24">IF(SUMPRODUCT((TableauDatas[[Test]:[Test]]=$AJ$2)*(TableauDatas[[Prénom]:[Prénom]]=V24)*(TableauDatas[[Date]:[Date]]=$AJ$1)*(TableauDatas[[Perf]:[Perf]]))=0,"",SUMPRODUCT((TableauDatas[[Test]:[Test]]=$AJ$2)*(TableauDatas[[Prénom]:[Prénom]]=V24)*(TableauDatas[[Date]:[Date]]=$AJ$1)*(TableauDatas[[Perf]:[Perf]])))</f>
        <v/>
      </c>
      <c r="AK24" s="87" t="str" cm="1">
        <f t="array" ref="AK24">IF(SUMPRODUCT((TableauDatas[[Test]:[Test]]=$AK$2)*(TableauDatas[[Prénom]:[Prénom]]=V24)*(TableauDatas[[Date]:[Date]]=$AK$1)*(TableauDatas[[Perf]:[Perf]]))=0,"",SUMPRODUCT((TableauDatas[[Test]:[Test]]=$AK$2)*(TableauDatas[[Prénom]:[Prénom]]=V24)*(TableauDatas[[Date]:[Date]]=$AK$1)*(TableauDatas[[Perf]:[Perf]])))</f>
        <v/>
      </c>
      <c r="AL24" s="18"/>
      <c r="AM24" s="117" t="str" cm="1">
        <f t="array" ref="AM24">IF(SUMPRODUCT((TableauDatas[[Test]:[Test]]=$AM$2)*(TableauDatas[[Prénom]:[Prénom]]=V24)*(TableauDatas[[Date]:[Date]]=$AM$1)*(TableauDatas[[Perf]:[Perf]]))=0,"",SUMPRODUCT((TableauDatas[[Test]:[Test]]=$AM$2)*(TableauDatas[[Prénom]:[Prénom]]=V24)*(TableauDatas[[Date]:[Date]]=$AM$1)*(TableauDatas[[Perf]:[Perf]])))</f>
        <v/>
      </c>
      <c r="AN24" s="120" t="str" cm="1">
        <f t="array" ref="AN24">IF(SUMPRODUCT((TableauDatas[[Test]:[Test]]=$AM$2)*(TableauDatas[[Prénom]:[Prénom]]=V24)*(TableauDatas[[Date]:[Date]]=$AN$1)*(TableauDatas[[Perf]:[Perf]]))=0,"",SUMPRODUCT((TableauDatas[[Test]:[Test]]=$AM$2)*(TableauDatas[[Prénom]:[Prénom]]=V24)*(TableauDatas[[Date]:[Date]]=$AN$1)*(TableauDatas[[Perf]:[Perf]])))</f>
        <v/>
      </c>
      <c r="AO24" s="118" t="str" cm="1">
        <f t="array" ref="AO24">IF(SUMPRODUCT((TableauDatas[[Test]:[Test]]=$AO$2)*(TableauDatas[[Prénom]:[Prénom]]=V24)*(TableauDatas[[Date]:[Date]]=$AO$1)*(TableauDatas[[Perf]:[Perf]]))=0,"",SUMPRODUCT((TableauDatas[[Test]:[Test]]=$AO$2)*(TableauDatas[[Prénom]:[Prénom]]=V24)*(TableauDatas[[Date]:[Date]]=$AO$1)*(TableauDatas[[Perf]:[Perf]])))</f>
        <v/>
      </c>
      <c r="AP24" s="118" t="str" cm="1">
        <f t="array" ref="AP24">IF(SUMPRODUCT((TableauDatas[[Test]:[Test]]=$AO$2)*(TableauDatas[[Prénom]:[Prénom]]=V24)*(TableauDatas[[Date]:[Date]]=$AP$1)*(TableauDatas[[Perf]:[Perf]]))=0,"",SUMPRODUCT((TableauDatas[[Test]:[Test]]=$AO$2)*(TableauDatas[[Prénom]:[Prénom]]=V24)*(TableauDatas[[Date]:[Date]]=$AP$1)*(TableauDatas[[Perf]:[Perf]])))</f>
        <v/>
      </c>
      <c r="AQ24" s="118" t="str" cm="1">
        <f t="array" ref="AQ24">IF(SUMPRODUCT((TableauDatas[[Test]:[Test]]=$AQ$2)*(TableauDatas[[Prénom]:[Prénom]]=V24)*(TableauDatas[[Date]:[Date]]=$AQ$1)*(TableauDatas[[Perf]:[Perf]]))=0,"",SUMPRODUCT((TableauDatas[[Test]:[Test]]=$AQ$2)*(TableauDatas[[Prénom]:[Prénom]]=V24)*(TableauDatas[[Date]:[Date]]=$AQ$1)*(TableauDatas[[Perf]:[Perf]])))</f>
        <v/>
      </c>
      <c r="AR24" s="118" t="str" cm="1">
        <f t="array" ref="AR24">IF(SUMPRODUCT((TableauDatas[[Test]:[Test]]=$AQ$2)*(TableauDatas[[Prénom]:[Prénom]]=V24)*(TableauDatas[[Date]:[Date]]=$AR$1)*(TableauDatas[[Perf]:[Perf]]))=0,"",SUMPRODUCT((TableauDatas[[Test]:[Test]]=$AQ$2)*(TableauDatas[[Prénom]:[Prénom]]=V24)*(TableauDatas[[Date]:[Date]]=$AR$1)*(TableauDatas[[Perf]:[Perf]])))</f>
        <v/>
      </c>
      <c r="AS24" s="118" t="str" cm="1">
        <f t="array" ref="AS24">IF(SUMPRODUCT((TableauDatas[[Test]:[Test]]=$AS$2)*(TableauDatas[[Prénom]:[Prénom]]=V24)*(TableauDatas[[Date]:[Date]]=$AS$1)*(TableauDatas[[Perf]:[Perf]]))=0,"",SUMPRODUCT((TableauDatas[[Test]:[Test]]=$AS$2)*(TableauDatas[[Prénom]:[Prénom]]=V24)*(TableauDatas[[Date]:[Date]]=$AS$1)*(TableauDatas[[Perf]:[Perf]])))</f>
        <v/>
      </c>
      <c r="AT24" s="118" t="str" cm="1">
        <f t="array" ref="AT24">IF(SUMPRODUCT((TableauDatas[[Test]:[Test]]=$AS$2)*(TableauDatas[[Prénom]:[Prénom]]=V24)*(TableauDatas[[Date]:[Date]]=$AT$1)*(TableauDatas[[Perf]:[Perf]]))=0,"",SUMPRODUCT((TableauDatas[[Test]:[Test]]=$AS$2)*(TableauDatas[[Prénom]:[Prénom]]=V24)*(TableauDatas[[Date]:[Date]]=$AT$1)*(TableauDatas[[Perf]:[Perf]])))</f>
        <v/>
      </c>
      <c r="AU24" s="118" t="str" cm="1">
        <f t="array" ref="AU24">IF(SUMPRODUCT((TableauDatas[[Test]:[Test]]=$AU$2)*(TableauDatas[[Prénom]:[Prénom]]=V24)*(TableauDatas[[Date]:[Date]]=$AU$1)*(TableauDatas[[Perf]:[Perf]]))=0,"",SUMPRODUCT((TableauDatas[[Test]:[Test]]=$AU$2)*(TableauDatas[[Prénom]:[Prénom]]=V24)*(TableauDatas[[Date]:[Date]]=$AU$1)*(TableauDatas[[Perf]:[Perf]])))</f>
        <v/>
      </c>
      <c r="AV24" s="118" t="str" cm="1">
        <f t="array" ref="AV24">IF(SUMPRODUCT((TableauDatas[[Test]:[Test]]=$AU$2)*(TableauDatas[[Prénom]:[Prénom]]=V24)*(TableauDatas[[Date]:[Date]]=$AV$1)*(TableauDatas[[Perf]:[Perf]]))=0,"",SUMPRODUCT((TableauDatas[[Test]:[Test]]=$AU$2)*(TableauDatas[[Prénom]:[Prénom]]=V24)*(TableauDatas[[Date]:[Date]]=$AV$1)*(TableauDatas[[Perf]:[Perf]])))</f>
        <v/>
      </c>
      <c r="AW24" s="118" t="str" cm="1">
        <f t="array" ref="AW24">IF(SUMPRODUCT((TableauDatas[[Test]:[Test]]=$AW$2)*(TableauDatas[[Prénom]:[Prénom]]=V24)*(TableauDatas[[Date]:[Date]]=$AW$1)*(TableauDatas[[Perf]:[Perf]]))=0,"",SUMPRODUCT((TableauDatas[[Test]:[Test]]=$AW$2)*(TableauDatas[[Prénom]:[Prénom]]=V24)*(TableauDatas[[Date]:[Date]]=$AW$1)*(TableauDatas[[Perf]:[Perf]])))</f>
        <v/>
      </c>
      <c r="AX24" s="118" t="str" cm="1">
        <f t="array" ref="AX24">IF(SUMPRODUCT((TableauDatas[[Test]:[Test]]=$AW$2)*(TableauDatas[[Prénom]:[Prénom]]=V24)*(TableauDatas[[Date]:[Date]]=$AX$1)*(TableauDatas[[Perf]:[Perf]]))=0,"",SUMPRODUCT((TableauDatas[[Test]:[Test]]=$AW$2)*(TableauDatas[[Prénom]:[Prénom]]=V24)*(TableauDatas[[Date]:[Date]]=$AX$1)*(TableauDatas[[Perf]:[Perf]])))</f>
        <v/>
      </c>
      <c r="AY24" s="118" t="str" cm="1">
        <f t="array" ref="AY24">IF(SUMPRODUCT((TableauDatas[[Test]:[Test]]=$AY$2)*(TableauDatas[[Prénom]:[Prénom]]=V24)*(TableauDatas[[Date]:[Date]]=$AY$1)*(TableauDatas[[Perf]:[Perf]]))=0,"",SUMPRODUCT((TableauDatas[[Test]:[Test]]=$AY$2)*(TableauDatas[[Prénom]:[Prénom]]=V24)*(TableauDatas[[Date]:[Date]]=$AY$1)*(TableauDatas[[Perf]:[Perf]])))</f>
        <v/>
      </c>
      <c r="AZ24" s="118" t="str" cm="1">
        <f t="array" ref="AZ24">IF(SUMPRODUCT((TableauDatas[[Test]:[Test]]=$AY$2)*(TableauDatas[[Prénom]:[Prénom]]=V24)*(TableauDatas[[Date]:[Date]]=$AZ$1)*(TableauDatas[[Perf]:[Perf]]))=0,"",SUMPRODUCT((TableauDatas[[Test]:[Test]]=$AY$2)*(TableauDatas[[Prénom]:[Prénom]]=V24)*(TableauDatas[[Date]:[Date]]=$AZ$1)*(TableauDatas[[Perf]:[Perf]])))</f>
        <v/>
      </c>
      <c r="BA24" s="118" t="str" cm="1">
        <f t="array" ref="BA24">IF(SUMPRODUCT((TableauDatas[[Test]:[Test]]=$BA$2)*(TableauDatas[[Prénom]:[Prénom]]=V24)*(TableauDatas[[Date]:[Date]]=$BA$1)*(TableauDatas[[Perf]:[Perf]]))=0,"",SUMPRODUCT((TableauDatas[[Test]:[Test]]=$BA$2)*(TableauDatas[[Prénom]:[Prénom]]=V24)*(TableauDatas[[Date]:[Date]]=$BA$1)*(TableauDatas[[Perf]:[Perf]])))</f>
        <v/>
      </c>
      <c r="BB24" s="118" t="str" cm="1">
        <f t="array" ref="BB24">IF(SUMPRODUCT((TableauDatas[[Test]:[Test]]=$BA$2)*(TableauDatas[[Prénom]:[Prénom]]=V24)*(TableauDatas[[Date]:[Date]]=$BB$1)*(TableauDatas[[Perf]:[Perf]]))=0,"",SUMPRODUCT((TableauDatas[[Test]:[Test]]=$BA$2)*(TableauDatas[[Prénom]:[Prénom]]=V24)*(TableauDatas[[Date]:[Date]]=$BB$1)*(TableauDatas[[Perf]:[Perf]])))</f>
        <v/>
      </c>
      <c r="BC24" s="118" t="str" cm="1">
        <f t="array" ref="BC24">IF(SUMPRODUCT((TableauDatas[[Test]:[Test]]=$BC$2)*(TableauDatas[[Prénom]:[Prénom]]=V24)*(TableauDatas[[Date]:[Date]]=$BC$1)*(TableauDatas[[Perf]:[Perf]]))=0,"",SUMPRODUCT((TableauDatas[[Test]:[Test]]=$BC$2)*(TableauDatas[[Prénom]:[Prénom]]=V24)*(TableauDatas[[Date]:[Date]]=$BC$1)*(TableauDatas[[Perf]:[Perf]])))</f>
        <v/>
      </c>
      <c r="BD24" s="121" t="str" cm="1">
        <f t="array" ref="BD24">IF(SUMPRODUCT((TableauDatas[[Test]:[Test]]=$BC$2)*(TableauDatas[[Prénom]:[Prénom]]=V24)*(TableauDatas[[Date]:[Date]]=$BD$1)*(TableauDatas[[Perf]:[Perf]]))=0,"",SUMPRODUCT((TableauDatas[[Test]:[Test]]=$BC$2)*(TableauDatas[[Prénom]:[Prénom]]=V24)*(TableauDatas[[Date]:[Date]]=$BD$1)*(TableauDatas[[Perf]:[Perf]])))</f>
        <v/>
      </c>
      <c r="BE24" s="118" t="str" cm="1">
        <f t="array" ref="BE24">IF(SUMPRODUCT((TableauDatas[[Test]:[Test]]=$BE$2)*(TableauDatas[[Prénom]:[Prénom]]=V24)*(TableauDatas[[Date]:[Date]]=$BE$1)*(TableauDatas[[Perf]:[Perf]]))=0,"",SUMPRODUCT((TableauDatas[[Test]:[Test]]=$BE$2)*(TableauDatas[[Prénom]:[Prénom]]=V24)*(TableauDatas[[Date]:[Date]]=$BE$1)*(TableauDatas[[Perf]:[Perf]])))</f>
        <v/>
      </c>
      <c r="BF24" s="118" t="str" cm="1">
        <f t="array" ref="BF24">IF(SUMPRODUCT((TableauDatas[[Test]:[Test]]=$BE$2)*(TableauDatas[[Prénom]:[Prénom]]=V24)*(TableauDatas[[Date]:[Date]]=$BF$1)*(TableauDatas[[Perf]:[Perf]]))=0,"",SUMPRODUCT((TableauDatas[[Test]:[Test]]=$BE$2)*(TableauDatas[[Prénom]:[Prénom]]=V24)*(TableauDatas[[Date]:[Date]]=$BF$1)*(TableauDatas[[Perf]:[Perf]])))</f>
        <v/>
      </c>
      <c r="BG24" s="118" t="str" cm="1">
        <f t="array" ref="BG24">IF(SUMPRODUCT((TableauDatas[[Test]:[Test]]=$BG$2)*(TableauDatas[[Prénom]:[Prénom]]=V24)*(TableauDatas[[Date]:[Date]]=$BG$1)*(TableauDatas[[Perf]:[Perf]]))=0,"",SUMPRODUCT((TableauDatas[[Test]:[Test]]=$BG$2)*(TableauDatas[[Prénom]:[Prénom]]=V24)*(TableauDatas[[Date]:[Date]]=$BG$1)*(TableauDatas[[Perf]:[Perf]])))</f>
        <v/>
      </c>
      <c r="BH24" s="118" t="str" cm="1">
        <f t="array" ref="BH24">IF(SUMPRODUCT((TableauDatas[[Test]:[Test]]=$BG$2)*(TableauDatas[[Prénom]:[Prénom]]=V24)*(TableauDatas[[Date]:[Date]]=$BH$1)*(TableauDatas[[Perf]:[Perf]]))=0,"",SUMPRODUCT((TableauDatas[[Test]:[Test]]=$BG$2)*(TableauDatas[[Prénom]:[Prénom]]=V24)*(TableauDatas[[Date]:[Date]]=$BH$1)*(TableauDatas[[Perf]:[Perf]])))</f>
        <v/>
      </c>
      <c r="BI24" s="118" t="str" cm="1">
        <f t="array" ref="BI24">IF(SUMPRODUCT((TableauDatas[[Test]:[Test]]=$BI$2)*(TableauDatas[[Prénom]:[Prénom]]=V24)*(TableauDatas[[Date]:[Date]]=$BI$1)*(TableauDatas[[Perf]:[Perf]]))=0,"",SUMPRODUCT((TableauDatas[[Test]:[Test]]=$BI$2)*(TableauDatas[[Prénom]:[Prénom]]=V24)*(TableauDatas[[Date]:[Date]]=$BI$1)*(TableauDatas[[Perf]:[Perf]])))</f>
        <v/>
      </c>
      <c r="BJ24" s="118" t="str" cm="1">
        <f t="array" ref="BJ24">IF(SUMPRODUCT((TableauDatas[[Test]:[Test]]=$BI$2)*(TableauDatas[[Prénom]:[Prénom]]=V24)*(TableauDatas[[Date]:[Date]]=$BJ$1)*(TableauDatas[[Perf]:[Perf]]))=0,"",SUMPRODUCT((TableauDatas[[Test]:[Test]]=$BI$2)*(TableauDatas[[Prénom]:[Prénom]]=V24)*(TableauDatas[[Date]:[Date]]=$BJ$1)*(TableauDatas[[Perf]:[Perf]])))</f>
        <v/>
      </c>
      <c r="BK24" s="118" t="str" cm="1">
        <f t="array" ref="BK24">IF(SUMPRODUCT((TableauDatas[[Test]:[Test]]=$BK$2)*(TableauDatas[[Prénom]:[Prénom]]=V24)*(TableauDatas[[Date]:[Date]]=$BK$1)*(TableauDatas[[Perf]:[Perf]]))=0,"",SUMPRODUCT((TableauDatas[[Test]:[Test]]=$BK$2)*(TableauDatas[[Prénom]:[Prénom]]=V24)*(TableauDatas[[Date]:[Date]]=$BK$1)*(TableauDatas[[Perf]:[Perf]])))</f>
        <v/>
      </c>
      <c r="BL24" s="118" t="str" cm="1">
        <f t="array" ref="BL24">IF(SUMPRODUCT((TableauDatas[[Test]:[Test]]=$BK$2)*(TableauDatas[[Prénom]:[Prénom]]=V24)*(TableauDatas[[Date]:[Date]]=$BL$1)*(TableauDatas[[Perf]:[Perf]]))=0,"",SUMPRODUCT((TableauDatas[[Test]:[Test]]=$BK$2)*(TableauDatas[[Prénom]:[Prénom]]=V24)*(TableauDatas[[Date]:[Date]]=$BL$1)*(TableauDatas[[Perf]:[Perf]])))</f>
        <v/>
      </c>
      <c r="BM24" s="118" t="str" cm="1">
        <f t="array" ref="BM24">IF(SUMPRODUCT((TableauDatas[[Test]:[Test]]=$BM$2)*(TableauDatas[[Prénom]:[Prénom]]=V24)*(TableauDatas[[Date]:[Date]]=$BM$1)*(TableauDatas[[Perf]:[Perf]]))=0,"",SUMPRODUCT((TableauDatas[[Test]:[Test]]=$BM$2)*(TableauDatas[[Prénom]:[Prénom]]=V24)*(TableauDatas[[Date]:[Date]]=$BM$1)*(TableauDatas[[Perf]:[Perf]])))</f>
        <v/>
      </c>
      <c r="BN24" s="118" t="str" cm="1">
        <f t="array" ref="BN24">IF(SUMPRODUCT((TableauDatas[[Test]:[Test]]=$BM$2)*(TableauDatas[[Prénom]:[Prénom]]=V24)*(TableauDatas[[Date]:[Date]]=$BN$1)*(TableauDatas[[Perf]:[Perf]]))=0,"",SUMPRODUCT((TableauDatas[[Test]:[Test]]=$BM$2)*(TableauDatas[[Prénom]:[Prénom]]=V24)*(TableauDatas[[Date]:[Date]]=$BN$1)*(TableauDatas[[Perf]:[Perf]])))</f>
        <v/>
      </c>
      <c r="BO24" s="118" t="str" cm="1">
        <f t="array" ref="BO24">IF(SUMPRODUCT((TableauDatas[[Test]:[Test]]=$BO$2)*(TableauDatas[[Prénom]:[Prénom]]=V24)*(TableauDatas[[Date]:[Date]]=$BO$1)*(TableauDatas[[Perf]:[Perf]]))=0,"",SUMPRODUCT((TableauDatas[[Test]:[Test]]=$BO$2)*(TableauDatas[[Prénom]:[Prénom]]=V24)*(TableauDatas[[Date]:[Date]]=$BO$1)*(TableauDatas[[Perf]:[Perf]])))</f>
        <v/>
      </c>
      <c r="BP24" s="119" t="str" cm="1">
        <f t="array" ref="BP24">IF(SUMPRODUCT((TableauDatas[[Test]:[Test]]=$BO$2)*(TableauDatas[[Prénom]:[Prénom]]=V24)*(TableauDatas[[Date]:[Date]]=$BP$1)*(TableauDatas[[Perf]:[Perf]]))=0,"",SUMPRODUCT((TableauDatas[[Test]:[Test]]=$BO$2)*(TableauDatas[[Prénom]:[Prénom]]=V24)*(TableauDatas[[Date]:[Date]]=$BP$1)*(TableauDatas[[Perf]:[Perf]])))</f>
        <v/>
      </c>
      <c r="BQ24" s="18"/>
      <c r="BR24" s="18"/>
      <c r="BS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DA24" s="97"/>
      <c r="DB24" s="97"/>
      <c r="DC24" s="97"/>
      <c r="DD24" s="97"/>
      <c r="DE24" s="97"/>
      <c r="DF24" s="97"/>
      <c r="DG24" s="97"/>
      <c r="DH24" s="97"/>
      <c r="DI24" s="97"/>
      <c r="DJ24" s="97"/>
      <c r="DK24" s="97"/>
      <c r="DL24" s="97"/>
      <c r="DM24" s="97"/>
      <c r="DN24" s="97"/>
      <c r="DO24" s="97"/>
      <c r="DQ24" s="97"/>
      <c r="DR24" s="97"/>
      <c r="DS24" s="97"/>
      <c r="DT24" s="97"/>
      <c r="DU24" s="97"/>
      <c r="DV24" s="97"/>
      <c r="DW24" s="97"/>
      <c r="DX24" s="97"/>
      <c r="DY24" s="97"/>
      <c r="DZ24" s="97"/>
      <c r="EA24" s="97"/>
      <c r="EB24" s="97"/>
      <c r="EC24" s="97"/>
      <c r="ED24" s="97"/>
      <c r="EE24" s="97"/>
      <c r="EG24" s="97"/>
      <c r="EH24" s="97"/>
      <c r="EI24" s="97"/>
      <c r="EJ24" s="97"/>
      <c r="EK24" s="97"/>
      <c r="EL24" s="97"/>
      <c r="EM24" s="97"/>
      <c r="EN24" s="97"/>
      <c r="EO24" s="97"/>
      <c r="EP24" s="97"/>
      <c r="EQ24" s="97"/>
      <c r="ER24" s="97"/>
      <c r="ES24" s="97"/>
      <c r="ET24" s="97"/>
      <c r="EU24" s="97"/>
      <c r="EW24" s="97"/>
      <c r="EX24" s="97"/>
      <c r="EY24" s="97"/>
      <c r="EZ24" s="97"/>
      <c r="FA24" s="97"/>
      <c r="FB24" s="97"/>
      <c r="FC24" s="97"/>
      <c r="FD24" s="97"/>
      <c r="FE24" s="97"/>
      <c r="FF24" s="97"/>
      <c r="FG24" s="97"/>
      <c r="FH24" s="97"/>
      <c r="FI24" s="97"/>
      <c r="FJ24" s="97"/>
      <c r="FK24" s="97"/>
      <c r="FM24" s="97"/>
      <c r="FN24" s="97"/>
      <c r="FO24" s="97"/>
      <c r="FP24" s="97"/>
      <c r="FQ24" s="97"/>
      <c r="FR24" s="97"/>
      <c r="FS24" s="97"/>
      <c r="FT24" s="97"/>
      <c r="FU24" s="97"/>
      <c r="FV24" s="97"/>
      <c r="FW24" s="97"/>
      <c r="FX24" s="97"/>
      <c r="FY24" s="97"/>
      <c r="FZ24" s="97"/>
      <c r="GA24" s="97"/>
      <c r="GC24" s="97"/>
      <c r="GD24" s="97"/>
      <c r="GE24" s="97"/>
      <c r="GF24" s="97"/>
      <c r="GG24" s="97"/>
      <c r="GH24" s="97"/>
      <c r="GI24" s="97"/>
      <c r="GJ24" s="97"/>
      <c r="GK24" s="97"/>
      <c r="GL24" s="97"/>
      <c r="GM24" s="97"/>
      <c r="GN24" s="97"/>
      <c r="GO24" s="97"/>
      <c r="GP24" s="97"/>
      <c r="GQ24" s="97"/>
      <c r="GS24" s="97"/>
      <c r="GT24" s="97"/>
      <c r="GU24" s="97"/>
      <c r="GV24" s="97"/>
      <c r="GW24" s="97"/>
      <c r="GX24" s="97"/>
      <c r="GY24" s="97"/>
      <c r="GZ24" s="97"/>
      <c r="HA24" s="97"/>
      <c r="HB24" s="97"/>
      <c r="HC24" s="97"/>
      <c r="HD24" s="97"/>
      <c r="HE24" s="97"/>
      <c r="HF24" s="97"/>
      <c r="HG24" s="97"/>
      <c r="HI24" s="97"/>
      <c r="HJ24" s="97"/>
      <c r="HK24" s="97"/>
      <c r="HL24" s="97"/>
      <c r="HM24" s="97"/>
      <c r="HN24" s="97"/>
      <c r="HO24" s="97"/>
      <c r="HP24" s="97"/>
      <c r="HQ24" s="97"/>
      <c r="HR24" s="97"/>
      <c r="HS24" s="97"/>
      <c r="HT24" s="97"/>
      <c r="HU24" s="97"/>
      <c r="HV24" s="97"/>
      <c r="HW24" s="97"/>
      <c r="HY24" s="97"/>
      <c r="HZ24" s="97"/>
      <c r="IA24" s="97"/>
      <c r="IB24" s="97"/>
      <c r="IC24" s="97"/>
      <c r="ID24" s="97"/>
      <c r="IE24" s="97"/>
      <c r="IF24" s="97"/>
      <c r="IG24" s="97"/>
      <c r="IH24" s="97"/>
      <c r="II24" s="97"/>
      <c r="IJ24" s="97"/>
      <c r="IK24" s="97"/>
      <c r="IL24" s="97"/>
      <c r="IM24" s="97"/>
      <c r="IO24" s="97"/>
      <c r="IP24" s="97"/>
      <c r="IQ24" s="97"/>
      <c r="IR24" s="97"/>
      <c r="IS24" s="97"/>
      <c r="IT24" s="97"/>
      <c r="IU24" s="24"/>
      <c r="IV24" s="24"/>
      <c r="IW24" s="24"/>
      <c r="IX24" s="24"/>
      <c r="IY24" s="24"/>
      <c r="IZ24" s="24"/>
      <c r="JA24" s="24"/>
      <c r="JB24" s="24"/>
      <c r="JC24" s="24"/>
    </row>
    <row r="25" spans="1:263" x14ac:dyDescent="0.25">
      <c r="A25" s="155"/>
      <c r="B25" s="21"/>
      <c r="C25" s="56" t="str" cm="1">
        <f t="array" ref="C25">IF(SUMPRODUCT((TableauDatas[[Prénom]:[Prénom]]=$C$4)*(TableauDatas[[Date]:[Date]]=B25)*(TableauDatas[[Test]:[Test]]=A25)*(TableauDatas[[Perf]:[Perf]]))=0,"",SUMPRODUCT((TableauDatas[[Prénom]:[Prénom]]=$C$4)*(TableauDatas[[Date]:[Date]]=B25)*(TableauDatas[[Test]:[Test]]=A25)*(TableauDatas[[Perf]:[Perf]])))</f>
        <v/>
      </c>
      <c r="D25" s="32" t="str">
        <f>IFERROR(AJ30,"")</f>
        <v/>
      </c>
      <c r="E25" s="30" t="str">
        <f>IFERROR(AJ31,"")</f>
        <v/>
      </c>
      <c r="F25" s="33" t="str">
        <f>IFERROR(AJ32,"")</f>
        <v/>
      </c>
      <c r="G25" s="163" t="str">
        <f>IFERROR(AJ33,"")</f>
        <v/>
      </c>
      <c r="H25" s="40" t="str">
        <f>IFERROR(AJ28,"")</f>
        <v/>
      </c>
      <c r="I25" s="27"/>
      <c r="J25" s="28"/>
      <c r="N25" s="44"/>
      <c r="O25" s="105"/>
      <c r="P25" s="106"/>
      <c r="Q25" s="106"/>
      <c r="R25" s="106"/>
      <c r="S25" s="107"/>
      <c r="T25" s="109"/>
      <c r="V25" s="89">
        <f t="shared" si="0"/>
        <v>0</v>
      </c>
      <c r="W25" s="86" t="str" cm="1">
        <f t="array" ref="W25">IF(SUMPRODUCT((TableauDatas[[Test]:[Test]]=$W$2)*(TableauDatas[[Prénom]:[Prénom]]=V25)*(TableauDatas[[Date]:[Date]]=$W$1)*(TableauDatas[[Perf]:[Perf]]))=0,"",SUMPRODUCT((TableauDatas[[Test]:[Test]]=$W$2)*(TableauDatas[[Prénom]:[Prénom]]=V25)*(TableauDatas[[Date]:[Date]]=$W$1)*(TableauDatas[[Perf]:[Perf]])))</f>
        <v/>
      </c>
      <c r="X25" s="86" t="str" cm="1">
        <f t="array" ref="X25">IF(SUMPRODUCT((TableauDatas[[Test]:[Test]]=$X$2)*(TableauDatas[[Prénom]:[Prénom]]=V25)*(TableauDatas[[Date]:[Date]]=$X$1)*(TableauDatas[[Perf]:[Perf]]))=0,"",SUMPRODUCT((TableauDatas[[Test]:[Test]]=$X$2)*(TableauDatas[[Prénom]:[Prénom]]=V25)*(TableauDatas[[Date]:[Date]]=$X$1)*(TableauDatas[[Perf]:[Perf]])))</f>
        <v/>
      </c>
      <c r="Y25" s="86" t="str" cm="1">
        <f t="array" ref="Y25">IF(SUMPRODUCT((TableauDatas[[Test]:[Test]]=$Y$2)*(TableauDatas[[Prénom]:[Prénom]]=V25)*(TableauDatas[[Date]:[Date]]=$Y$1)*(TableauDatas[[Perf]:[Perf]]))=0,"",SUMPRODUCT((TableauDatas[[Test]:[Test]]=$Y$2)*(TableauDatas[[Prénom]:[Prénom]]=V25)*(TableauDatas[[Date]:[Date]]=$Y$1)*(TableauDatas[[Perf]:[Perf]])))</f>
        <v/>
      </c>
      <c r="Z25" s="86" t="str" cm="1">
        <f t="array" ref="Z25">IF(SUMPRODUCT((TableauDatas[[Test]:[Test]]=$Z$2)*(TableauDatas[[Prénom]:[Prénom]]=V25)*(TableauDatas[[Date]:[Date]]=$Z$1)*(TableauDatas[[Perf]:[Perf]]))=0,"",SUMPRODUCT((TableauDatas[[Test]:[Test]]=$Z$2)*(TableauDatas[[Prénom]:[Prénom]]=V25)*(TableauDatas[[Date]:[Date]]=$Z$1)*(TableauDatas[[Perf]:[Perf]])))</f>
        <v/>
      </c>
      <c r="AA25" s="86" t="str" cm="1">
        <f t="array" ref="AA25">IF(SUMPRODUCT((TableauDatas[[Test]:[Test]]=$AA$2)*(TableauDatas[[Prénom]:[Prénom]]=V25)*(TableauDatas[[Date]:[Date]]=$AA$1)*(TableauDatas[[Perf]:[Perf]]))=0,"",SUMPRODUCT((TableauDatas[[Test]:[Test]]=$AA$2)*(TableauDatas[[Prénom]:[Prénom]]=V25)*(TableauDatas[[Date]:[Date]]=$AA$1)*(TableauDatas[[Perf]:[Perf]])))</f>
        <v/>
      </c>
      <c r="AB25" s="86" t="str" cm="1">
        <f t="array" ref="AB25">IF(SUMPRODUCT((TableauDatas[[Test]:[Test]]=$AB$2)*(TableauDatas[[Prénom]:[Prénom]]=V25)*(TableauDatas[[Date]:[Date]]=$AB$1)*(TableauDatas[[Perf]:[Perf]]))=0,"",SUMPRODUCT((TableauDatas[[Test]:[Test]]=$AB$2)*(TableauDatas[[Prénom]:[Prénom]]=V25)*(TableauDatas[[Date]:[Date]]=$AB$1)*(TableauDatas[[Perf]:[Perf]])))</f>
        <v/>
      </c>
      <c r="AC25" s="86" t="str" cm="1">
        <f t="array" ref="AC25">IF(SUMPRODUCT((TableauDatas[[Test]:[Test]]=$AC$2)*(TableauDatas[[Prénom]:[Prénom]]=V25)*(TableauDatas[[Date]:[Date]]=$AC$1)*(TableauDatas[[Perf]:[Perf]]))=0,"",SUMPRODUCT((TableauDatas[[Test]:[Test]]=$AC$2)*(TableauDatas[[Prénom]:[Prénom]]=V25)*(TableauDatas[[Date]:[Date]]=$AC$1)*(TableauDatas[[Perf]:[Perf]])))</f>
        <v/>
      </c>
      <c r="AD25" s="86" t="str" cm="1">
        <f t="array" ref="AD25">IF(SUMPRODUCT((TableauDatas[[Test]:[Test]]=$AD$2)*(TableauDatas[[Prénom]:[Prénom]]=V25)*(TableauDatas[[Date]:[Date]]=$AD$1)*(TableauDatas[[Perf]:[Perf]]))=0,"",SUMPRODUCT((TableauDatas[[Test]:[Test]]=$AD$2)*(TableauDatas[[Prénom]:[Prénom]]=V25)*(TableauDatas[[Date]:[Date]]=$AD$1)*(TableauDatas[[Perf]:[Perf]])))</f>
        <v/>
      </c>
      <c r="AE25" s="86" t="str" cm="1">
        <f t="array" ref="AE25">IF(SUMPRODUCT((TableauDatas[[Test]:[Test]]=$AE$2)*(TableauDatas[[Prénom]:[Prénom]]=V25)*(TableauDatas[[Date]:[Date]]=$AE$1)*(TableauDatas[[Perf]:[Perf]]))=0,"",SUMPRODUCT((TableauDatas[[Test]:[Test]]=$AE$2)*(TableauDatas[[Prénom]:[Prénom]]=V25)*(TableauDatas[[Date]:[Date]]=$AE$1)*(TableauDatas[[Perf]:[Perf]])))</f>
        <v/>
      </c>
      <c r="AF25" s="86" t="str" cm="1">
        <f t="array" ref="AF25">IF(SUMPRODUCT((TableauDatas[[Test]:[Test]]=$AF$2)*(TableauDatas[[Prénom]:[Prénom]]=V25)*(TableauDatas[[Date]:[Date]]=$AF$1)*(TableauDatas[[Perf]:[Perf]]))=0,"",SUMPRODUCT((TableauDatas[[Test]:[Test]]=$AF$2)*(TableauDatas[[Prénom]:[Prénom]]=V25)*(TableauDatas[[Date]:[Date]]=$AF$1)*(TableauDatas[[Perf]:[Perf]])))</f>
        <v/>
      </c>
      <c r="AG25" s="86" t="str" cm="1">
        <f t="array" ref="AG25">IF(SUMPRODUCT((TableauDatas[[Test]:[Test]]=$AG$2)*(TableauDatas[[Prénom]:[Prénom]]=V25)*(TableauDatas[[Date]:[Date]]=$AG$1)*(TableauDatas[[Perf]:[Perf]]))=0,"",SUMPRODUCT((TableauDatas[[Test]:[Test]]=$AG$2)*(TableauDatas[[Prénom]:[Prénom]]=V25)*(TableauDatas[[Date]:[Date]]=$AG$1)*(TableauDatas[[Perf]:[Perf]])))</f>
        <v/>
      </c>
      <c r="AH25" s="86" t="str" cm="1">
        <f t="array" ref="AH25">IF(SUMPRODUCT((TableauDatas[[Test]:[Test]]=$AH$2)*(TableauDatas[[Prénom]:[Prénom]]=V25)*(TableauDatas[[Date]:[Date]]=$AH$1)*(TableauDatas[[Perf]:[Perf]]))=0,"",SUMPRODUCT((TableauDatas[[Test]:[Test]]=$AH$2)*(TableauDatas[[Prénom]:[Prénom]]=V25)*(TableauDatas[[Date]:[Date]]=$AH$1)*(TableauDatas[[Perf]:[Perf]])))</f>
        <v/>
      </c>
      <c r="AI25" s="86" t="str" cm="1">
        <f t="array" ref="AI25">IF(SUMPRODUCT((TableauDatas[[Test]:[Test]]=$AI$2)*(TableauDatas[[Prénom]:[Prénom]]=V25)*(TableauDatas[[Date]:[Date]]=$AI$1)*(TableauDatas[[Perf]:[Perf]]))=0,"",SUMPRODUCT((TableauDatas[[Test]:[Test]]=$AI$2)*(TableauDatas[[Prénom]:[Prénom]]=V25)*(TableauDatas[[Date]:[Date]]=$AI$1)*(TableauDatas[[Perf]:[Perf]])))</f>
        <v/>
      </c>
      <c r="AJ25" s="86" t="str" cm="1">
        <f t="array" ref="AJ25">IF(SUMPRODUCT((TableauDatas[[Test]:[Test]]=$AJ$2)*(TableauDatas[[Prénom]:[Prénom]]=V25)*(TableauDatas[[Date]:[Date]]=$AJ$1)*(TableauDatas[[Perf]:[Perf]]))=0,"",SUMPRODUCT((TableauDatas[[Test]:[Test]]=$AJ$2)*(TableauDatas[[Prénom]:[Prénom]]=V25)*(TableauDatas[[Date]:[Date]]=$AJ$1)*(TableauDatas[[Perf]:[Perf]])))</f>
        <v/>
      </c>
      <c r="AK25" s="87" t="str" cm="1">
        <f t="array" ref="AK25">IF(SUMPRODUCT((TableauDatas[[Test]:[Test]]=$AK$2)*(TableauDatas[[Prénom]:[Prénom]]=V25)*(TableauDatas[[Date]:[Date]]=$AK$1)*(TableauDatas[[Perf]:[Perf]]))=0,"",SUMPRODUCT((TableauDatas[[Test]:[Test]]=$AK$2)*(TableauDatas[[Prénom]:[Prénom]]=V25)*(TableauDatas[[Date]:[Date]]=$AK$1)*(TableauDatas[[Perf]:[Perf]])))</f>
        <v/>
      </c>
      <c r="AL25" s="18"/>
      <c r="AM25" s="117" t="str" cm="1">
        <f t="array" ref="AM25">IF(SUMPRODUCT((TableauDatas[[Test]:[Test]]=$AM$2)*(TableauDatas[[Prénom]:[Prénom]]=V25)*(TableauDatas[[Date]:[Date]]=$AM$1)*(TableauDatas[[Perf]:[Perf]]))=0,"",SUMPRODUCT((TableauDatas[[Test]:[Test]]=$AM$2)*(TableauDatas[[Prénom]:[Prénom]]=V25)*(TableauDatas[[Date]:[Date]]=$AM$1)*(TableauDatas[[Perf]:[Perf]])))</f>
        <v/>
      </c>
      <c r="AN25" s="120" t="str" cm="1">
        <f t="array" ref="AN25">IF(SUMPRODUCT((TableauDatas[[Test]:[Test]]=$AM$2)*(TableauDatas[[Prénom]:[Prénom]]=V25)*(TableauDatas[[Date]:[Date]]=$AN$1)*(TableauDatas[[Perf]:[Perf]]))=0,"",SUMPRODUCT((TableauDatas[[Test]:[Test]]=$AM$2)*(TableauDatas[[Prénom]:[Prénom]]=V25)*(TableauDatas[[Date]:[Date]]=$AN$1)*(TableauDatas[[Perf]:[Perf]])))</f>
        <v/>
      </c>
      <c r="AO25" s="118" t="str" cm="1">
        <f t="array" ref="AO25">IF(SUMPRODUCT((TableauDatas[[Test]:[Test]]=$AO$2)*(TableauDatas[[Prénom]:[Prénom]]=V25)*(TableauDatas[[Date]:[Date]]=$AO$1)*(TableauDatas[[Perf]:[Perf]]))=0,"",SUMPRODUCT((TableauDatas[[Test]:[Test]]=$AO$2)*(TableauDatas[[Prénom]:[Prénom]]=V25)*(TableauDatas[[Date]:[Date]]=$AO$1)*(TableauDatas[[Perf]:[Perf]])))</f>
        <v/>
      </c>
      <c r="AP25" s="118" t="str" cm="1">
        <f t="array" ref="AP25">IF(SUMPRODUCT((TableauDatas[[Test]:[Test]]=$AO$2)*(TableauDatas[[Prénom]:[Prénom]]=V25)*(TableauDatas[[Date]:[Date]]=$AP$1)*(TableauDatas[[Perf]:[Perf]]))=0,"",SUMPRODUCT((TableauDatas[[Test]:[Test]]=$AO$2)*(TableauDatas[[Prénom]:[Prénom]]=V25)*(TableauDatas[[Date]:[Date]]=$AP$1)*(TableauDatas[[Perf]:[Perf]])))</f>
        <v/>
      </c>
      <c r="AQ25" s="118" t="str" cm="1">
        <f t="array" ref="AQ25">IF(SUMPRODUCT((TableauDatas[[Test]:[Test]]=$AQ$2)*(TableauDatas[[Prénom]:[Prénom]]=V25)*(TableauDatas[[Date]:[Date]]=$AQ$1)*(TableauDatas[[Perf]:[Perf]]))=0,"",SUMPRODUCT((TableauDatas[[Test]:[Test]]=$AQ$2)*(TableauDatas[[Prénom]:[Prénom]]=V25)*(TableauDatas[[Date]:[Date]]=$AQ$1)*(TableauDatas[[Perf]:[Perf]])))</f>
        <v/>
      </c>
      <c r="AR25" s="118" t="str" cm="1">
        <f t="array" ref="AR25">IF(SUMPRODUCT((TableauDatas[[Test]:[Test]]=$AQ$2)*(TableauDatas[[Prénom]:[Prénom]]=V25)*(TableauDatas[[Date]:[Date]]=$AR$1)*(TableauDatas[[Perf]:[Perf]]))=0,"",SUMPRODUCT((TableauDatas[[Test]:[Test]]=$AQ$2)*(TableauDatas[[Prénom]:[Prénom]]=V25)*(TableauDatas[[Date]:[Date]]=$AR$1)*(TableauDatas[[Perf]:[Perf]])))</f>
        <v/>
      </c>
      <c r="AS25" s="118" t="str" cm="1">
        <f t="array" ref="AS25">IF(SUMPRODUCT((TableauDatas[[Test]:[Test]]=$AS$2)*(TableauDatas[[Prénom]:[Prénom]]=V25)*(TableauDatas[[Date]:[Date]]=$AS$1)*(TableauDatas[[Perf]:[Perf]]))=0,"",SUMPRODUCT((TableauDatas[[Test]:[Test]]=$AS$2)*(TableauDatas[[Prénom]:[Prénom]]=V25)*(TableauDatas[[Date]:[Date]]=$AS$1)*(TableauDatas[[Perf]:[Perf]])))</f>
        <v/>
      </c>
      <c r="AT25" s="118" t="str" cm="1">
        <f t="array" ref="AT25">IF(SUMPRODUCT((TableauDatas[[Test]:[Test]]=$AS$2)*(TableauDatas[[Prénom]:[Prénom]]=V25)*(TableauDatas[[Date]:[Date]]=$AT$1)*(TableauDatas[[Perf]:[Perf]]))=0,"",SUMPRODUCT((TableauDatas[[Test]:[Test]]=$AS$2)*(TableauDatas[[Prénom]:[Prénom]]=V25)*(TableauDatas[[Date]:[Date]]=$AT$1)*(TableauDatas[[Perf]:[Perf]])))</f>
        <v/>
      </c>
      <c r="AU25" s="118" t="str" cm="1">
        <f t="array" ref="AU25">IF(SUMPRODUCT((TableauDatas[[Test]:[Test]]=$AU$2)*(TableauDatas[[Prénom]:[Prénom]]=V25)*(TableauDatas[[Date]:[Date]]=$AU$1)*(TableauDatas[[Perf]:[Perf]]))=0,"",SUMPRODUCT((TableauDatas[[Test]:[Test]]=$AU$2)*(TableauDatas[[Prénom]:[Prénom]]=V25)*(TableauDatas[[Date]:[Date]]=$AU$1)*(TableauDatas[[Perf]:[Perf]])))</f>
        <v/>
      </c>
      <c r="AV25" s="118" t="str" cm="1">
        <f t="array" ref="AV25">IF(SUMPRODUCT((TableauDatas[[Test]:[Test]]=$AU$2)*(TableauDatas[[Prénom]:[Prénom]]=V25)*(TableauDatas[[Date]:[Date]]=$AV$1)*(TableauDatas[[Perf]:[Perf]]))=0,"",SUMPRODUCT((TableauDatas[[Test]:[Test]]=$AU$2)*(TableauDatas[[Prénom]:[Prénom]]=V25)*(TableauDatas[[Date]:[Date]]=$AV$1)*(TableauDatas[[Perf]:[Perf]])))</f>
        <v/>
      </c>
      <c r="AW25" s="118" t="str" cm="1">
        <f t="array" ref="AW25">IF(SUMPRODUCT((TableauDatas[[Test]:[Test]]=$AW$2)*(TableauDatas[[Prénom]:[Prénom]]=V25)*(TableauDatas[[Date]:[Date]]=$AW$1)*(TableauDatas[[Perf]:[Perf]]))=0,"",SUMPRODUCT((TableauDatas[[Test]:[Test]]=$AW$2)*(TableauDatas[[Prénom]:[Prénom]]=V25)*(TableauDatas[[Date]:[Date]]=$AW$1)*(TableauDatas[[Perf]:[Perf]])))</f>
        <v/>
      </c>
      <c r="AX25" s="118" t="str" cm="1">
        <f t="array" ref="AX25">IF(SUMPRODUCT((TableauDatas[[Test]:[Test]]=$AW$2)*(TableauDatas[[Prénom]:[Prénom]]=V25)*(TableauDatas[[Date]:[Date]]=$AX$1)*(TableauDatas[[Perf]:[Perf]]))=0,"",SUMPRODUCT((TableauDatas[[Test]:[Test]]=$AW$2)*(TableauDatas[[Prénom]:[Prénom]]=V25)*(TableauDatas[[Date]:[Date]]=$AX$1)*(TableauDatas[[Perf]:[Perf]])))</f>
        <v/>
      </c>
      <c r="AY25" s="118" t="str" cm="1">
        <f t="array" ref="AY25">IF(SUMPRODUCT((TableauDatas[[Test]:[Test]]=$AY$2)*(TableauDatas[[Prénom]:[Prénom]]=V25)*(TableauDatas[[Date]:[Date]]=$AY$1)*(TableauDatas[[Perf]:[Perf]]))=0,"",SUMPRODUCT((TableauDatas[[Test]:[Test]]=$AY$2)*(TableauDatas[[Prénom]:[Prénom]]=V25)*(TableauDatas[[Date]:[Date]]=$AY$1)*(TableauDatas[[Perf]:[Perf]])))</f>
        <v/>
      </c>
      <c r="AZ25" s="118" t="str" cm="1">
        <f t="array" ref="AZ25">IF(SUMPRODUCT((TableauDatas[[Test]:[Test]]=$AY$2)*(TableauDatas[[Prénom]:[Prénom]]=V25)*(TableauDatas[[Date]:[Date]]=$AZ$1)*(TableauDatas[[Perf]:[Perf]]))=0,"",SUMPRODUCT((TableauDatas[[Test]:[Test]]=$AY$2)*(TableauDatas[[Prénom]:[Prénom]]=V25)*(TableauDatas[[Date]:[Date]]=$AZ$1)*(TableauDatas[[Perf]:[Perf]])))</f>
        <v/>
      </c>
      <c r="BA25" s="118" t="str" cm="1">
        <f t="array" ref="BA25">IF(SUMPRODUCT((TableauDatas[[Test]:[Test]]=$BA$2)*(TableauDatas[[Prénom]:[Prénom]]=V25)*(TableauDatas[[Date]:[Date]]=$BA$1)*(TableauDatas[[Perf]:[Perf]]))=0,"",SUMPRODUCT((TableauDatas[[Test]:[Test]]=$BA$2)*(TableauDatas[[Prénom]:[Prénom]]=V25)*(TableauDatas[[Date]:[Date]]=$BA$1)*(TableauDatas[[Perf]:[Perf]])))</f>
        <v/>
      </c>
      <c r="BB25" s="118" t="str" cm="1">
        <f t="array" ref="BB25">IF(SUMPRODUCT((TableauDatas[[Test]:[Test]]=$BA$2)*(TableauDatas[[Prénom]:[Prénom]]=V25)*(TableauDatas[[Date]:[Date]]=$BB$1)*(TableauDatas[[Perf]:[Perf]]))=0,"",SUMPRODUCT((TableauDatas[[Test]:[Test]]=$BA$2)*(TableauDatas[[Prénom]:[Prénom]]=V25)*(TableauDatas[[Date]:[Date]]=$BB$1)*(TableauDatas[[Perf]:[Perf]])))</f>
        <v/>
      </c>
      <c r="BC25" s="118" t="str" cm="1">
        <f t="array" ref="BC25">IF(SUMPRODUCT((TableauDatas[[Test]:[Test]]=$BC$2)*(TableauDatas[[Prénom]:[Prénom]]=V25)*(TableauDatas[[Date]:[Date]]=$BC$1)*(TableauDatas[[Perf]:[Perf]]))=0,"",SUMPRODUCT((TableauDatas[[Test]:[Test]]=$BC$2)*(TableauDatas[[Prénom]:[Prénom]]=V25)*(TableauDatas[[Date]:[Date]]=$BC$1)*(TableauDatas[[Perf]:[Perf]])))</f>
        <v/>
      </c>
      <c r="BD25" s="121" t="str" cm="1">
        <f t="array" ref="BD25">IF(SUMPRODUCT((TableauDatas[[Test]:[Test]]=$BC$2)*(TableauDatas[[Prénom]:[Prénom]]=V25)*(TableauDatas[[Date]:[Date]]=$BD$1)*(TableauDatas[[Perf]:[Perf]]))=0,"",SUMPRODUCT((TableauDatas[[Test]:[Test]]=$BC$2)*(TableauDatas[[Prénom]:[Prénom]]=V25)*(TableauDatas[[Date]:[Date]]=$BD$1)*(TableauDatas[[Perf]:[Perf]])))</f>
        <v/>
      </c>
      <c r="BE25" s="118" t="str" cm="1">
        <f t="array" ref="BE25">IF(SUMPRODUCT((TableauDatas[[Test]:[Test]]=$BE$2)*(TableauDatas[[Prénom]:[Prénom]]=V25)*(TableauDatas[[Date]:[Date]]=$BE$1)*(TableauDatas[[Perf]:[Perf]]))=0,"",SUMPRODUCT((TableauDatas[[Test]:[Test]]=$BE$2)*(TableauDatas[[Prénom]:[Prénom]]=V25)*(TableauDatas[[Date]:[Date]]=$BE$1)*(TableauDatas[[Perf]:[Perf]])))</f>
        <v/>
      </c>
      <c r="BF25" s="118" t="str" cm="1">
        <f t="array" ref="BF25">IF(SUMPRODUCT((TableauDatas[[Test]:[Test]]=$BE$2)*(TableauDatas[[Prénom]:[Prénom]]=V25)*(TableauDatas[[Date]:[Date]]=$BF$1)*(TableauDatas[[Perf]:[Perf]]))=0,"",SUMPRODUCT((TableauDatas[[Test]:[Test]]=$BE$2)*(TableauDatas[[Prénom]:[Prénom]]=V25)*(TableauDatas[[Date]:[Date]]=$BF$1)*(TableauDatas[[Perf]:[Perf]])))</f>
        <v/>
      </c>
      <c r="BG25" s="118" t="str" cm="1">
        <f t="array" ref="BG25">IF(SUMPRODUCT((TableauDatas[[Test]:[Test]]=$BG$2)*(TableauDatas[[Prénom]:[Prénom]]=V25)*(TableauDatas[[Date]:[Date]]=$BG$1)*(TableauDatas[[Perf]:[Perf]]))=0,"",SUMPRODUCT((TableauDatas[[Test]:[Test]]=$BG$2)*(TableauDatas[[Prénom]:[Prénom]]=V25)*(TableauDatas[[Date]:[Date]]=$BG$1)*(TableauDatas[[Perf]:[Perf]])))</f>
        <v/>
      </c>
      <c r="BH25" s="118" t="str" cm="1">
        <f t="array" ref="BH25">IF(SUMPRODUCT((TableauDatas[[Test]:[Test]]=$BG$2)*(TableauDatas[[Prénom]:[Prénom]]=V25)*(TableauDatas[[Date]:[Date]]=$BH$1)*(TableauDatas[[Perf]:[Perf]]))=0,"",SUMPRODUCT((TableauDatas[[Test]:[Test]]=$BG$2)*(TableauDatas[[Prénom]:[Prénom]]=V25)*(TableauDatas[[Date]:[Date]]=$BH$1)*(TableauDatas[[Perf]:[Perf]])))</f>
        <v/>
      </c>
      <c r="BI25" s="118" t="str" cm="1">
        <f t="array" ref="BI25">IF(SUMPRODUCT((TableauDatas[[Test]:[Test]]=$BI$2)*(TableauDatas[[Prénom]:[Prénom]]=V25)*(TableauDatas[[Date]:[Date]]=$BI$1)*(TableauDatas[[Perf]:[Perf]]))=0,"",SUMPRODUCT((TableauDatas[[Test]:[Test]]=$BI$2)*(TableauDatas[[Prénom]:[Prénom]]=V25)*(TableauDatas[[Date]:[Date]]=$BI$1)*(TableauDatas[[Perf]:[Perf]])))</f>
        <v/>
      </c>
      <c r="BJ25" s="118" t="str" cm="1">
        <f t="array" ref="BJ25">IF(SUMPRODUCT((TableauDatas[[Test]:[Test]]=$BI$2)*(TableauDatas[[Prénom]:[Prénom]]=V25)*(TableauDatas[[Date]:[Date]]=$BJ$1)*(TableauDatas[[Perf]:[Perf]]))=0,"",SUMPRODUCT((TableauDatas[[Test]:[Test]]=$BI$2)*(TableauDatas[[Prénom]:[Prénom]]=V25)*(TableauDatas[[Date]:[Date]]=$BJ$1)*(TableauDatas[[Perf]:[Perf]])))</f>
        <v/>
      </c>
      <c r="BK25" s="118" t="str" cm="1">
        <f t="array" ref="BK25">IF(SUMPRODUCT((TableauDatas[[Test]:[Test]]=$BK$2)*(TableauDatas[[Prénom]:[Prénom]]=V25)*(TableauDatas[[Date]:[Date]]=$BK$1)*(TableauDatas[[Perf]:[Perf]]))=0,"",SUMPRODUCT((TableauDatas[[Test]:[Test]]=$BK$2)*(TableauDatas[[Prénom]:[Prénom]]=V25)*(TableauDatas[[Date]:[Date]]=$BK$1)*(TableauDatas[[Perf]:[Perf]])))</f>
        <v/>
      </c>
      <c r="BL25" s="118" t="str" cm="1">
        <f t="array" ref="BL25">IF(SUMPRODUCT((TableauDatas[[Test]:[Test]]=$BK$2)*(TableauDatas[[Prénom]:[Prénom]]=V25)*(TableauDatas[[Date]:[Date]]=$BL$1)*(TableauDatas[[Perf]:[Perf]]))=0,"",SUMPRODUCT((TableauDatas[[Test]:[Test]]=$BK$2)*(TableauDatas[[Prénom]:[Prénom]]=V25)*(TableauDatas[[Date]:[Date]]=$BL$1)*(TableauDatas[[Perf]:[Perf]])))</f>
        <v/>
      </c>
      <c r="BM25" s="118" t="str" cm="1">
        <f t="array" ref="BM25">IF(SUMPRODUCT((TableauDatas[[Test]:[Test]]=$BM$2)*(TableauDatas[[Prénom]:[Prénom]]=V25)*(TableauDatas[[Date]:[Date]]=$BM$1)*(TableauDatas[[Perf]:[Perf]]))=0,"",SUMPRODUCT((TableauDatas[[Test]:[Test]]=$BM$2)*(TableauDatas[[Prénom]:[Prénom]]=V25)*(TableauDatas[[Date]:[Date]]=$BM$1)*(TableauDatas[[Perf]:[Perf]])))</f>
        <v/>
      </c>
      <c r="BN25" s="118" t="str" cm="1">
        <f t="array" ref="BN25">IF(SUMPRODUCT((TableauDatas[[Test]:[Test]]=$BM$2)*(TableauDatas[[Prénom]:[Prénom]]=V25)*(TableauDatas[[Date]:[Date]]=$BN$1)*(TableauDatas[[Perf]:[Perf]]))=0,"",SUMPRODUCT((TableauDatas[[Test]:[Test]]=$BM$2)*(TableauDatas[[Prénom]:[Prénom]]=V25)*(TableauDatas[[Date]:[Date]]=$BN$1)*(TableauDatas[[Perf]:[Perf]])))</f>
        <v/>
      </c>
      <c r="BO25" s="118" t="str" cm="1">
        <f t="array" ref="BO25">IF(SUMPRODUCT((TableauDatas[[Test]:[Test]]=$BO$2)*(TableauDatas[[Prénom]:[Prénom]]=V25)*(TableauDatas[[Date]:[Date]]=$BO$1)*(TableauDatas[[Perf]:[Perf]]))=0,"",SUMPRODUCT((TableauDatas[[Test]:[Test]]=$BO$2)*(TableauDatas[[Prénom]:[Prénom]]=V25)*(TableauDatas[[Date]:[Date]]=$BO$1)*(TableauDatas[[Perf]:[Perf]])))</f>
        <v/>
      </c>
      <c r="BP25" s="119" t="str" cm="1">
        <f t="array" ref="BP25">IF(SUMPRODUCT((TableauDatas[[Test]:[Test]]=$BO$2)*(TableauDatas[[Prénom]:[Prénom]]=V25)*(TableauDatas[[Date]:[Date]]=$BP$1)*(TableauDatas[[Perf]:[Perf]]))=0,"",SUMPRODUCT((TableauDatas[[Test]:[Test]]=$BO$2)*(TableauDatas[[Prénom]:[Prénom]]=V25)*(TableauDatas[[Date]:[Date]]=$BP$1)*(TableauDatas[[Perf]:[Perf]])))</f>
        <v/>
      </c>
      <c r="BQ25" s="18"/>
      <c r="BR25" s="18"/>
      <c r="BS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DA25" s="97"/>
      <c r="DB25" s="97"/>
      <c r="DC25" s="97"/>
      <c r="DD25" s="97"/>
      <c r="DE25" s="97"/>
      <c r="DF25" s="97"/>
      <c r="DG25" s="97"/>
      <c r="DH25" s="97"/>
      <c r="DI25" s="97"/>
      <c r="DJ25" s="97"/>
      <c r="DK25" s="97"/>
      <c r="DL25" s="97"/>
      <c r="DM25" s="97"/>
      <c r="DN25" s="97"/>
      <c r="DO25" s="97"/>
      <c r="DQ25" s="97"/>
      <c r="DR25" s="97"/>
      <c r="DS25" s="97"/>
      <c r="DT25" s="97"/>
      <c r="DU25" s="97"/>
      <c r="DV25" s="97"/>
      <c r="DW25" s="97"/>
      <c r="DX25" s="97"/>
      <c r="DY25" s="97"/>
      <c r="DZ25" s="97"/>
      <c r="EA25" s="97"/>
      <c r="EB25" s="97"/>
      <c r="EC25" s="97"/>
      <c r="ED25" s="97"/>
      <c r="EE25" s="97"/>
      <c r="EG25" s="97"/>
      <c r="EH25" s="97"/>
      <c r="EI25" s="97"/>
      <c r="EJ25" s="97"/>
      <c r="EK25" s="97"/>
      <c r="EL25" s="97"/>
      <c r="EM25" s="97"/>
      <c r="EN25" s="97"/>
      <c r="EO25" s="97"/>
      <c r="EP25" s="97"/>
      <c r="EQ25" s="97"/>
      <c r="ER25" s="97"/>
      <c r="ES25" s="97"/>
      <c r="ET25" s="97"/>
      <c r="EU25" s="97"/>
      <c r="EW25" s="97"/>
      <c r="EX25" s="97"/>
      <c r="EY25" s="97"/>
      <c r="EZ25" s="97"/>
      <c r="FA25" s="97"/>
      <c r="FB25" s="97"/>
      <c r="FC25" s="97"/>
      <c r="FD25" s="97"/>
      <c r="FE25" s="97"/>
      <c r="FF25" s="97"/>
      <c r="FG25" s="97"/>
      <c r="FH25" s="97"/>
      <c r="FI25" s="97"/>
      <c r="FJ25" s="97"/>
      <c r="FK25" s="97"/>
      <c r="FM25" s="97"/>
      <c r="FN25" s="97"/>
      <c r="FO25" s="97"/>
      <c r="FP25" s="97"/>
      <c r="FQ25" s="97"/>
      <c r="FR25" s="97"/>
      <c r="FS25" s="97"/>
      <c r="FT25" s="97"/>
      <c r="FU25" s="97"/>
      <c r="FV25" s="97"/>
      <c r="FW25" s="97"/>
      <c r="FX25" s="97"/>
      <c r="FY25" s="97"/>
      <c r="FZ25" s="97"/>
      <c r="GA25" s="97"/>
      <c r="GC25" s="97"/>
      <c r="GD25" s="97"/>
      <c r="GE25" s="97"/>
      <c r="GF25" s="97"/>
      <c r="GG25" s="97"/>
      <c r="GH25" s="97"/>
      <c r="GI25" s="97"/>
      <c r="GJ25" s="97"/>
      <c r="GK25" s="97"/>
      <c r="GL25" s="97"/>
      <c r="GM25" s="97"/>
      <c r="GN25" s="97"/>
      <c r="GO25" s="97"/>
      <c r="GP25" s="97"/>
      <c r="GQ25" s="97"/>
      <c r="GS25" s="97"/>
      <c r="GT25" s="97"/>
      <c r="GU25" s="97"/>
      <c r="GV25" s="97"/>
      <c r="GW25" s="97"/>
      <c r="GX25" s="97"/>
      <c r="GY25" s="97"/>
      <c r="GZ25" s="97"/>
      <c r="HA25" s="97"/>
      <c r="HB25" s="97"/>
      <c r="HC25" s="97"/>
      <c r="HD25" s="97"/>
      <c r="HE25" s="97"/>
      <c r="HF25" s="97"/>
      <c r="HG25" s="97"/>
      <c r="HI25" s="97"/>
      <c r="HJ25" s="97"/>
      <c r="HK25" s="97"/>
      <c r="HL25" s="97"/>
      <c r="HM25" s="97"/>
      <c r="HN25" s="97"/>
      <c r="HO25" s="97"/>
      <c r="HP25" s="97"/>
      <c r="HQ25" s="97"/>
      <c r="HR25" s="97"/>
      <c r="HS25" s="97"/>
      <c r="HT25" s="97"/>
      <c r="HU25" s="97"/>
      <c r="HV25" s="97"/>
      <c r="HW25" s="97"/>
      <c r="HY25" s="97"/>
      <c r="HZ25" s="97"/>
      <c r="IA25" s="97"/>
      <c r="IB25" s="97"/>
      <c r="IC25" s="97"/>
      <c r="ID25" s="97"/>
      <c r="IE25" s="97"/>
      <c r="IF25" s="97"/>
      <c r="IG25" s="97"/>
      <c r="IH25" s="97"/>
      <c r="II25" s="97"/>
      <c r="IJ25" s="97"/>
      <c r="IK25" s="97"/>
      <c r="IL25" s="97"/>
      <c r="IM25" s="97"/>
      <c r="IO25" s="97"/>
      <c r="IP25" s="97"/>
      <c r="IQ25" s="97"/>
      <c r="IR25" s="97"/>
      <c r="IS25" s="97"/>
      <c r="IT25" s="97"/>
      <c r="IU25" s="24"/>
      <c r="IV25" s="24"/>
      <c r="IW25" s="24"/>
      <c r="IX25" s="24"/>
      <c r="IY25" s="24"/>
      <c r="IZ25" s="24"/>
      <c r="JA25" s="24"/>
      <c r="JB25" s="24"/>
      <c r="JC25" s="24"/>
    </row>
    <row r="26" spans="1:263" ht="15.95" customHeight="1" thickBot="1" x14ac:dyDescent="0.3">
      <c r="A26" s="158"/>
      <c r="B26" s="22"/>
      <c r="C26" s="17" t="str" cm="1">
        <f t="array" ref="C26">IF(SUMPRODUCT((TableauDatas[[Prénom]:[Prénom]]=$C$4)*(TableauDatas[[Date]:[Date]]=B26)*(TableauDatas[[Test]:[Test]]=A26)*(TableauDatas[[Perf]:[Perf]]))=0,"",SUMPRODUCT((TableauDatas[[Prénom]:[Prénom]]=$C$4)*(TableauDatas[[Date]:[Date]]=B26)*(TableauDatas[[Test]:[Test]]=A26)*(TableauDatas[[Perf]:[Perf]])))</f>
        <v/>
      </c>
      <c r="D26" s="34" t="str">
        <f>IFERROR(AK30,"")</f>
        <v/>
      </c>
      <c r="E26" s="35" t="str">
        <f>IFERROR(AK31,"")</f>
        <v/>
      </c>
      <c r="F26" s="36" t="str">
        <f>IFERROR(AK32,"")</f>
        <v/>
      </c>
      <c r="G26" s="164" t="str">
        <f>IFERROR(AK33,"")</f>
        <v/>
      </c>
      <c r="H26" s="40" t="str">
        <f>IFERROR(AK28,"")</f>
        <v/>
      </c>
      <c r="I26" s="101"/>
      <c r="J26" s="102"/>
      <c r="K26" s="101"/>
      <c r="L26" s="101"/>
      <c r="N26" s="44"/>
      <c r="O26" s="68"/>
      <c r="P26" s="71"/>
      <c r="Q26" s="71"/>
      <c r="R26" s="71"/>
      <c r="S26" s="72"/>
      <c r="T26" s="49"/>
      <c r="V26" s="89">
        <f t="shared" si="0"/>
        <v>0</v>
      </c>
      <c r="W26" s="86" t="str" cm="1">
        <f t="array" ref="W26">IF(SUMPRODUCT((TableauDatas[[Test]:[Test]]=$W$2)*(TableauDatas[[Prénom]:[Prénom]]=V26)*(TableauDatas[[Date]:[Date]]=$W$1)*(TableauDatas[[Perf]:[Perf]]))=0,"",SUMPRODUCT((TableauDatas[[Test]:[Test]]=$W$2)*(TableauDatas[[Prénom]:[Prénom]]=V26)*(TableauDatas[[Date]:[Date]]=$W$1)*(TableauDatas[[Perf]:[Perf]])))</f>
        <v/>
      </c>
      <c r="X26" s="86" t="str" cm="1">
        <f t="array" ref="X26">IF(SUMPRODUCT((TableauDatas[[Test]:[Test]]=$X$2)*(TableauDatas[[Prénom]:[Prénom]]=V26)*(TableauDatas[[Date]:[Date]]=$X$1)*(TableauDatas[[Perf]:[Perf]]))=0,"",SUMPRODUCT((TableauDatas[[Test]:[Test]]=$X$2)*(TableauDatas[[Prénom]:[Prénom]]=V26)*(TableauDatas[[Date]:[Date]]=$X$1)*(TableauDatas[[Perf]:[Perf]])))</f>
        <v/>
      </c>
      <c r="Y26" s="86" t="str" cm="1">
        <f t="array" ref="Y26">IF(SUMPRODUCT((TableauDatas[[Test]:[Test]]=$Y$2)*(TableauDatas[[Prénom]:[Prénom]]=V26)*(TableauDatas[[Date]:[Date]]=$Y$1)*(TableauDatas[[Perf]:[Perf]]))=0,"",SUMPRODUCT((TableauDatas[[Test]:[Test]]=$Y$2)*(TableauDatas[[Prénom]:[Prénom]]=V26)*(TableauDatas[[Date]:[Date]]=$Y$1)*(TableauDatas[[Perf]:[Perf]])))</f>
        <v/>
      </c>
      <c r="Z26" s="86" t="str" cm="1">
        <f t="array" ref="Z26">IF(SUMPRODUCT((TableauDatas[[Test]:[Test]]=$Z$2)*(TableauDatas[[Prénom]:[Prénom]]=V26)*(TableauDatas[[Date]:[Date]]=$Z$1)*(TableauDatas[[Perf]:[Perf]]))=0,"",SUMPRODUCT((TableauDatas[[Test]:[Test]]=$Z$2)*(TableauDatas[[Prénom]:[Prénom]]=V26)*(TableauDatas[[Date]:[Date]]=$Z$1)*(TableauDatas[[Perf]:[Perf]])))</f>
        <v/>
      </c>
      <c r="AA26" s="86" t="str" cm="1">
        <f t="array" ref="AA26">IF(SUMPRODUCT((TableauDatas[[Test]:[Test]]=$AA$2)*(TableauDatas[[Prénom]:[Prénom]]=V26)*(TableauDatas[[Date]:[Date]]=$AA$1)*(TableauDatas[[Perf]:[Perf]]))=0,"",SUMPRODUCT((TableauDatas[[Test]:[Test]]=$AA$2)*(TableauDatas[[Prénom]:[Prénom]]=V26)*(TableauDatas[[Date]:[Date]]=$AA$1)*(TableauDatas[[Perf]:[Perf]])))</f>
        <v/>
      </c>
      <c r="AB26" s="86" t="str" cm="1">
        <f t="array" ref="AB26">IF(SUMPRODUCT((TableauDatas[[Test]:[Test]]=$AB$2)*(TableauDatas[[Prénom]:[Prénom]]=V26)*(TableauDatas[[Date]:[Date]]=$AB$1)*(TableauDatas[[Perf]:[Perf]]))=0,"",SUMPRODUCT((TableauDatas[[Test]:[Test]]=$AB$2)*(TableauDatas[[Prénom]:[Prénom]]=V26)*(TableauDatas[[Date]:[Date]]=$AB$1)*(TableauDatas[[Perf]:[Perf]])))</f>
        <v/>
      </c>
      <c r="AC26" s="86" t="str" cm="1">
        <f t="array" ref="AC26">IF(SUMPRODUCT((TableauDatas[[Test]:[Test]]=$AC$2)*(TableauDatas[[Prénom]:[Prénom]]=V26)*(TableauDatas[[Date]:[Date]]=$AC$1)*(TableauDatas[[Perf]:[Perf]]))=0,"",SUMPRODUCT((TableauDatas[[Test]:[Test]]=$AC$2)*(TableauDatas[[Prénom]:[Prénom]]=V26)*(TableauDatas[[Date]:[Date]]=$AC$1)*(TableauDatas[[Perf]:[Perf]])))</f>
        <v/>
      </c>
      <c r="AD26" s="86" t="str" cm="1">
        <f t="array" ref="AD26">IF(SUMPRODUCT((TableauDatas[[Test]:[Test]]=$AD$2)*(TableauDatas[[Prénom]:[Prénom]]=V26)*(TableauDatas[[Date]:[Date]]=$AD$1)*(TableauDatas[[Perf]:[Perf]]))=0,"",SUMPRODUCT((TableauDatas[[Test]:[Test]]=$AD$2)*(TableauDatas[[Prénom]:[Prénom]]=V26)*(TableauDatas[[Date]:[Date]]=$AD$1)*(TableauDatas[[Perf]:[Perf]])))</f>
        <v/>
      </c>
      <c r="AE26" s="86" t="str" cm="1">
        <f t="array" ref="AE26">IF(SUMPRODUCT((TableauDatas[[Test]:[Test]]=$AE$2)*(TableauDatas[[Prénom]:[Prénom]]=V26)*(TableauDatas[[Date]:[Date]]=$AE$1)*(TableauDatas[[Perf]:[Perf]]))=0,"",SUMPRODUCT((TableauDatas[[Test]:[Test]]=$AE$2)*(TableauDatas[[Prénom]:[Prénom]]=V26)*(TableauDatas[[Date]:[Date]]=$AE$1)*(TableauDatas[[Perf]:[Perf]])))</f>
        <v/>
      </c>
      <c r="AF26" s="86" t="str" cm="1">
        <f t="array" ref="AF26">IF(SUMPRODUCT((TableauDatas[[Test]:[Test]]=$AF$2)*(TableauDatas[[Prénom]:[Prénom]]=V26)*(TableauDatas[[Date]:[Date]]=$AF$1)*(TableauDatas[[Perf]:[Perf]]))=0,"",SUMPRODUCT((TableauDatas[[Test]:[Test]]=$AF$2)*(TableauDatas[[Prénom]:[Prénom]]=V26)*(TableauDatas[[Date]:[Date]]=$AF$1)*(TableauDatas[[Perf]:[Perf]])))</f>
        <v/>
      </c>
      <c r="AG26" s="86" t="str" cm="1">
        <f t="array" ref="AG26">IF(SUMPRODUCT((TableauDatas[[Test]:[Test]]=$AG$2)*(TableauDatas[[Prénom]:[Prénom]]=V26)*(TableauDatas[[Date]:[Date]]=$AG$1)*(TableauDatas[[Perf]:[Perf]]))=0,"",SUMPRODUCT((TableauDatas[[Test]:[Test]]=$AG$2)*(TableauDatas[[Prénom]:[Prénom]]=V26)*(TableauDatas[[Date]:[Date]]=$AG$1)*(TableauDatas[[Perf]:[Perf]])))</f>
        <v/>
      </c>
      <c r="AH26" s="86" t="str" cm="1">
        <f t="array" ref="AH26">IF(SUMPRODUCT((TableauDatas[[Test]:[Test]]=$AH$2)*(TableauDatas[[Prénom]:[Prénom]]=V26)*(TableauDatas[[Date]:[Date]]=$AH$1)*(TableauDatas[[Perf]:[Perf]]))=0,"",SUMPRODUCT((TableauDatas[[Test]:[Test]]=$AH$2)*(TableauDatas[[Prénom]:[Prénom]]=V26)*(TableauDatas[[Date]:[Date]]=$AH$1)*(TableauDatas[[Perf]:[Perf]])))</f>
        <v/>
      </c>
      <c r="AI26" s="86" t="str" cm="1">
        <f t="array" ref="AI26">IF(SUMPRODUCT((TableauDatas[[Test]:[Test]]=$AI$2)*(TableauDatas[[Prénom]:[Prénom]]=V26)*(TableauDatas[[Date]:[Date]]=$AI$1)*(TableauDatas[[Perf]:[Perf]]))=0,"",SUMPRODUCT((TableauDatas[[Test]:[Test]]=$AI$2)*(TableauDatas[[Prénom]:[Prénom]]=V26)*(TableauDatas[[Date]:[Date]]=$AI$1)*(TableauDatas[[Perf]:[Perf]])))</f>
        <v/>
      </c>
      <c r="AJ26" s="86" t="str" cm="1">
        <f t="array" ref="AJ26">IF(SUMPRODUCT((TableauDatas[[Test]:[Test]]=$AJ$2)*(TableauDatas[[Prénom]:[Prénom]]=V26)*(TableauDatas[[Date]:[Date]]=$AJ$1)*(TableauDatas[[Perf]:[Perf]]))=0,"",SUMPRODUCT((TableauDatas[[Test]:[Test]]=$AJ$2)*(TableauDatas[[Prénom]:[Prénom]]=V26)*(TableauDatas[[Date]:[Date]]=$AJ$1)*(TableauDatas[[Perf]:[Perf]])))</f>
        <v/>
      </c>
      <c r="AK26" s="87" t="str" cm="1">
        <f t="array" ref="AK26">IF(SUMPRODUCT((TableauDatas[[Test]:[Test]]=$AK$2)*(TableauDatas[[Prénom]:[Prénom]]=V26)*(TableauDatas[[Date]:[Date]]=$AK$1)*(TableauDatas[[Perf]:[Perf]]))=0,"",SUMPRODUCT((TableauDatas[[Test]:[Test]]=$AK$2)*(TableauDatas[[Prénom]:[Prénom]]=V26)*(TableauDatas[[Date]:[Date]]=$AK$1)*(TableauDatas[[Perf]:[Perf]])))</f>
        <v/>
      </c>
      <c r="AL26" s="18"/>
      <c r="AM26" s="117" t="str" cm="1">
        <f t="array" ref="AM26">IF(SUMPRODUCT((TableauDatas[[Test]:[Test]]=$AM$2)*(TableauDatas[[Prénom]:[Prénom]]=V26)*(TableauDatas[[Date]:[Date]]=$AM$1)*(TableauDatas[[Perf]:[Perf]]))=0,"",SUMPRODUCT((TableauDatas[[Test]:[Test]]=$AM$2)*(TableauDatas[[Prénom]:[Prénom]]=V26)*(TableauDatas[[Date]:[Date]]=$AM$1)*(TableauDatas[[Perf]:[Perf]])))</f>
        <v/>
      </c>
      <c r="AN26" s="120" t="str" cm="1">
        <f t="array" ref="AN26">IF(SUMPRODUCT((TableauDatas[[Test]:[Test]]=$AM$2)*(TableauDatas[[Prénom]:[Prénom]]=V26)*(TableauDatas[[Date]:[Date]]=$AN$1)*(TableauDatas[[Perf]:[Perf]]))=0,"",SUMPRODUCT((TableauDatas[[Test]:[Test]]=$AM$2)*(TableauDatas[[Prénom]:[Prénom]]=V26)*(TableauDatas[[Date]:[Date]]=$AN$1)*(TableauDatas[[Perf]:[Perf]])))</f>
        <v/>
      </c>
      <c r="AO26" s="118" t="str" cm="1">
        <f t="array" ref="AO26">IF(SUMPRODUCT((TableauDatas[[Test]:[Test]]=$AO$2)*(TableauDatas[[Prénom]:[Prénom]]=V26)*(TableauDatas[[Date]:[Date]]=$AO$1)*(TableauDatas[[Perf]:[Perf]]))=0,"",SUMPRODUCT((TableauDatas[[Test]:[Test]]=$AO$2)*(TableauDatas[[Prénom]:[Prénom]]=V26)*(TableauDatas[[Date]:[Date]]=$AO$1)*(TableauDatas[[Perf]:[Perf]])))</f>
        <v/>
      </c>
      <c r="AP26" s="118" t="str" cm="1">
        <f t="array" ref="AP26">IF(SUMPRODUCT((TableauDatas[[Test]:[Test]]=$AO$2)*(TableauDatas[[Prénom]:[Prénom]]=V26)*(TableauDatas[[Date]:[Date]]=$AP$1)*(TableauDatas[[Perf]:[Perf]]))=0,"",SUMPRODUCT((TableauDatas[[Test]:[Test]]=$AO$2)*(TableauDatas[[Prénom]:[Prénom]]=V26)*(TableauDatas[[Date]:[Date]]=$AP$1)*(TableauDatas[[Perf]:[Perf]])))</f>
        <v/>
      </c>
      <c r="AQ26" s="118" t="str" cm="1">
        <f t="array" ref="AQ26">IF(SUMPRODUCT((TableauDatas[[Test]:[Test]]=$AQ$2)*(TableauDatas[[Prénom]:[Prénom]]=V26)*(TableauDatas[[Date]:[Date]]=$AQ$1)*(TableauDatas[[Perf]:[Perf]]))=0,"",SUMPRODUCT((TableauDatas[[Test]:[Test]]=$AQ$2)*(TableauDatas[[Prénom]:[Prénom]]=V26)*(TableauDatas[[Date]:[Date]]=$AQ$1)*(TableauDatas[[Perf]:[Perf]])))</f>
        <v/>
      </c>
      <c r="AR26" s="118" t="str" cm="1">
        <f t="array" ref="AR26">IF(SUMPRODUCT((TableauDatas[[Test]:[Test]]=$AQ$2)*(TableauDatas[[Prénom]:[Prénom]]=V26)*(TableauDatas[[Date]:[Date]]=$AR$1)*(TableauDatas[[Perf]:[Perf]]))=0,"",SUMPRODUCT((TableauDatas[[Test]:[Test]]=$AQ$2)*(TableauDatas[[Prénom]:[Prénom]]=V26)*(TableauDatas[[Date]:[Date]]=$AR$1)*(TableauDatas[[Perf]:[Perf]])))</f>
        <v/>
      </c>
      <c r="AS26" s="118" t="str" cm="1">
        <f t="array" ref="AS26">IF(SUMPRODUCT((TableauDatas[[Test]:[Test]]=$AS$2)*(TableauDatas[[Prénom]:[Prénom]]=V26)*(TableauDatas[[Date]:[Date]]=$AS$1)*(TableauDatas[[Perf]:[Perf]]))=0,"",SUMPRODUCT((TableauDatas[[Test]:[Test]]=$AS$2)*(TableauDatas[[Prénom]:[Prénom]]=V26)*(TableauDatas[[Date]:[Date]]=$AS$1)*(TableauDatas[[Perf]:[Perf]])))</f>
        <v/>
      </c>
      <c r="AT26" s="118" t="str" cm="1">
        <f t="array" ref="AT26">IF(SUMPRODUCT((TableauDatas[[Test]:[Test]]=$AS$2)*(TableauDatas[[Prénom]:[Prénom]]=V26)*(TableauDatas[[Date]:[Date]]=$AT$1)*(TableauDatas[[Perf]:[Perf]]))=0,"",SUMPRODUCT((TableauDatas[[Test]:[Test]]=$AS$2)*(TableauDatas[[Prénom]:[Prénom]]=V26)*(TableauDatas[[Date]:[Date]]=$AT$1)*(TableauDatas[[Perf]:[Perf]])))</f>
        <v/>
      </c>
      <c r="AU26" s="118" t="str" cm="1">
        <f t="array" ref="AU26">IF(SUMPRODUCT((TableauDatas[[Test]:[Test]]=$AU$2)*(TableauDatas[[Prénom]:[Prénom]]=V26)*(TableauDatas[[Date]:[Date]]=$AU$1)*(TableauDatas[[Perf]:[Perf]]))=0,"",SUMPRODUCT((TableauDatas[[Test]:[Test]]=$AU$2)*(TableauDatas[[Prénom]:[Prénom]]=V26)*(TableauDatas[[Date]:[Date]]=$AU$1)*(TableauDatas[[Perf]:[Perf]])))</f>
        <v/>
      </c>
      <c r="AV26" s="118" t="str" cm="1">
        <f t="array" ref="AV26">IF(SUMPRODUCT((TableauDatas[[Test]:[Test]]=$AU$2)*(TableauDatas[[Prénom]:[Prénom]]=V26)*(TableauDatas[[Date]:[Date]]=$AV$1)*(TableauDatas[[Perf]:[Perf]]))=0,"",SUMPRODUCT((TableauDatas[[Test]:[Test]]=$AU$2)*(TableauDatas[[Prénom]:[Prénom]]=V26)*(TableauDatas[[Date]:[Date]]=$AV$1)*(TableauDatas[[Perf]:[Perf]])))</f>
        <v/>
      </c>
      <c r="AW26" s="118" t="str" cm="1">
        <f t="array" ref="AW26">IF(SUMPRODUCT((TableauDatas[[Test]:[Test]]=$AW$2)*(TableauDatas[[Prénom]:[Prénom]]=V26)*(TableauDatas[[Date]:[Date]]=$AW$1)*(TableauDatas[[Perf]:[Perf]]))=0,"",SUMPRODUCT((TableauDatas[[Test]:[Test]]=$AW$2)*(TableauDatas[[Prénom]:[Prénom]]=V26)*(TableauDatas[[Date]:[Date]]=$AW$1)*(TableauDatas[[Perf]:[Perf]])))</f>
        <v/>
      </c>
      <c r="AX26" s="118" t="str" cm="1">
        <f t="array" ref="AX26">IF(SUMPRODUCT((TableauDatas[[Test]:[Test]]=$AW$2)*(TableauDatas[[Prénom]:[Prénom]]=V26)*(TableauDatas[[Date]:[Date]]=$AX$1)*(TableauDatas[[Perf]:[Perf]]))=0,"",SUMPRODUCT((TableauDatas[[Test]:[Test]]=$AW$2)*(TableauDatas[[Prénom]:[Prénom]]=V26)*(TableauDatas[[Date]:[Date]]=$AX$1)*(TableauDatas[[Perf]:[Perf]])))</f>
        <v/>
      </c>
      <c r="AY26" s="118" t="str" cm="1">
        <f t="array" ref="AY26">IF(SUMPRODUCT((TableauDatas[[Test]:[Test]]=$AY$2)*(TableauDatas[[Prénom]:[Prénom]]=V26)*(TableauDatas[[Date]:[Date]]=$AY$1)*(TableauDatas[[Perf]:[Perf]]))=0,"",SUMPRODUCT((TableauDatas[[Test]:[Test]]=$AY$2)*(TableauDatas[[Prénom]:[Prénom]]=V26)*(TableauDatas[[Date]:[Date]]=$AY$1)*(TableauDatas[[Perf]:[Perf]])))</f>
        <v/>
      </c>
      <c r="AZ26" s="118" t="str" cm="1">
        <f t="array" ref="AZ26">IF(SUMPRODUCT((TableauDatas[[Test]:[Test]]=$AY$2)*(TableauDatas[[Prénom]:[Prénom]]=V26)*(TableauDatas[[Date]:[Date]]=$AZ$1)*(TableauDatas[[Perf]:[Perf]]))=0,"",SUMPRODUCT((TableauDatas[[Test]:[Test]]=$AY$2)*(TableauDatas[[Prénom]:[Prénom]]=V26)*(TableauDatas[[Date]:[Date]]=$AZ$1)*(TableauDatas[[Perf]:[Perf]])))</f>
        <v/>
      </c>
      <c r="BA26" s="118" t="str" cm="1">
        <f t="array" ref="BA26">IF(SUMPRODUCT((TableauDatas[[Test]:[Test]]=$BA$2)*(TableauDatas[[Prénom]:[Prénom]]=V26)*(TableauDatas[[Date]:[Date]]=$BA$1)*(TableauDatas[[Perf]:[Perf]]))=0,"",SUMPRODUCT((TableauDatas[[Test]:[Test]]=$BA$2)*(TableauDatas[[Prénom]:[Prénom]]=V26)*(TableauDatas[[Date]:[Date]]=$BA$1)*(TableauDatas[[Perf]:[Perf]])))</f>
        <v/>
      </c>
      <c r="BB26" s="118" t="str" cm="1">
        <f t="array" ref="BB26">IF(SUMPRODUCT((TableauDatas[[Test]:[Test]]=$BA$2)*(TableauDatas[[Prénom]:[Prénom]]=V26)*(TableauDatas[[Date]:[Date]]=$BB$1)*(TableauDatas[[Perf]:[Perf]]))=0,"",SUMPRODUCT((TableauDatas[[Test]:[Test]]=$BA$2)*(TableauDatas[[Prénom]:[Prénom]]=V26)*(TableauDatas[[Date]:[Date]]=$BB$1)*(TableauDatas[[Perf]:[Perf]])))</f>
        <v/>
      </c>
      <c r="BC26" s="118" t="str" cm="1">
        <f t="array" ref="BC26">IF(SUMPRODUCT((TableauDatas[[Test]:[Test]]=$BC$2)*(TableauDatas[[Prénom]:[Prénom]]=V26)*(TableauDatas[[Date]:[Date]]=$BC$1)*(TableauDatas[[Perf]:[Perf]]))=0,"",SUMPRODUCT((TableauDatas[[Test]:[Test]]=$BC$2)*(TableauDatas[[Prénom]:[Prénom]]=V26)*(TableauDatas[[Date]:[Date]]=$BC$1)*(TableauDatas[[Perf]:[Perf]])))</f>
        <v/>
      </c>
      <c r="BD26" s="121" t="str" cm="1">
        <f t="array" ref="BD26">IF(SUMPRODUCT((TableauDatas[[Test]:[Test]]=$BC$2)*(TableauDatas[[Prénom]:[Prénom]]=V26)*(TableauDatas[[Date]:[Date]]=$BD$1)*(TableauDatas[[Perf]:[Perf]]))=0,"",SUMPRODUCT((TableauDatas[[Test]:[Test]]=$BC$2)*(TableauDatas[[Prénom]:[Prénom]]=V26)*(TableauDatas[[Date]:[Date]]=$BD$1)*(TableauDatas[[Perf]:[Perf]])))</f>
        <v/>
      </c>
      <c r="BE26" s="118" t="str" cm="1">
        <f t="array" ref="BE26">IF(SUMPRODUCT((TableauDatas[[Test]:[Test]]=$BE$2)*(TableauDatas[[Prénom]:[Prénom]]=V26)*(TableauDatas[[Date]:[Date]]=$BE$1)*(TableauDatas[[Perf]:[Perf]]))=0,"",SUMPRODUCT((TableauDatas[[Test]:[Test]]=$BE$2)*(TableauDatas[[Prénom]:[Prénom]]=V26)*(TableauDatas[[Date]:[Date]]=$BE$1)*(TableauDatas[[Perf]:[Perf]])))</f>
        <v/>
      </c>
      <c r="BF26" s="118" t="str" cm="1">
        <f t="array" ref="BF26">IF(SUMPRODUCT((TableauDatas[[Test]:[Test]]=$BE$2)*(TableauDatas[[Prénom]:[Prénom]]=V26)*(TableauDatas[[Date]:[Date]]=$BF$1)*(TableauDatas[[Perf]:[Perf]]))=0,"",SUMPRODUCT((TableauDatas[[Test]:[Test]]=$BE$2)*(TableauDatas[[Prénom]:[Prénom]]=V26)*(TableauDatas[[Date]:[Date]]=$BF$1)*(TableauDatas[[Perf]:[Perf]])))</f>
        <v/>
      </c>
      <c r="BG26" s="118" t="str" cm="1">
        <f t="array" ref="BG26">IF(SUMPRODUCT((TableauDatas[[Test]:[Test]]=$BG$2)*(TableauDatas[[Prénom]:[Prénom]]=V26)*(TableauDatas[[Date]:[Date]]=$BG$1)*(TableauDatas[[Perf]:[Perf]]))=0,"",SUMPRODUCT((TableauDatas[[Test]:[Test]]=$BG$2)*(TableauDatas[[Prénom]:[Prénom]]=V26)*(TableauDatas[[Date]:[Date]]=$BG$1)*(TableauDatas[[Perf]:[Perf]])))</f>
        <v/>
      </c>
      <c r="BH26" s="118" t="str" cm="1">
        <f t="array" ref="BH26">IF(SUMPRODUCT((TableauDatas[[Test]:[Test]]=$BG$2)*(TableauDatas[[Prénom]:[Prénom]]=V26)*(TableauDatas[[Date]:[Date]]=$BH$1)*(TableauDatas[[Perf]:[Perf]]))=0,"",SUMPRODUCT((TableauDatas[[Test]:[Test]]=$BG$2)*(TableauDatas[[Prénom]:[Prénom]]=V26)*(TableauDatas[[Date]:[Date]]=$BH$1)*(TableauDatas[[Perf]:[Perf]])))</f>
        <v/>
      </c>
      <c r="BI26" s="118" t="str" cm="1">
        <f t="array" ref="BI26">IF(SUMPRODUCT((TableauDatas[[Test]:[Test]]=$BI$2)*(TableauDatas[[Prénom]:[Prénom]]=V26)*(TableauDatas[[Date]:[Date]]=$BI$1)*(TableauDatas[[Perf]:[Perf]]))=0,"",SUMPRODUCT((TableauDatas[[Test]:[Test]]=$BI$2)*(TableauDatas[[Prénom]:[Prénom]]=V26)*(TableauDatas[[Date]:[Date]]=$BI$1)*(TableauDatas[[Perf]:[Perf]])))</f>
        <v/>
      </c>
      <c r="BJ26" s="118" t="str" cm="1">
        <f t="array" ref="BJ26">IF(SUMPRODUCT((TableauDatas[[Test]:[Test]]=$BI$2)*(TableauDatas[[Prénom]:[Prénom]]=V26)*(TableauDatas[[Date]:[Date]]=$BJ$1)*(TableauDatas[[Perf]:[Perf]]))=0,"",SUMPRODUCT((TableauDatas[[Test]:[Test]]=$BI$2)*(TableauDatas[[Prénom]:[Prénom]]=V26)*(TableauDatas[[Date]:[Date]]=$BJ$1)*(TableauDatas[[Perf]:[Perf]])))</f>
        <v/>
      </c>
      <c r="BK26" s="118" t="str" cm="1">
        <f t="array" ref="BK26">IF(SUMPRODUCT((TableauDatas[[Test]:[Test]]=$BK$2)*(TableauDatas[[Prénom]:[Prénom]]=V26)*(TableauDatas[[Date]:[Date]]=$BK$1)*(TableauDatas[[Perf]:[Perf]]))=0,"",SUMPRODUCT((TableauDatas[[Test]:[Test]]=$BK$2)*(TableauDatas[[Prénom]:[Prénom]]=V26)*(TableauDatas[[Date]:[Date]]=$BK$1)*(TableauDatas[[Perf]:[Perf]])))</f>
        <v/>
      </c>
      <c r="BL26" s="118" t="str" cm="1">
        <f t="array" ref="BL26">IF(SUMPRODUCT((TableauDatas[[Test]:[Test]]=$BK$2)*(TableauDatas[[Prénom]:[Prénom]]=V26)*(TableauDatas[[Date]:[Date]]=$BL$1)*(TableauDatas[[Perf]:[Perf]]))=0,"",SUMPRODUCT((TableauDatas[[Test]:[Test]]=$BK$2)*(TableauDatas[[Prénom]:[Prénom]]=V26)*(TableauDatas[[Date]:[Date]]=$BL$1)*(TableauDatas[[Perf]:[Perf]])))</f>
        <v/>
      </c>
      <c r="BM26" s="118" t="str" cm="1">
        <f t="array" ref="BM26">IF(SUMPRODUCT((TableauDatas[[Test]:[Test]]=$BM$2)*(TableauDatas[[Prénom]:[Prénom]]=V26)*(TableauDatas[[Date]:[Date]]=$BM$1)*(TableauDatas[[Perf]:[Perf]]))=0,"",SUMPRODUCT((TableauDatas[[Test]:[Test]]=$BM$2)*(TableauDatas[[Prénom]:[Prénom]]=V26)*(TableauDatas[[Date]:[Date]]=$BM$1)*(TableauDatas[[Perf]:[Perf]])))</f>
        <v/>
      </c>
      <c r="BN26" s="118" t="str" cm="1">
        <f t="array" ref="BN26">IF(SUMPRODUCT((TableauDatas[[Test]:[Test]]=$BM$2)*(TableauDatas[[Prénom]:[Prénom]]=V26)*(TableauDatas[[Date]:[Date]]=$BN$1)*(TableauDatas[[Perf]:[Perf]]))=0,"",SUMPRODUCT((TableauDatas[[Test]:[Test]]=$BM$2)*(TableauDatas[[Prénom]:[Prénom]]=V26)*(TableauDatas[[Date]:[Date]]=$BN$1)*(TableauDatas[[Perf]:[Perf]])))</f>
        <v/>
      </c>
      <c r="BO26" s="118" t="str" cm="1">
        <f t="array" ref="BO26">IF(SUMPRODUCT((TableauDatas[[Test]:[Test]]=$BO$2)*(TableauDatas[[Prénom]:[Prénom]]=V26)*(TableauDatas[[Date]:[Date]]=$BO$1)*(TableauDatas[[Perf]:[Perf]]))=0,"",SUMPRODUCT((TableauDatas[[Test]:[Test]]=$BO$2)*(TableauDatas[[Prénom]:[Prénom]]=V26)*(TableauDatas[[Date]:[Date]]=$BO$1)*(TableauDatas[[Perf]:[Perf]])))</f>
        <v/>
      </c>
      <c r="BP26" s="119" t="str" cm="1">
        <f t="array" ref="BP26">IF(SUMPRODUCT((TableauDatas[[Test]:[Test]]=$BO$2)*(TableauDatas[[Prénom]:[Prénom]]=V26)*(TableauDatas[[Date]:[Date]]=$BP$1)*(TableauDatas[[Perf]:[Perf]]))=0,"",SUMPRODUCT((TableauDatas[[Test]:[Test]]=$BO$2)*(TableauDatas[[Prénom]:[Prénom]]=V26)*(TableauDatas[[Date]:[Date]]=$BP$1)*(TableauDatas[[Perf]:[Perf]])))</f>
        <v/>
      </c>
      <c r="BQ26" s="18"/>
      <c r="BR26" s="18"/>
      <c r="BS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DA26" s="97"/>
      <c r="DB26" s="97"/>
      <c r="DC26" s="97"/>
      <c r="DD26" s="97"/>
      <c r="DE26" s="97"/>
      <c r="DF26" s="97"/>
      <c r="DG26" s="97"/>
      <c r="DH26" s="97"/>
      <c r="DI26" s="97"/>
      <c r="DJ26" s="97"/>
      <c r="DK26" s="97"/>
      <c r="DL26" s="97"/>
      <c r="DM26" s="97"/>
      <c r="DN26" s="97"/>
      <c r="DO26" s="97"/>
      <c r="DQ26" s="97"/>
      <c r="DR26" s="97"/>
      <c r="DS26" s="97"/>
      <c r="DT26" s="97"/>
      <c r="DU26" s="97"/>
      <c r="DV26" s="97"/>
      <c r="DW26" s="97"/>
      <c r="DX26" s="97"/>
      <c r="DY26" s="97"/>
      <c r="DZ26" s="97"/>
      <c r="EA26" s="97"/>
      <c r="EB26" s="97"/>
      <c r="EC26" s="97"/>
      <c r="ED26" s="97"/>
      <c r="EE26" s="97"/>
      <c r="EG26" s="97"/>
      <c r="EH26" s="97"/>
      <c r="EI26" s="97"/>
      <c r="EJ26" s="97"/>
      <c r="EK26" s="97"/>
      <c r="EL26" s="97"/>
      <c r="EM26" s="97"/>
      <c r="EN26" s="97"/>
      <c r="EO26" s="97"/>
      <c r="EP26" s="97"/>
      <c r="EQ26" s="97"/>
      <c r="ER26" s="97"/>
      <c r="ES26" s="97"/>
      <c r="ET26" s="97"/>
      <c r="EU26" s="97"/>
      <c r="EW26" s="97"/>
      <c r="EX26" s="97"/>
      <c r="EY26" s="97"/>
      <c r="EZ26" s="97"/>
      <c r="FA26" s="97"/>
      <c r="FB26" s="97"/>
      <c r="FC26" s="97"/>
      <c r="FD26" s="97"/>
      <c r="FE26" s="97"/>
      <c r="FF26" s="97"/>
      <c r="FG26" s="97"/>
      <c r="FH26" s="97"/>
      <c r="FI26" s="97"/>
      <c r="FJ26" s="97"/>
      <c r="FK26" s="97"/>
      <c r="FM26" s="97"/>
      <c r="FN26" s="97"/>
      <c r="FO26" s="97"/>
      <c r="FP26" s="97"/>
      <c r="FQ26" s="97"/>
      <c r="FR26" s="97"/>
      <c r="FS26" s="97"/>
      <c r="FT26" s="97"/>
      <c r="FU26" s="97"/>
      <c r="FV26" s="97"/>
      <c r="FW26" s="97"/>
      <c r="FX26" s="97"/>
      <c r="FY26" s="97"/>
      <c r="FZ26" s="97"/>
      <c r="GA26" s="97"/>
      <c r="GC26" s="97"/>
      <c r="GD26" s="97"/>
      <c r="GE26" s="97"/>
      <c r="GF26" s="97"/>
      <c r="GG26" s="97"/>
      <c r="GH26" s="97"/>
      <c r="GI26" s="97"/>
      <c r="GJ26" s="97"/>
      <c r="GK26" s="97"/>
      <c r="GL26" s="97"/>
      <c r="GM26" s="97"/>
      <c r="GN26" s="97"/>
      <c r="GO26" s="97"/>
      <c r="GP26" s="97"/>
      <c r="GQ26" s="97"/>
      <c r="GS26" s="97"/>
      <c r="GT26" s="97"/>
      <c r="GU26" s="97"/>
      <c r="GV26" s="97"/>
      <c r="GW26" s="97"/>
      <c r="GX26" s="97"/>
      <c r="GY26" s="97"/>
      <c r="GZ26" s="97"/>
      <c r="HA26" s="97"/>
      <c r="HB26" s="97"/>
      <c r="HC26" s="97"/>
      <c r="HD26" s="97"/>
      <c r="HE26" s="97"/>
      <c r="HF26" s="97"/>
      <c r="HG26" s="97"/>
      <c r="HI26" s="97"/>
      <c r="HJ26" s="97"/>
      <c r="HK26" s="97"/>
      <c r="HL26" s="97"/>
      <c r="HM26" s="97"/>
      <c r="HN26" s="97"/>
      <c r="HO26" s="97"/>
      <c r="HP26" s="97"/>
      <c r="HQ26" s="97"/>
      <c r="HR26" s="97"/>
      <c r="HS26" s="97"/>
      <c r="HT26" s="97"/>
      <c r="HU26" s="97"/>
      <c r="HV26" s="97"/>
      <c r="HW26" s="97"/>
      <c r="HY26" s="97"/>
      <c r="HZ26" s="97"/>
      <c r="IA26" s="97"/>
      <c r="IB26" s="97"/>
      <c r="IC26" s="97"/>
      <c r="ID26" s="97"/>
      <c r="IE26" s="97"/>
      <c r="IF26" s="97"/>
      <c r="IG26" s="97"/>
      <c r="IH26" s="97"/>
      <c r="II26" s="97"/>
      <c r="IJ26" s="97"/>
      <c r="IK26" s="97"/>
      <c r="IL26" s="97"/>
      <c r="IM26" s="97"/>
      <c r="IO26" s="97"/>
      <c r="IP26" s="97"/>
      <c r="IQ26" s="97"/>
      <c r="IR26" s="97"/>
      <c r="IS26" s="97"/>
      <c r="IT26" s="97"/>
      <c r="IU26" s="24"/>
      <c r="IV26" s="24"/>
      <c r="IW26" s="24"/>
      <c r="IX26" s="24"/>
      <c r="IY26" s="24"/>
      <c r="IZ26" s="24"/>
      <c r="JA26" s="24"/>
      <c r="JB26" s="24"/>
      <c r="JC26" s="24"/>
    </row>
    <row r="27" spans="1:263" ht="17.25" thickTop="1" thickBot="1" x14ac:dyDescent="0.3">
      <c r="A27" s="1"/>
      <c r="B27" s="1"/>
      <c r="C27" s="1"/>
      <c r="D27" s="1"/>
      <c r="E27" s="1"/>
      <c r="F27" s="1"/>
      <c r="G27" s="1"/>
      <c r="H27" s="39"/>
      <c r="I27" s="44"/>
      <c r="J27" s="57"/>
      <c r="K27" s="44"/>
      <c r="L27" s="44"/>
      <c r="N27" s="73" t="s">
        <v>28</v>
      </c>
      <c r="O27" s="74" t="str">
        <f>IF(COUNTA(O2:O26)=0,"",COUNTA(O2:O26))</f>
        <v/>
      </c>
      <c r="P27" s="177" t="s">
        <v>29</v>
      </c>
      <c r="Q27" s="178"/>
      <c r="R27" s="75" t="str">
        <f>IFERROR(AVERAGE(R2:R26),"")</f>
        <v/>
      </c>
      <c r="S27" s="76" t="str">
        <f>IFERROR(AVERAGE(S2:S26),"")</f>
        <v/>
      </c>
      <c r="T27" s="109"/>
      <c r="V27" s="89">
        <f t="shared" si="0"/>
        <v>0</v>
      </c>
      <c r="W27" s="86" t="str" cm="1">
        <f t="array" ref="W27">IF(SUMPRODUCT((TableauDatas[[Test]:[Test]]=$W$2)*(TableauDatas[[Prénom]:[Prénom]]=V27)*(TableauDatas[[Date]:[Date]]=$W$1)*(TableauDatas[[Perf]:[Perf]]))=0,"",SUMPRODUCT((TableauDatas[[Test]:[Test]]=$W$2)*(TableauDatas[[Prénom]:[Prénom]]=V27)*(TableauDatas[[Date]:[Date]]=$W$1)*(TableauDatas[[Perf]:[Perf]])))</f>
        <v/>
      </c>
      <c r="X27" s="86" t="str" cm="1">
        <f t="array" ref="X27">IF(SUMPRODUCT((TableauDatas[[Test]:[Test]]=$X$2)*(TableauDatas[[Prénom]:[Prénom]]=V27)*(TableauDatas[[Date]:[Date]]=$X$1)*(TableauDatas[[Perf]:[Perf]]))=0,"",SUMPRODUCT((TableauDatas[[Test]:[Test]]=$X$2)*(TableauDatas[[Prénom]:[Prénom]]=V27)*(TableauDatas[[Date]:[Date]]=$X$1)*(TableauDatas[[Perf]:[Perf]])))</f>
        <v/>
      </c>
      <c r="Y27" s="86" t="str" cm="1">
        <f t="array" ref="Y27">IF(SUMPRODUCT((TableauDatas[[Test]:[Test]]=$Y$2)*(TableauDatas[[Prénom]:[Prénom]]=V27)*(TableauDatas[[Date]:[Date]]=$Y$1)*(TableauDatas[[Perf]:[Perf]]))=0,"",SUMPRODUCT((TableauDatas[[Test]:[Test]]=$Y$2)*(TableauDatas[[Prénom]:[Prénom]]=V27)*(TableauDatas[[Date]:[Date]]=$Y$1)*(TableauDatas[[Perf]:[Perf]])))</f>
        <v/>
      </c>
      <c r="Z27" s="86" t="str" cm="1">
        <f t="array" ref="Z27">IF(SUMPRODUCT((TableauDatas[[Test]:[Test]]=$Z$2)*(TableauDatas[[Prénom]:[Prénom]]=V27)*(TableauDatas[[Date]:[Date]]=$Z$1)*(TableauDatas[[Perf]:[Perf]]))=0,"",SUMPRODUCT((TableauDatas[[Test]:[Test]]=$Z$2)*(TableauDatas[[Prénom]:[Prénom]]=V27)*(TableauDatas[[Date]:[Date]]=$Z$1)*(TableauDatas[[Perf]:[Perf]])))</f>
        <v/>
      </c>
      <c r="AA27" s="86" t="str" cm="1">
        <f t="array" ref="AA27">IF(SUMPRODUCT((TableauDatas[[Test]:[Test]]=$AA$2)*(TableauDatas[[Prénom]:[Prénom]]=V27)*(TableauDatas[[Date]:[Date]]=$AA$1)*(TableauDatas[[Perf]:[Perf]]))=0,"",SUMPRODUCT((TableauDatas[[Test]:[Test]]=$AA$2)*(TableauDatas[[Prénom]:[Prénom]]=V27)*(TableauDatas[[Date]:[Date]]=$AA$1)*(TableauDatas[[Perf]:[Perf]])))</f>
        <v/>
      </c>
      <c r="AB27" s="86" t="str" cm="1">
        <f t="array" ref="AB27">IF(SUMPRODUCT((TableauDatas[[Test]:[Test]]=$AB$2)*(TableauDatas[[Prénom]:[Prénom]]=V27)*(TableauDatas[[Date]:[Date]]=$AB$1)*(TableauDatas[[Perf]:[Perf]]))=0,"",SUMPRODUCT((TableauDatas[[Test]:[Test]]=$AB$2)*(TableauDatas[[Prénom]:[Prénom]]=V27)*(TableauDatas[[Date]:[Date]]=$AB$1)*(TableauDatas[[Perf]:[Perf]])))</f>
        <v/>
      </c>
      <c r="AC27" s="86" t="str" cm="1">
        <f t="array" ref="AC27">IF(SUMPRODUCT((TableauDatas[[Test]:[Test]]=$AC$2)*(TableauDatas[[Prénom]:[Prénom]]=V27)*(TableauDatas[[Date]:[Date]]=$AC$1)*(TableauDatas[[Perf]:[Perf]]))=0,"",SUMPRODUCT((TableauDatas[[Test]:[Test]]=$AC$2)*(TableauDatas[[Prénom]:[Prénom]]=V27)*(TableauDatas[[Date]:[Date]]=$AC$1)*(TableauDatas[[Perf]:[Perf]])))</f>
        <v/>
      </c>
      <c r="AD27" s="86" t="str" cm="1">
        <f t="array" ref="AD27">IF(SUMPRODUCT((TableauDatas[[Test]:[Test]]=$AD$2)*(TableauDatas[[Prénom]:[Prénom]]=V27)*(TableauDatas[[Date]:[Date]]=$AD$1)*(TableauDatas[[Perf]:[Perf]]))=0,"",SUMPRODUCT((TableauDatas[[Test]:[Test]]=$AD$2)*(TableauDatas[[Prénom]:[Prénom]]=V27)*(TableauDatas[[Date]:[Date]]=$AD$1)*(TableauDatas[[Perf]:[Perf]])))</f>
        <v/>
      </c>
      <c r="AE27" s="86" t="str" cm="1">
        <f t="array" ref="AE27">IF(SUMPRODUCT((TableauDatas[[Test]:[Test]]=$AE$2)*(TableauDatas[[Prénom]:[Prénom]]=V27)*(TableauDatas[[Date]:[Date]]=$AE$1)*(TableauDatas[[Perf]:[Perf]]))=0,"",SUMPRODUCT((TableauDatas[[Test]:[Test]]=$AE$2)*(TableauDatas[[Prénom]:[Prénom]]=V27)*(TableauDatas[[Date]:[Date]]=$AE$1)*(TableauDatas[[Perf]:[Perf]])))</f>
        <v/>
      </c>
      <c r="AF27" s="86" t="str" cm="1">
        <f t="array" ref="AF27">IF(SUMPRODUCT((TableauDatas[[Test]:[Test]]=$AF$2)*(TableauDatas[[Prénom]:[Prénom]]=V27)*(TableauDatas[[Date]:[Date]]=$AF$1)*(TableauDatas[[Perf]:[Perf]]))=0,"",SUMPRODUCT((TableauDatas[[Test]:[Test]]=$AF$2)*(TableauDatas[[Prénom]:[Prénom]]=V27)*(TableauDatas[[Date]:[Date]]=$AF$1)*(TableauDatas[[Perf]:[Perf]])))</f>
        <v/>
      </c>
      <c r="AG27" s="86" t="str" cm="1">
        <f t="array" ref="AG27">IF(SUMPRODUCT((TableauDatas[[Test]:[Test]]=$AG$2)*(TableauDatas[[Prénom]:[Prénom]]=V27)*(TableauDatas[[Date]:[Date]]=$AG$1)*(TableauDatas[[Perf]:[Perf]]))=0,"",SUMPRODUCT((TableauDatas[[Test]:[Test]]=$AG$2)*(TableauDatas[[Prénom]:[Prénom]]=V27)*(TableauDatas[[Date]:[Date]]=$AG$1)*(TableauDatas[[Perf]:[Perf]])))</f>
        <v/>
      </c>
      <c r="AH27" s="86" t="str" cm="1">
        <f t="array" ref="AH27">IF(SUMPRODUCT((TableauDatas[[Test]:[Test]]=$AH$2)*(TableauDatas[[Prénom]:[Prénom]]=V27)*(TableauDatas[[Date]:[Date]]=$AH$1)*(TableauDatas[[Perf]:[Perf]]))=0,"",SUMPRODUCT((TableauDatas[[Test]:[Test]]=$AH$2)*(TableauDatas[[Prénom]:[Prénom]]=V27)*(TableauDatas[[Date]:[Date]]=$AH$1)*(TableauDatas[[Perf]:[Perf]])))</f>
        <v/>
      </c>
      <c r="AI27" s="86" t="str" cm="1">
        <f t="array" ref="AI27">IF(SUMPRODUCT((TableauDatas[[Test]:[Test]]=$AI$2)*(TableauDatas[[Prénom]:[Prénom]]=V27)*(TableauDatas[[Date]:[Date]]=$AI$1)*(TableauDatas[[Perf]:[Perf]]))=0,"",SUMPRODUCT((TableauDatas[[Test]:[Test]]=$AI$2)*(TableauDatas[[Prénom]:[Prénom]]=V27)*(TableauDatas[[Date]:[Date]]=$AI$1)*(TableauDatas[[Perf]:[Perf]])))</f>
        <v/>
      </c>
      <c r="AJ27" s="86" t="str" cm="1">
        <f t="array" ref="AJ27">IF(SUMPRODUCT((TableauDatas[[Test]:[Test]]=$AJ$2)*(TableauDatas[[Prénom]:[Prénom]]=V27)*(TableauDatas[[Date]:[Date]]=$AJ$1)*(TableauDatas[[Perf]:[Perf]]))=0,"",SUMPRODUCT((TableauDatas[[Test]:[Test]]=$AJ$2)*(TableauDatas[[Prénom]:[Prénom]]=V27)*(TableauDatas[[Date]:[Date]]=$AJ$1)*(TableauDatas[[Perf]:[Perf]])))</f>
        <v/>
      </c>
      <c r="AK27" s="87" t="str" cm="1">
        <f t="array" ref="AK27">IF(SUMPRODUCT((TableauDatas[[Test]:[Test]]=$AK$2)*(TableauDatas[[Prénom]:[Prénom]]=V27)*(TableauDatas[[Date]:[Date]]=$AK$1)*(TableauDatas[[Perf]:[Perf]]))=0,"",SUMPRODUCT((TableauDatas[[Test]:[Test]]=$AK$2)*(TableauDatas[[Prénom]:[Prénom]]=V27)*(TableauDatas[[Date]:[Date]]=$AK$1)*(TableauDatas[[Perf]:[Perf]])))</f>
        <v/>
      </c>
      <c r="AL27" s="98"/>
      <c r="AM27" s="117" t="str" cm="1">
        <f t="array" ref="AM27">IF(SUMPRODUCT((TableauDatas[[Test]:[Test]]=$AM$2)*(TableauDatas[[Prénom]:[Prénom]]=V27)*(TableauDatas[[Date]:[Date]]=$AM$1)*(TableauDatas[[Perf]:[Perf]]))=0,"",SUMPRODUCT((TableauDatas[[Test]:[Test]]=$AM$2)*(TableauDatas[[Prénom]:[Prénom]]=V27)*(TableauDatas[[Date]:[Date]]=$AM$1)*(TableauDatas[[Perf]:[Perf]])))</f>
        <v/>
      </c>
      <c r="AN27" s="120" t="str" cm="1">
        <f t="array" ref="AN27">IF(SUMPRODUCT((TableauDatas[[Test]:[Test]]=$AM$2)*(TableauDatas[[Prénom]:[Prénom]]=V27)*(TableauDatas[[Date]:[Date]]=$AN$1)*(TableauDatas[[Perf]:[Perf]]))=0,"",SUMPRODUCT((TableauDatas[[Test]:[Test]]=$AM$2)*(TableauDatas[[Prénom]:[Prénom]]=V27)*(TableauDatas[[Date]:[Date]]=$AN$1)*(TableauDatas[[Perf]:[Perf]])))</f>
        <v/>
      </c>
      <c r="AO27" s="118" t="str" cm="1">
        <f t="array" ref="AO27">IF(SUMPRODUCT((TableauDatas[[Test]:[Test]]=$AO$2)*(TableauDatas[[Prénom]:[Prénom]]=V27)*(TableauDatas[[Date]:[Date]]=$AO$1)*(TableauDatas[[Perf]:[Perf]]))=0,"",SUMPRODUCT((TableauDatas[[Test]:[Test]]=$AO$2)*(TableauDatas[[Prénom]:[Prénom]]=V27)*(TableauDatas[[Date]:[Date]]=$AO$1)*(TableauDatas[[Perf]:[Perf]])))</f>
        <v/>
      </c>
      <c r="AP27" s="118" t="str" cm="1">
        <f t="array" ref="AP27">IF(SUMPRODUCT((TableauDatas[[Test]:[Test]]=$AO$2)*(TableauDatas[[Prénom]:[Prénom]]=V27)*(TableauDatas[[Date]:[Date]]=$AP$1)*(TableauDatas[[Perf]:[Perf]]))=0,"",SUMPRODUCT((TableauDatas[[Test]:[Test]]=$AO$2)*(TableauDatas[[Prénom]:[Prénom]]=V27)*(TableauDatas[[Date]:[Date]]=$AP$1)*(TableauDatas[[Perf]:[Perf]])))</f>
        <v/>
      </c>
      <c r="AQ27" s="118" t="str" cm="1">
        <f t="array" ref="AQ27">IF(SUMPRODUCT((TableauDatas[[Test]:[Test]]=$AQ$2)*(TableauDatas[[Prénom]:[Prénom]]=V27)*(TableauDatas[[Date]:[Date]]=$AQ$1)*(TableauDatas[[Perf]:[Perf]]))=0,"",SUMPRODUCT((TableauDatas[[Test]:[Test]]=$AQ$2)*(TableauDatas[[Prénom]:[Prénom]]=V27)*(TableauDatas[[Date]:[Date]]=$AQ$1)*(TableauDatas[[Perf]:[Perf]])))</f>
        <v/>
      </c>
      <c r="AR27" s="118" t="str" cm="1">
        <f t="array" ref="AR27">IF(SUMPRODUCT((TableauDatas[[Test]:[Test]]=$AQ$2)*(TableauDatas[[Prénom]:[Prénom]]=V27)*(TableauDatas[[Date]:[Date]]=$AR$1)*(TableauDatas[[Perf]:[Perf]]))=0,"",SUMPRODUCT((TableauDatas[[Test]:[Test]]=$AQ$2)*(TableauDatas[[Prénom]:[Prénom]]=V27)*(TableauDatas[[Date]:[Date]]=$AR$1)*(TableauDatas[[Perf]:[Perf]])))</f>
        <v/>
      </c>
      <c r="AS27" s="118" t="str" cm="1">
        <f t="array" ref="AS27">IF(SUMPRODUCT((TableauDatas[[Test]:[Test]]=$AS$2)*(TableauDatas[[Prénom]:[Prénom]]=V27)*(TableauDatas[[Date]:[Date]]=$AS$1)*(TableauDatas[[Perf]:[Perf]]))=0,"",SUMPRODUCT((TableauDatas[[Test]:[Test]]=$AS$2)*(TableauDatas[[Prénom]:[Prénom]]=V27)*(TableauDatas[[Date]:[Date]]=$AS$1)*(TableauDatas[[Perf]:[Perf]])))</f>
        <v/>
      </c>
      <c r="AT27" s="118" t="str" cm="1">
        <f t="array" ref="AT27">IF(SUMPRODUCT((TableauDatas[[Test]:[Test]]=$AS$2)*(TableauDatas[[Prénom]:[Prénom]]=V27)*(TableauDatas[[Date]:[Date]]=$AT$1)*(TableauDatas[[Perf]:[Perf]]))=0,"",SUMPRODUCT((TableauDatas[[Test]:[Test]]=$AS$2)*(TableauDatas[[Prénom]:[Prénom]]=V27)*(TableauDatas[[Date]:[Date]]=$AT$1)*(TableauDatas[[Perf]:[Perf]])))</f>
        <v/>
      </c>
      <c r="AU27" s="118" t="str" cm="1">
        <f t="array" ref="AU27">IF(SUMPRODUCT((TableauDatas[[Test]:[Test]]=$AU$2)*(TableauDatas[[Prénom]:[Prénom]]=V27)*(TableauDatas[[Date]:[Date]]=$AU$1)*(TableauDatas[[Perf]:[Perf]]))=0,"",SUMPRODUCT((TableauDatas[[Test]:[Test]]=$AU$2)*(TableauDatas[[Prénom]:[Prénom]]=V27)*(TableauDatas[[Date]:[Date]]=$AU$1)*(TableauDatas[[Perf]:[Perf]])))</f>
        <v/>
      </c>
      <c r="AV27" s="118" t="str" cm="1">
        <f t="array" ref="AV27">IF(SUMPRODUCT((TableauDatas[[Test]:[Test]]=$AU$2)*(TableauDatas[[Prénom]:[Prénom]]=V27)*(TableauDatas[[Date]:[Date]]=$AV$1)*(TableauDatas[[Perf]:[Perf]]))=0,"",SUMPRODUCT((TableauDatas[[Test]:[Test]]=$AU$2)*(TableauDatas[[Prénom]:[Prénom]]=V27)*(TableauDatas[[Date]:[Date]]=$AV$1)*(TableauDatas[[Perf]:[Perf]])))</f>
        <v/>
      </c>
      <c r="AW27" s="118" t="str" cm="1">
        <f t="array" ref="AW27">IF(SUMPRODUCT((TableauDatas[[Test]:[Test]]=$AW$2)*(TableauDatas[[Prénom]:[Prénom]]=V27)*(TableauDatas[[Date]:[Date]]=$AW$1)*(TableauDatas[[Perf]:[Perf]]))=0,"",SUMPRODUCT((TableauDatas[[Test]:[Test]]=$AW$2)*(TableauDatas[[Prénom]:[Prénom]]=V27)*(TableauDatas[[Date]:[Date]]=$AW$1)*(TableauDatas[[Perf]:[Perf]])))</f>
        <v/>
      </c>
      <c r="AX27" s="118" t="str" cm="1">
        <f t="array" ref="AX27">IF(SUMPRODUCT((TableauDatas[[Test]:[Test]]=$AW$2)*(TableauDatas[[Prénom]:[Prénom]]=V27)*(TableauDatas[[Date]:[Date]]=$AX$1)*(TableauDatas[[Perf]:[Perf]]))=0,"",SUMPRODUCT((TableauDatas[[Test]:[Test]]=$AW$2)*(TableauDatas[[Prénom]:[Prénom]]=V27)*(TableauDatas[[Date]:[Date]]=$AX$1)*(TableauDatas[[Perf]:[Perf]])))</f>
        <v/>
      </c>
      <c r="AY27" s="118" t="str" cm="1">
        <f t="array" ref="AY27">IF(SUMPRODUCT((TableauDatas[[Test]:[Test]]=$AY$2)*(TableauDatas[[Prénom]:[Prénom]]=V27)*(TableauDatas[[Date]:[Date]]=$AY$1)*(TableauDatas[[Perf]:[Perf]]))=0,"",SUMPRODUCT((TableauDatas[[Test]:[Test]]=$AY$2)*(TableauDatas[[Prénom]:[Prénom]]=V27)*(TableauDatas[[Date]:[Date]]=$AY$1)*(TableauDatas[[Perf]:[Perf]])))</f>
        <v/>
      </c>
      <c r="AZ27" s="118" t="str" cm="1">
        <f t="array" ref="AZ27">IF(SUMPRODUCT((TableauDatas[[Test]:[Test]]=$AY$2)*(TableauDatas[[Prénom]:[Prénom]]=V27)*(TableauDatas[[Date]:[Date]]=$AZ$1)*(TableauDatas[[Perf]:[Perf]]))=0,"",SUMPRODUCT((TableauDatas[[Test]:[Test]]=$AY$2)*(TableauDatas[[Prénom]:[Prénom]]=V27)*(TableauDatas[[Date]:[Date]]=$AZ$1)*(TableauDatas[[Perf]:[Perf]])))</f>
        <v/>
      </c>
      <c r="BA27" s="118" t="str" cm="1">
        <f t="array" ref="BA27">IF(SUMPRODUCT((TableauDatas[[Test]:[Test]]=$BA$2)*(TableauDatas[[Prénom]:[Prénom]]=V27)*(TableauDatas[[Date]:[Date]]=$BA$1)*(TableauDatas[[Perf]:[Perf]]))=0,"",SUMPRODUCT((TableauDatas[[Test]:[Test]]=$BA$2)*(TableauDatas[[Prénom]:[Prénom]]=V27)*(TableauDatas[[Date]:[Date]]=$BA$1)*(TableauDatas[[Perf]:[Perf]])))</f>
        <v/>
      </c>
      <c r="BB27" s="118" t="str" cm="1">
        <f t="array" ref="BB27">IF(SUMPRODUCT((TableauDatas[[Test]:[Test]]=$BA$2)*(TableauDatas[[Prénom]:[Prénom]]=V27)*(TableauDatas[[Date]:[Date]]=$BB$1)*(TableauDatas[[Perf]:[Perf]]))=0,"",SUMPRODUCT((TableauDatas[[Test]:[Test]]=$BA$2)*(TableauDatas[[Prénom]:[Prénom]]=V27)*(TableauDatas[[Date]:[Date]]=$BB$1)*(TableauDatas[[Perf]:[Perf]])))</f>
        <v/>
      </c>
      <c r="BC27" s="118" t="str" cm="1">
        <f t="array" ref="BC27">IF(SUMPRODUCT((TableauDatas[[Test]:[Test]]=$BC$2)*(TableauDatas[[Prénom]:[Prénom]]=V27)*(TableauDatas[[Date]:[Date]]=$BC$1)*(TableauDatas[[Perf]:[Perf]]))=0,"",SUMPRODUCT((TableauDatas[[Test]:[Test]]=$BC$2)*(TableauDatas[[Prénom]:[Prénom]]=V27)*(TableauDatas[[Date]:[Date]]=$BC$1)*(TableauDatas[[Perf]:[Perf]])))</f>
        <v/>
      </c>
      <c r="BD27" s="121" t="str" cm="1">
        <f t="array" ref="BD27">IF(SUMPRODUCT((TableauDatas[[Test]:[Test]]=$BC$2)*(TableauDatas[[Prénom]:[Prénom]]=V27)*(TableauDatas[[Date]:[Date]]=$BD$1)*(TableauDatas[[Perf]:[Perf]]))=0,"",SUMPRODUCT((TableauDatas[[Test]:[Test]]=$BC$2)*(TableauDatas[[Prénom]:[Prénom]]=V27)*(TableauDatas[[Date]:[Date]]=$BD$1)*(TableauDatas[[Perf]:[Perf]])))</f>
        <v/>
      </c>
      <c r="BE27" s="118" t="str" cm="1">
        <f t="array" ref="BE27">IF(SUMPRODUCT((TableauDatas[[Test]:[Test]]=$BE$2)*(TableauDatas[[Prénom]:[Prénom]]=V27)*(TableauDatas[[Date]:[Date]]=$BE$1)*(TableauDatas[[Perf]:[Perf]]))=0,"",SUMPRODUCT((TableauDatas[[Test]:[Test]]=$BE$2)*(TableauDatas[[Prénom]:[Prénom]]=V27)*(TableauDatas[[Date]:[Date]]=$BE$1)*(TableauDatas[[Perf]:[Perf]])))</f>
        <v/>
      </c>
      <c r="BF27" s="118" t="str" cm="1">
        <f t="array" ref="BF27">IF(SUMPRODUCT((TableauDatas[[Test]:[Test]]=$BE$2)*(TableauDatas[[Prénom]:[Prénom]]=V27)*(TableauDatas[[Date]:[Date]]=$BF$1)*(TableauDatas[[Perf]:[Perf]]))=0,"",SUMPRODUCT((TableauDatas[[Test]:[Test]]=$BE$2)*(TableauDatas[[Prénom]:[Prénom]]=V27)*(TableauDatas[[Date]:[Date]]=$BF$1)*(TableauDatas[[Perf]:[Perf]])))</f>
        <v/>
      </c>
      <c r="BG27" s="118" t="str" cm="1">
        <f t="array" ref="BG27">IF(SUMPRODUCT((TableauDatas[[Test]:[Test]]=$BG$2)*(TableauDatas[[Prénom]:[Prénom]]=V27)*(TableauDatas[[Date]:[Date]]=$BG$1)*(TableauDatas[[Perf]:[Perf]]))=0,"",SUMPRODUCT((TableauDatas[[Test]:[Test]]=$BG$2)*(TableauDatas[[Prénom]:[Prénom]]=V27)*(TableauDatas[[Date]:[Date]]=$BG$1)*(TableauDatas[[Perf]:[Perf]])))</f>
        <v/>
      </c>
      <c r="BH27" s="118" t="str" cm="1">
        <f t="array" ref="BH27">IF(SUMPRODUCT((TableauDatas[[Test]:[Test]]=$BG$2)*(TableauDatas[[Prénom]:[Prénom]]=V27)*(TableauDatas[[Date]:[Date]]=$BH$1)*(TableauDatas[[Perf]:[Perf]]))=0,"",SUMPRODUCT((TableauDatas[[Test]:[Test]]=$BG$2)*(TableauDatas[[Prénom]:[Prénom]]=V27)*(TableauDatas[[Date]:[Date]]=$BH$1)*(TableauDatas[[Perf]:[Perf]])))</f>
        <v/>
      </c>
      <c r="BI27" s="118" t="str" cm="1">
        <f t="array" ref="BI27">IF(SUMPRODUCT((TableauDatas[[Test]:[Test]]=$BI$2)*(TableauDatas[[Prénom]:[Prénom]]=V27)*(TableauDatas[[Date]:[Date]]=$BI$1)*(TableauDatas[[Perf]:[Perf]]))=0,"",SUMPRODUCT((TableauDatas[[Test]:[Test]]=$BI$2)*(TableauDatas[[Prénom]:[Prénom]]=V27)*(TableauDatas[[Date]:[Date]]=$BI$1)*(TableauDatas[[Perf]:[Perf]])))</f>
        <v/>
      </c>
      <c r="BJ27" s="118" t="str" cm="1">
        <f t="array" ref="BJ27">IF(SUMPRODUCT((TableauDatas[[Test]:[Test]]=$BI$2)*(TableauDatas[[Prénom]:[Prénom]]=V27)*(TableauDatas[[Date]:[Date]]=$BJ$1)*(TableauDatas[[Perf]:[Perf]]))=0,"",SUMPRODUCT((TableauDatas[[Test]:[Test]]=$BI$2)*(TableauDatas[[Prénom]:[Prénom]]=V27)*(TableauDatas[[Date]:[Date]]=$BJ$1)*(TableauDatas[[Perf]:[Perf]])))</f>
        <v/>
      </c>
      <c r="BK27" s="118" t="str" cm="1">
        <f t="array" ref="BK27">IF(SUMPRODUCT((TableauDatas[[Test]:[Test]]=$BK$2)*(TableauDatas[[Prénom]:[Prénom]]=V27)*(TableauDatas[[Date]:[Date]]=$BK$1)*(TableauDatas[[Perf]:[Perf]]))=0,"",SUMPRODUCT((TableauDatas[[Test]:[Test]]=$BK$2)*(TableauDatas[[Prénom]:[Prénom]]=V27)*(TableauDatas[[Date]:[Date]]=$BK$1)*(TableauDatas[[Perf]:[Perf]])))</f>
        <v/>
      </c>
      <c r="BL27" s="118" t="str" cm="1">
        <f t="array" ref="BL27">IF(SUMPRODUCT((TableauDatas[[Test]:[Test]]=$BK$2)*(TableauDatas[[Prénom]:[Prénom]]=V27)*(TableauDatas[[Date]:[Date]]=$BL$1)*(TableauDatas[[Perf]:[Perf]]))=0,"",SUMPRODUCT((TableauDatas[[Test]:[Test]]=$BK$2)*(TableauDatas[[Prénom]:[Prénom]]=V27)*(TableauDatas[[Date]:[Date]]=$BL$1)*(TableauDatas[[Perf]:[Perf]])))</f>
        <v/>
      </c>
      <c r="BM27" s="118" t="str" cm="1">
        <f t="array" ref="BM27">IF(SUMPRODUCT((TableauDatas[[Test]:[Test]]=$BM$2)*(TableauDatas[[Prénom]:[Prénom]]=V27)*(TableauDatas[[Date]:[Date]]=$BM$1)*(TableauDatas[[Perf]:[Perf]]))=0,"",SUMPRODUCT((TableauDatas[[Test]:[Test]]=$BM$2)*(TableauDatas[[Prénom]:[Prénom]]=V27)*(TableauDatas[[Date]:[Date]]=$BM$1)*(TableauDatas[[Perf]:[Perf]])))</f>
        <v/>
      </c>
      <c r="BN27" s="118" t="str" cm="1">
        <f t="array" ref="BN27">IF(SUMPRODUCT((TableauDatas[[Test]:[Test]]=$BM$2)*(TableauDatas[[Prénom]:[Prénom]]=V27)*(TableauDatas[[Date]:[Date]]=$BN$1)*(TableauDatas[[Perf]:[Perf]]))=0,"",SUMPRODUCT((TableauDatas[[Test]:[Test]]=$BM$2)*(TableauDatas[[Prénom]:[Prénom]]=V27)*(TableauDatas[[Date]:[Date]]=$BN$1)*(TableauDatas[[Perf]:[Perf]])))</f>
        <v/>
      </c>
      <c r="BO27" s="118" t="str" cm="1">
        <f t="array" ref="BO27">IF(SUMPRODUCT((TableauDatas[[Test]:[Test]]=$BO$2)*(TableauDatas[[Prénom]:[Prénom]]=V27)*(TableauDatas[[Date]:[Date]]=$BO$1)*(TableauDatas[[Perf]:[Perf]]))=0,"",SUMPRODUCT((TableauDatas[[Test]:[Test]]=$BO$2)*(TableauDatas[[Prénom]:[Prénom]]=V27)*(TableauDatas[[Date]:[Date]]=$BO$1)*(TableauDatas[[Perf]:[Perf]])))</f>
        <v/>
      </c>
      <c r="BP27" s="119" t="str" cm="1">
        <f t="array" ref="BP27">IF(SUMPRODUCT((TableauDatas[[Test]:[Test]]=$BO$2)*(TableauDatas[[Prénom]:[Prénom]]=V27)*(TableauDatas[[Date]:[Date]]=$BP$1)*(TableauDatas[[Perf]:[Perf]]))=0,"",SUMPRODUCT((TableauDatas[[Test]:[Test]]=$BO$2)*(TableauDatas[[Prénom]:[Prénom]]=V27)*(TableauDatas[[Date]:[Date]]=$BP$1)*(TableauDatas[[Perf]:[Perf]])))</f>
        <v/>
      </c>
      <c r="BQ27" s="98"/>
      <c r="BR27" s="98"/>
      <c r="BS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DA27" s="99"/>
      <c r="DB27" s="99"/>
      <c r="DC27" s="99"/>
      <c r="DD27" s="99"/>
      <c r="DE27" s="99"/>
      <c r="DF27" s="99"/>
      <c r="DG27" s="99"/>
      <c r="DH27" s="99"/>
      <c r="DI27" s="99"/>
      <c r="DJ27" s="99"/>
      <c r="DK27" s="99"/>
      <c r="DL27" s="99"/>
      <c r="DM27" s="99"/>
      <c r="DN27" s="99"/>
      <c r="DO27" s="99"/>
      <c r="DQ27" s="99"/>
      <c r="DR27" s="99"/>
      <c r="DS27" s="99"/>
      <c r="DT27" s="99"/>
      <c r="DU27" s="99"/>
      <c r="DV27" s="99"/>
      <c r="DW27" s="99"/>
      <c r="DX27" s="99"/>
      <c r="DY27" s="99"/>
      <c r="DZ27" s="99"/>
      <c r="EA27" s="99"/>
      <c r="EB27" s="99"/>
      <c r="EC27" s="99"/>
      <c r="ED27" s="99"/>
      <c r="EE27" s="99"/>
      <c r="EG27" s="99"/>
      <c r="EH27" s="99"/>
      <c r="EI27" s="99"/>
      <c r="EJ27" s="99"/>
      <c r="EK27" s="99"/>
      <c r="EL27" s="99"/>
      <c r="EM27" s="99"/>
      <c r="EN27" s="99"/>
      <c r="EO27" s="99"/>
      <c r="EP27" s="99"/>
      <c r="EQ27" s="99"/>
      <c r="ER27" s="99"/>
      <c r="ES27" s="99"/>
      <c r="ET27" s="99"/>
      <c r="EU27" s="99"/>
      <c r="EW27" s="99"/>
      <c r="EX27" s="99"/>
      <c r="EY27" s="99"/>
      <c r="EZ27" s="99"/>
      <c r="FA27" s="99"/>
      <c r="FB27" s="99"/>
      <c r="FC27" s="99"/>
      <c r="FD27" s="99"/>
      <c r="FE27" s="99"/>
      <c r="FF27" s="99"/>
      <c r="FG27" s="99"/>
      <c r="FH27" s="99"/>
      <c r="FI27" s="99"/>
      <c r="FJ27" s="99"/>
      <c r="FK27" s="99"/>
      <c r="FM27" s="99"/>
      <c r="FN27" s="99"/>
      <c r="FO27" s="99"/>
      <c r="FP27" s="99"/>
      <c r="FQ27" s="99"/>
      <c r="FR27" s="99"/>
      <c r="FS27" s="99"/>
      <c r="FT27" s="99"/>
      <c r="FU27" s="99"/>
      <c r="FV27" s="99"/>
      <c r="FW27" s="99"/>
      <c r="FX27" s="99"/>
      <c r="FY27" s="99"/>
      <c r="FZ27" s="99"/>
      <c r="GA27" s="99"/>
      <c r="GC27" s="99"/>
      <c r="GD27" s="99"/>
      <c r="GE27" s="99"/>
      <c r="GF27" s="99"/>
      <c r="GG27" s="99"/>
      <c r="GH27" s="99"/>
      <c r="GI27" s="99"/>
      <c r="GJ27" s="99"/>
      <c r="GK27" s="99"/>
      <c r="GL27" s="99"/>
      <c r="GM27" s="99"/>
      <c r="GN27" s="99"/>
      <c r="GO27" s="99"/>
      <c r="GP27" s="99"/>
      <c r="GQ27" s="99"/>
      <c r="GS27" s="99"/>
      <c r="GT27" s="99"/>
      <c r="GU27" s="99"/>
      <c r="GV27" s="99"/>
      <c r="GW27" s="99"/>
      <c r="GX27" s="99"/>
      <c r="GY27" s="99"/>
      <c r="GZ27" s="99"/>
      <c r="HA27" s="99"/>
      <c r="HB27" s="99"/>
      <c r="HC27" s="99"/>
      <c r="HD27" s="99"/>
      <c r="HE27" s="99"/>
      <c r="HF27" s="99"/>
      <c r="HG27" s="99"/>
      <c r="HI27" s="99"/>
      <c r="HJ27" s="99"/>
      <c r="HK27" s="99"/>
      <c r="HL27" s="99"/>
      <c r="HM27" s="99"/>
      <c r="HN27" s="99"/>
      <c r="HO27" s="99"/>
      <c r="HP27" s="99"/>
      <c r="HQ27" s="99"/>
      <c r="HR27" s="99"/>
      <c r="HS27" s="99"/>
      <c r="HT27" s="99"/>
      <c r="HU27" s="99"/>
      <c r="HV27" s="99"/>
      <c r="HW27" s="99"/>
      <c r="HY27" s="99"/>
      <c r="HZ27" s="99"/>
      <c r="IA27" s="99"/>
      <c r="IB27" s="99"/>
      <c r="IC27" s="99"/>
      <c r="ID27" s="99"/>
      <c r="IE27" s="99"/>
      <c r="IF27" s="99"/>
      <c r="IG27" s="99"/>
      <c r="IH27" s="99"/>
      <c r="II27" s="99"/>
      <c r="IJ27" s="99"/>
      <c r="IK27" s="99"/>
      <c r="IL27" s="99"/>
      <c r="IM27" s="99"/>
      <c r="IO27" s="99"/>
      <c r="IP27" s="99"/>
      <c r="IQ27" s="99"/>
      <c r="IR27" s="99"/>
      <c r="IS27" s="99"/>
      <c r="IT27" s="99"/>
      <c r="IU27" s="25"/>
      <c r="IV27" s="25"/>
      <c r="IW27" s="25"/>
      <c r="IX27" s="25"/>
      <c r="IY27" s="25"/>
      <c r="IZ27" s="25"/>
      <c r="JA27" s="25"/>
      <c r="JB27" s="25"/>
      <c r="JC27" s="25"/>
    </row>
    <row r="28" spans="1:263" ht="20.25" thickTop="1" thickBot="1" x14ac:dyDescent="0.35">
      <c r="A28" s="184" t="s">
        <v>14</v>
      </c>
      <c r="B28" s="185"/>
      <c r="C28" s="185"/>
      <c r="D28" s="185"/>
      <c r="E28" s="185"/>
      <c r="F28" s="185"/>
      <c r="G28" s="186"/>
      <c r="H28" s="38"/>
      <c r="I28" s="101"/>
      <c r="J28" s="102"/>
      <c r="K28" s="101"/>
      <c r="L28" s="101"/>
      <c r="N28" s="77"/>
      <c r="O28" s="77"/>
      <c r="P28" s="179" t="s">
        <v>27</v>
      </c>
      <c r="Q28" s="180"/>
      <c r="R28" s="78" t="str">
        <f>IFERROR(STDEV(R2:R26),"")</f>
        <v/>
      </c>
      <c r="S28" s="79" t="str">
        <f>IFERROR(STDEV(S2:S26),"")</f>
        <v/>
      </c>
      <c r="T28" s="49"/>
      <c r="V28" s="123" t="s">
        <v>26</v>
      </c>
      <c r="W28" s="122" t="str">
        <f>IFERROR(AVERAGE(W3:W27),"")</f>
        <v/>
      </c>
      <c r="X28" s="122" t="str">
        <f t="shared" ref="X28:Z28" si="1">IFERROR(AVERAGE(X3:X27),"")</f>
        <v/>
      </c>
      <c r="Y28" s="122" t="str">
        <f t="shared" si="1"/>
        <v/>
      </c>
      <c r="Z28" s="122" t="str">
        <f t="shared" si="1"/>
        <v/>
      </c>
      <c r="AA28" s="122" t="str">
        <f t="shared" ref="AA28" si="2">IFERROR(AVERAGE(AA3:AA27),"")</f>
        <v/>
      </c>
      <c r="AB28" s="122" t="str">
        <f t="shared" ref="AB28" si="3">IFERROR(AVERAGE(AB3:AB27),"")</f>
        <v/>
      </c>
      <c r="AC28" s="122" t="str">
        <f t="shared" ref="AC28" si="4">IFERROR(AVERAGE(AC3:AC27),"")</f>
        <v/>
      </c>
      <c r="AD28" s="122" t="str">
        <f t="shared" ref="AD28" si="5">IFERROR(AVERAGE(AD3:AD27),"")</f>
        <v/>
      </c>
      <c r="AE28" s="122" t="str">
        <f t="shared" ref="AE28" si="6">IFERROR(AVERAGE(AE3:AE27),"")</f>
        <v/>
      </c>
      <c r="AF28" s="122" t="str">
        <f t="shared" ref="AF28" si="7">IFERROR(AVERAGE(AF3:AF27),"")</f>
        <v/>
      </c>
      <c r="AG28" s="122" t="str">
        <f t="shared" ref="AG28" si="8">IFERROR(AVERAGE(AG3:AG27),"")</f>
        <v/>
      </c>
      <c r="AH28" s="122" t="str">
        <f t="shared" ref="AH28" si="9">IFERROR(AVERAGE(AH3:AH27),"")</f>
        <v/>
      </c>
      <c r="AI28" s="122" t="str">
        <f t="shared" ref="AI28" si="10">IFERROR(AVERAGE(AI3:AI27),"")</f>
        <v/>
      </c>
      <c r="AJ28" s="122" t="str">
        <f t="shared" ref="AJ28" si="11">IFERROR(AVERAGE(AJ3:AJ27),"")</f>
        <v/>
      </c>
      <c r="AK28" s="122" t="str">
        <f t="shared" ref="AK28:AM28" si="12">IFERROR(AVERAGE(AK3:AK27),"")</f>
        <v/>
      </c>
      <c r="AL28" s="98"/>
      <c r="AM28" s="122" t="str">
        <f t="shared" si="12"/>
        <v/>
      </c>
      <c r="AN28" s="90" t="str">
        <f t="shared" ref="AN28:AO28" si="13">IFERROR(AVERAGE(AN3:AN27),"")</f>
        <v/>
      </c>
      <c r="AO28" s="90" t="str">
        <f t="shared" si="13"/>
        <v/>
      </c>
      <c r="AP28" s="90" t="str">
        <f t="shared" ref="AP28:AQ28" si="14">IFERROR(AVERAGE(AP3:AP27),"")</f>
        <v/>
      </c>
      <c r="AQ28" s="90" t="str">
        <f t="shared" si="14"/>
        <v/>
      </c>
      <c r="AR28" s="90" t="str">
        <f t="shared" ref="AR28:AS28" si="15">IFERROR(AVERAGE(AR3:AR27),"")</f>
        <v/>
      </c>
      <c r="AS28" s="90" t="str">
        <f t="shared" si="15"/>
        <v/>
      </c>
      <c r="AT28" s="90" t="str">
        <f t="shared" ref="AT28:AV28" si="16">IFERROR(AVERAGE(AT3:AT27),"")</f>
        <v/>
      </c>
      <c r="AU28" s="90" t="str">
        <f t="shared" si="16"/>
        <v/>
      </c>
      <c r="AV28" s="90" t="str">
        <f t="shared" si="16"/>
        <v/>
      </c>
      <c r="AW28" s="90" t="str">
        <f t="shared" ref="AW28:BF28" si="17">IFERROR(AVERAGE(AW3:AW27),"")</f>
        <v/>
      </c>
      <c r="AX28" s="90" t="str">
        <f t="shared" si="17"/>
        <v/>
      </c>
      <c r="AY28" s="90" t="str">
        <f t="shared" si="17"/>
        <v/>
      </c>
      <c r="AZ28" s="90" t="str">
        <f t="shared" si="17"/>
        <v/>
      </c>
      <c r="BA28" s="90" t="str">
        <f t="shared" si="17"/>
        <v/>
      </c>
      <c r="BB28" s="90" t="str">
        <f t="shared" si="17"/>
        <v/>
      </c>
      <c r="BC28" s="90" t="str">
        <f t="shared" si="17"/>
        <v/>
      </c>
      <c r="BD28" s="90" t="str">
        <f t="shared" si="17"/>
        <v/>
      </c>
      <c r="BE28" s="90" t="str">
        <f t="shared" si="17"/>
        <v/>
      </c>
      <c r="BF28" s="90" t="str">
        <f t="shared" si="17"/>
        <v/>
      </c>
      <c r="BG28" s="90" t="str">
        <f t="shared" ref="BG28:BQ28" si="18">IFERROR(AVERAGE(BG3:BG27),"")</f>
        <v/>
      </c>
      <c r="BH28" s="90" t="str">
        <f t="shared" si="18"/>
        <v/>
      </c>
      <c r="BI28" s="90" t="str">
        <f t="shared" si="18"/>
        <v/>
      </c>
      <c r="BJ28" s="90" t="str">
        <f t="shared" si="18"/>
        <v/>
      </c>
      <c r="BK28" s="90" t="str">
        <f t="shared" si="18"/>
        <v/>
      </c>
      <c r="BL28" s="90" t="str">
        <f t="shared" si="18"/>
        <v/>
      </c>
      <c r="BM28" s="90" t="str">
        <f t="shared" si="18"/>
        <v/>
      </c>
      <c r="BN28" s="90" t="str">
        <f t="shared" si="18"/>
        <v/>
      </c>
      <c r="BO28" s="90" t="str">
        <f t="shared" si="18"/>
        <v/>
      </c>
      <c r="BP28" s="90" t="str">
        <f t="shared" si="18"/>
        <v/>
      </c>
      <c r="BQ28" s="111" t="str">
        <f t="shared" si="18"/>
        <v/>
      </c>
      <c r="BR28" s="98"/>
      <c r="BS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DA28" s="99"/>
      <c r="DB28" s="99"/>
      <c r="DC28" s="99"/>
      <c r="DD28" s="99"/>
      <c r="DE28" s="99"/>
      <c r="DF28" s="99"/>
      <c r="DG28" s="99"/>
      <c r="DH28" s="99"/>
      <c r="DI28" s="99"/>
      <c r="DJ28" s="99"/>
      <c r="DK28" s="99"/>
      <c r="DL28" s="99"/>
      <c r="DM28" s="99"/>
      <c r="DN28" s="99"/>
      <c r="DO28" s="99"/>
      <c r="DQ28" s="99"/>
      <c r="DR28" s="99"/>
      <c r="DS28" s="99"/>
      <c r="DT28" s="99"/>
      <c r="DU28" s="99"/>
      <c r="DV28" s="99"/>
      <c r="DW28" s="99"/>
      <c r="DX28" s="99"/>
      <c r="DY28" s="99"/>
      <c r="DZ28" s="99"/>
      <c r="EA28" s="99"/>
      <c r="EB28" s="99"/>
      <c r="EC28" s="99"/>
      <c r="ED28" s="99"/>
      <c r="EE28" s="99"/>
      <c r="EG28" s="99"/>
      <c r="EH28" s="99"/>
      <c r="EI28" s="99"/>
      <c r="EJ28" s="99"/>
      <c r="EK28" s="99"/>
      <c r="EL28" s="99"/>
      <c r="EM28" s="99"/>
      <c r="EN28" s="99"/>
      <c r="EO28" s="99"/>
      <c r="EP28" s="99"/>
      <c r="EQ28" s="99"/>
      <c r="ER28" s="99"/>
      <c r="ES28" s="99"/>
      <c r="ET28" s="99"/>
      <c r="EU28" s="99"/>
      <c r="EW28" s="99"/>
      <c r="EX28" s="99"/>
      <c r="EY28" s="99"/>
      <c r="EZ28" s="99"/>
      <c r="FA28" s="99"/>
      <c r="FB28" s="99"/>
      <c r="FC28" s="99"/>
      <c r="FD28" s="99"/>
      <c r="FE28" s="99"/>
      <c r="FF28" s="99"/>
      <c r="FG28" s="99"/>
      <c r="FH28" s="99"/>
      <c r="FI28" s="99"/>
      <c r="FJ28" s="99"/>
      <c r="FK28" s="99"/>
      <c r="FM28" s="99"/>
      <c r="FN28" s="99"/>
      <c r="FO28" s="99"/>
      <c r="FP28" s="99"/>
      <c r="FQ28" s="99"/>
      <c r="FR28" s="99"/>
      <c r="FS28" s="99"/>
      <c r="FT28" s="99"/>
      <c r="FU28" s="99"/>
      <c r="FV28" s="99"/>
      <c r="FW28" s="99"/>
      <c r="FX28" s="99"/>
      <c r="FY28" s="99"/>
      <c r="FZ28" s="99"/>
      <c r="GA28" s="99"/>
      <c r="GC28" s="99"/>
      <c r="GD28" s="99"/>
      <c r="GE28" s="99"/>
      <c r="GF28" s="99"/>
      <c r="GG28" s="99"/>
      <c r="GH28" s="99"/>
      <c r="GI28" s="99"/>
      <c r="GJ28" s="99"/>
      <c r="GK28" s="99"/>
      <c r="GL28" s="99"/>
      <c r="GM28" s="99"/>
      <c r="GN28" s="99"/>
      <c r="GO28" s="99"/>
      <c r="GP28" s="99"/>
      <c r="GQ28" s="99"/>
      <c r="GS28" s="99"/>
      <c r="GT28" s="99"/>
      <c r="GU28" s="99"/>
      <c r="GV28" s="99"/>
      <c r="GW28" s="99"/>
      <c r="GX28" s="99"/>
      <c r="GY28" s="99"/>
      <c r="GZ28" s="99"/>
      <c r="HA28" s="99"/>
      <c r="HB28" s="99"/>
      <c r="HC28" s="99"/>
      <c r="HD28" s="99"/>
      <c r="HE28" s="99"/>
      <c r="HF28" s="99"/>
      <c r="HG28" s="99"/>
      <c r="HI28" s="99"/>
      <c r="HJ28" s="99"/>
      <c r="HK28" s="99"/>
      <c r="HL28" s="99"/>
      <c r="HM28" s="99"/>
      <c r="HN28" s="99"/>
      <c r="HO28" s="99"/>
      <c r="HP28" s="99"/>
      <c r="HQ28" s="99"/>
      <c r="HR28" s="99"/>
      <c r="HS28" s="99"/>
      <c r="HT28" s="99"/>
      <c r="HU28" s="99"/>
      <c r="HV28" s="99"/>
      <c r="HW28" s="99"/>
      <c r="HY28" s="99"/>
      <c r="HZ28" s="99"/>
      <c r="IA28" s="99"/>
      <c r="IB28" s="99"/>
      <c r="IC28" s="99"/>
      <c r="ID28" s="99"/>
      <c r="IE28" s="99"/>
      <c r="IF28" s="99"/>
      <c r="IG28" s="99"/>
      <c r="IH28" s="99"/>
      <c r="II28" s="99"/>
      <c r="IJ28" s="99"/>
      <c r="IK28" s="99"/>
      <c r="IL28" s="99"/>
      <c r="IM28" s="99"/>
      <c r="IO28" s="99"/>
      <c r="IP28" s="99"/>
      <c r="IQ28" s="99"/>
      <c r="IR28" s="99"/>
      <c r="IS28" s="99"/>
      <c r="IT28" s="99"/>
      <c r="IU28" s="25"/>
      <c r="IV28" s="25"/>
      <c r="IW28" s="25"/>
      <c r="IX28" s="25"/>
      <c r="IY28" s="25"/>
      <c r="IZ28" s="25"/>
      <c r="JA28" s="25"/>
      <c r="JB28" s="25"/>
      <c r="JC28" s="25"/>
    </row>
    <row r="29" spans="1:263" ht="17.25" thickTop="1" thickBot="1" x14ac:dyDescent="0.3">
      <c r="A29" s="4"/>
      <c r="B29" s="5"/>
      <c r="C29" s="5"/>
      <c r="D29" s="5"/>
      <c r="E29" s="5"/>
      <c r="F29" s="5"/>
      <c r="G29" s="6"/>
      <c r="I29" s="44"/>
      <c r="J29" s="57"/>
      <c r="K29" s="44"/>
      <c r="L29" s="44"/>
      <c r="N29" s="18"/>
      <c r="O29" s="18"/>
      <c r="P29" s="18"/>
      <c r="Q29" s="18"/>
      <c r="R29" s="18"/>
      <c r="S29" s="18"/>
      <c r="T29" s="109"/>
      <c r="V29" s="123" t="s">
        <v>27</v>
      </c>
      <c r="W29" s="122" t="str">
        <f>IFERROR(STDEV(W3:W27),"")</f>
        <v/>
      </c>
      <c r="X29" s="122" t="str">
        <f t="shared" ref="X29:Z29" si="19">IFERROR(STDEV(X3:X27),"")</f>
        <v/>
      </c>
      <c r="Y29" s="122" t="str">
        <f t="shared" si="19"/>
        <v/>
      </c>
      <c r="Z29" s="122" t="str">
        <f t="shared" si="19"/>
        <v/>
      </c>
      <c r="AA29" s="122" t="str">
        <f t="shared" ref="AA29:AB29" si="20">IFERROR(STDEV(AA3:AA27),"")</f>
        <v/>
      </c>
      <c r="AB29" s="122" t="str">
        <f t="shared" si="20"/>
        <v/>
      </c>
      <c r="AC29" s="122" t="str">
        <f t="shared" ref="AC29:AK29" si="21">IFERROR(STDEV(AC3:AC27),"")</f>
        <v/>
      </c>
      <c r="AD29" s="122" t="str">
        <f t="shared" si="21"/>
        <v/>
      </c>
      <c r="AE29" s="122" t="str">
        <f t="shared" si="21"/>
        <v/>
      </c>
      <c r="AF29" s="122" t="str">
        <f t="shared" si="21"/>
        <v/>
      </c>
      <c r="AG29" s="122" t="str">
        <f t="shared" si="21"/>
        <v/>
      </c>
      <c r="AH29" s="122" t="str">
        <f t="shared" si="21"/>
        <v/>
      </c>
      <c r="AI29" s="122" t="str">
        <f t="shared" si="21"/>
        <v/>
      </c>
      <c r="AJ29" s="122" t="str">
        <f t="shared" si="21"/>
        <v/>
      </c>
      <c r="AK29" s="122" t="str">
        <f t="shared" si="21"/>
        <v/>
      </c>
      <c r="AL29" s="45"/>
      <c r="AM29" s="122" t="str">
        <f t="shared" ref="AM29:AN29" si="22">IFERROR(STDEV(AM3:AM27),"")</f>
        <v/>
      </c>
      <c r="AN29" s="90" t="str">
        <f t="shared" si="22"/>
        <v/>
      </c>
      <c r="AO29" s="90" t="str">
        <f t="shared" ref="AO29:AQ29" si="23">IFERROR(STDEV(AO3:AO27),"")</f>
        <v/>
      </c>
      <c r="AP29" s="90" t="str">
        <f t="shared" si="23"/>
        <v/>
      </c>
      <c r="AQ29" s="90" t="str">
        <f t="shared" si="23"/>
        <v/>
      </c>
      <c r="AR29" s="90" t="str">
        <f t="shared" ref="AR29:AS29" si="24">IFERROR(STDEV(AR3:AR27),"")</f>
        <v/>
      </c>
      <c r="AS29" s="90" t="str">
        <f t="shared" si="24"/>
        <v/>
      </c>
      <c r="AT29" s="90" t="str">
        <f t="shared" ref="AT29:AV29" si="25">IFERROR(STDEV(AT3:AT27),"")</f>
        <v/>
      </c>
      <c r="AU29" s="90" t="str">
        <f t="shared" si="25"/>
        <v/>
      </c>
      <c r="AV29" s="90" t="str">
        <f t="shared" si="25"/>
        <v/>
      </c>
      <c r="AW29" s="90" t="str">
        <f t="shared" ref="AW29:BF29" si="26">IFERROR(STDEV(AW3:AW27),"")</f>
        <v/>
      </c>
      <c r="AX29" s="90" t="str">
        <f t="shared" si="26"/>
        <v/>
      </c>
      <c r="AY29" s="90" t="str">
        <f t="shared" si="26"/>
        <v/>
      </c>
      <c r="AZ29" s="90" t="str">
        <f t="shared" si="26"/>
        <v/>
      </c>
      <c r="BA29" s="90" t="str">
        <f t="shared" si="26"/>
        <v/>
      </c>
      <c r="BB29" s="90" t="str">
        <f t="shared" si="26"/>
        <v/>
      </c>
      <c r="BC29" s="90" t="str">
        <f t="shared" si="26"/>
        <v/>
      </c>
      <c r="BD29" s="90" t="str">
        <f t="shared" si="26"/>
        <v/>
      </c>
      <c r="BE29" s="90" t="str">
        <f t="shared" si="26"/>
        <v/>
      </c>
      <c r="BF29" s="90" t="str">
        <f t="shared" si="26"/>
        <v/>
      </c>
      <c r="BG29" s="90" t="str">
        <f t="shared" ref="BG29:BQ29" si="27">IFERROR(STDEV(BG3:BG27),"")</f>
        <v/>
      </c>
      <c r="BH29" s="90" t="str">
        <f t="shared" si="27"/>
        <v/>
      </c>
      <c r="BI29" s="90" t="str">
        <f t="shared" si="27"/>
        <v/>
      </c>
      <c r="BJ29" s="90" t="str">
        <f t="shared" si="27"/>
        <v/>
      </c>
      <c r="BK29" s="90" t="str">
        <f t="shared" si="27"/>
        <v/>
      </c>
      <c r="BL29" s="90" t="str">
        <f t="shared" si="27"/>
        <v/>
      </c>
      <c r="BM29" s="90" t="str">
        <f t="shared" si="27"/>
        <v/>
      </c>
      <c r="BN29" s="90" t="str">
        <f t="shared" si="27"/>
        <v/>
      </c>
      <c r="BO29" s="90" t="str">
        <f t="shared" si="27"/>
        <v/>
      </c>
      <c r="BP29" s="90" t="str">
        <f t="shared" si="27"/>
        <v/>
      </c>
      <c r="BQ29" s="111" t="str">
        <f t="shared" si="27"/>
        <v/>
      </c>
      <c r="BR29" s="45"/>
      <c r="BS29" s="45"/>
      <c r="BU29" s="45"/>
      <c r="BV29" s="45"/>
      <c r="BW29" s="45"/>
      <c r="BX29" s="45"/>
      <c r="BY29" s="45"/>
      <c r="BZ29" s="45"/>
      <c r="CA29" s="45"/>
      <c r="CB29" s="45"/>
      <c r="CC29" s="45"/>
      <c r="CD29" s="45"/>
      <c r="CE29" s="45"/>
      <c r="CF29" s="45"/>
      <c r="CG29" s="45"/>
      <c r="CH29" s="45"/>
      <c r="CI29" s="45"/>
      <c r="CK29" s="45"/>
      <c r="CL29" s="45"/>
      <c r="CM29" s="45"/>
      <c r="CN29" s="45"/>
      <c r="CO29" s="45"/>
      <c r="CP29" s="45"/>
      <c r="CQ29" s="45"/>
      <c r="CR29" s="45"/>
      <c r="CS29" s="45"/>
      <c r="CT29" s="45"/>
      <c r="CU29" s="45"/>
      <c r="CV29" s="45"/>
      <c r="CW29" s="45"/>
      <c r="CX29" s="45"/>
      <c r="CY29" s="45"/>
      <c r="DA29" s="100"/>
      <c r="DB29" s="100"/>
      <c r="DC29" s="100"/>
      <c r="DD29" s="100"/>
      <c r="DE29" s="100"/>
      <c r="DF29" s="100"/>
      <c r="DG29" s="100"/>
      <c r="DH29" s="100"/>
      <c r="DI29" s="100"/>
      <c r="DJ29" s="100"/>
      <c r="DK29" s="100"/>
      <c r="DL29" s="100"/>
      <c r="DM29" s="100"/>
      <c r="DN29" s="100"/>
      <c r="DO29" s="100"/>
      <c r="DQ29" s="100"/>
      <c r="DR29" s="100"/>
      <c r="DS29" s="100"/>
      <c r="DT29" s="100"/>
      <c r="DU29" s="100"/>
      <c r="DV29" s="100"/>
      <c r="DW29" s="100"/>
      <c r="DX29" s="100"/>
      <c r="DY29" s="100"/>
      <c r="DZ29" s="100"/>
      <c r="EA29" s="100"/>
      <c r="EB29" s="100"/>
      <c r="EC29" s="100"/>
      <c r="ED29" s="100"/>
      <c r="EE29" s="100"/>
      <c r="EG29" s="100"/>
      <c r="EH29" s="100"/>
      <c r="EI29" s="100"/>
      <c r="EJ29" s="100"/>
      <c r="EK29" s="100"/>
      <c r="EL29" s="100"/>
      <c r="EM29" s="100"/>
      <c r="EN29" s="100"/>
      <c r="EO29" s="100"/>
      <c r="EP29" s="100"/>
      <c r="EQ29" s="100"/>
      <c r="ER29" s="100"/>
      <c r="ES29" s="100"/>
      <c r="ET29" s="100"/>
      <c r="EU29" s="100"/>
      <c r="EW29" s="100"/>
      <c r="EX29" s="100"/>
      <c r="EY29" s="100"/>
      <c r="EZ29" s="100"/>
      <c r="FA29" s="100"/>
      <c r="FB29" s="100"/>
      <c r="FC29" s="100"/>
      <c r="FD29" s="100"/>
      <c r="FE29" s="100"/>
      <c r="FF29" s="100"/>
      <c r="FG29" s="100"/>
      <c r="FH29" s="100"/>
      <c r="FI29" s="100"/>
      <c r="FJ29" s="100"/>
      <c r="FK29" s="100"/>
      <c r="FM29" s="100"/>
      <c r="FN29" s="100"/>
      <c r="FO29" s="100"/>
      <c r="FP29" s="100"/>
      <c r="FQ29" s="100"/>
      <c r="FR29" s="100"/>
      <c r="FS29" s="100"/>
      <c r="FT29" s="100"/>
      <c r="FU29" s="100"/>
      <c r="FV29" s="100"/>
      <c r="FW29" s="100"/>
      <c r="FX29" s="100"/>
      <c r="FY29" s="100"/>
      <c r="FZ29" s="100"/>
      <c r="GA29" s="100"/>
      <c r="GC29" s="100"/>
      <c r="GD29" s="100"/>
      <c r="GE29" s="100"/>
      <c r="GF29" s="100"/>
      <c r="GG29" s="100"/>
      <c r="GH29" s="100"/>
      <c r="GI29" s="100"/>
      <c r="GJ29" s="100"/>
      <c r="GK29" s="100"/>
      <c r="GL29" s="100"/>
      <c r="GM29" s="100"/>
      <c r="GN29" s="100"/>
      <c r="GO29" s="100"/>
      <c r="GP29" s="100"/>
      <c r="GQ29" s="100"/>
      <c r="GS29" s="100"/>
      <c r="GT29" s="100"/>
      <c r="GU29" s="100"/>
      <c r="GV29" s="100"/>
      <c r="GW29" s="100"/>
      <c r="GX29" s="100"/>
      <c r="GY29" s="100"/>
      <c r="GZ29" s="100"/>
      <c r="HA29" s="100"/>
      <c r="HB29" s="100"/>
      <c r="HC29" s="100"/>
      <c r="HD29" s="100"/>
      <c r="HE29" s="100"/>
      <c r="HF29" s="100"/>
      <c r="HG29" s="100"/>
      <c r="HI29" s="100"/>
      <c r="HJ29" s="100"/>
      <c r="HK29" s="100"/>
      <c r="HL29" s="100"/>
      <c r="HM29" s="100"/>
      <c r="HN29" s="100"/>
      <c r="HO29" s="100"/>
      <c r="HP29" s="100"/>
      <c r="HQ29" s="100"/>
      <c r="HR29" s="100"/>
      <c r="HS29" s="100"/>
      <c r="HT29" s="100"/>
      <c r="HU29" s="100"/>
      <c r="HV29" s="100"/>
      <c r="HW29" s="100"/>
      <c r="HY29" s="100"/>
      <c r="HZ29" s="100"/>
      <c r="IA29" s="100"/>
      <c r="IB29" s="100"/>
      <c r="IC29" s="100"/>
      <c r="ID29" s="100"/>
      <c r="IE29" s="100"/>
      <c r="IF29" s="100"/>
      <c r="IG29" s="100"/>
      <c r="IH29" s="100"/>
      <c r="II29" s="100"/>
      <c r="IJ29" s="100"/>
      <c r="IK29" s="100"/>
      <c r="IL29" s="100"/>
      <c r="IM29" s="100"/>
      <c r="IO29" s="100"/>
      <c r="IP29" s="100"/>
      <c r="IQ29" s="100"/>
      <c r="IR29" s="100"/>
      <c r="IS29" s="100"/>
      <c r="IT29" s="100"/>
      <c r="IU29" s="26"/>
      <c r="IV29" s="26"/>
      <c r="IW29" s="26"/>
      <c r="IX29" s="26"/>
      <c r="IY29" s="26"/>
      <c r="IZ29" s="26"/>
      <c r="JA29" s="26"/>
      <c r="JB29" s="26"/>
      <c r="JC29" s="26"/>
    </row>
    <row r="30" spans="1:263" ht="17.25" thickTop="1" thickBot="1" x14ac:dyDescent="0.3">
      <c r="A30" s="7"/>
      <c r="B30" s="1"/>
      <c r="C30" s="1"/>
      <c r="D30" s="1"/>
      <c r="E30" s="1"/>
      <c r="F30" s="1"/>
      <c r="G30" s="8"/>
      <c r="I30" s="101"/>
      <c r="J30" s="102"/>
      <c r="K30" s="101"/>
      <c r="L30" s="101"/>
      <c r="N30" s="18"/>
      <c r="O30" s="174" t="s">
        <v>38</v>
      </c>
      <c r="P30" s="175"/>
      <c r="Q30" s="175"/>
      <c r="R30" s="176"/>
      <c r="S30" s="18"/>
      <c r="T30" s="49"/>
      <c r="V30" s="123" t="s">
        <v>22</v>
      </c>
      <c r="W30" s="123" t="str">
        <f>IFERROR(QUARTILE(W3:W27,1),"")</f>
        <v/>
      </c>
      <c r="X30" s="123" t="str">
        <f t="shared" ref="X30:Z30" si="28">IFERROR(QUARTILE(X3:X27,1),"")</f>
        <v/>
      </c>
      <c r="Y30" s="123" t="str">
        <f t="shared" si="28"/>
        <v/>
      </c>
      <c r="Z30" s="123" t="str">
        <f t="shared" si="28"/>
        <v/>
      </c>
      <c r="AA30" s="123" t="str">
        <f t="shared" ref="AA30:AB30" si="29">IFERROR(QUARTILE(AA3:AA27,1),"")</f>
        <v/>
      </c>
      <c r="AB30" s="123" t="str">
        <f t="shared" si="29"/>
        <v/>
      </c>
      <c r="AC30" s="123" t="str">
        <f t="shared" ref="AC30:AK30" si="30">IFERROR(QUARTILE(AC3:AC27,1),"")</f>
        <v/>
      </c>
      <c r="AD30" s="123" t="str">
        <f t="shared" si="30"/>
        <v/>
      </c>
      <c r="AE30" s="123" t="str">
        <f t="shared" si="30"/>
        <v/>
      </c>
      <c r="AF30" s="123" t="str">
        <f t="shared" si="30"/>
        <v/>
      </c>
      <c r="AG30" s="123" t="str">
        <f t="shared" si="30"/>
        <v/>
      </c>
      <c r="AH30" s="123" t="str">
        <f t="shared" si="30"/>
        <v/>
      </c>
      <c r="AI30" s="123" t="str">
        <f t="shared" si="30"/>
        <v/>
      </c>
      <c r="AJ30" s="123" t="str">
        <f t="shared" si="30"/>
        <v/>
      </c>
      <c r="AK30" s="123" t="str">
        <f t="shared" si="30"/>
        <v/>
      </c>
      <c r="AL30" s="18"/>
      <c r="AM30" s="123" t="str">
        <f t="shared" ref="AM30:AN30" si="31">IFERROR(QUARTILE(AM3:AM27,1),"")</f>
        <v/>
      </c>
      <c r="AN30" s="91" t="str">
        <f t="shared" si="31"/>
        <v/>
      </c>
      <c r="AO30" s="91" t="str">
        <f t="shared" ref="AO30:AQ30" si="32">IFERROR(QUARTILE(AO3:AO27,1),"")</f>
        <v/>
      </c>
      <c r="AP30" s="91" t="str">
        <f t="shared" si="32"/>
        <v/>
      </c>
      <c r="AQ30" s="91" t="str">
        <f t="shared" si="32"/>
        <v/>
      </c>
      <c r="AR30" s="91" t="str">
        <f t="shared" ref="AR30:AS30" si="33">IFERROR(QUARTILE(AR3:AR27,1),"")</f>
        <v/>
      </c>
      <c r="AS30" s="91" t="str">
        <f t="shared" si="33"/>
        <v/>
      </c>
      <c r="AT30" s="91" t="str">
        <f t="shared" ref="AT30:AV30" si="34">IFERROR(QUARTILE(AT3:AT27,1),"")</f>
        <v/>
      </c>
      <c r="AU30" s="91" t="str">
        <f t="shared" si="34"/>
        <v/>
      </c>
      <c r="AV30" s="91" t="str">
        <f t="shared" si="34"/>
        <v/>
      </c>
      <c r="AW30" s="91" t="str">
        <f t="shared" ref="AW30:BF30" si="35">IFERROR(QUARTILE(AW3:AW27,1),"")</f>
        <v/>
      </c>
      <c r="AX30" s="91" t="str">
        <f t="shared" si="35"/>
        <v/>
      </c>
      <c r="AY30" s="91" t="str">
        <f t="shared" si="35"/>
        <v/>
      </c>
      <c r="AZ30" s="91" t="str">
        <f t="shared" si="35"/>
        <v/>
      </c>
      <c r="BA30" s="91" t="str">
        <f t="shared" si="35"/>
        <v/>
      </c>
      <c r="BB30" s="91" t="str">
        <f t="shared" si="35"/>
        <v/>
      </c>
      <c r="BC30" s="91" t="str">
        <f t="shared" si="35"/>
        <v/>
      </c>
      <c r="BD30" s="91" t="str">
        <f t="shared" si="35"/>
        <v/>
      </c>
      <c r="BE30" s="91" t="str">
        <f t="shared" si="35"/>
        <v/>
      </c>
      <c r="BF30" s="91" t="str">
        <f t="shared" si="35"/>
        <v/>
      </c>
      <c r="BG30" s="91" t="str">
        <f t="shared" ref="BG30:BQ30" si="36">IFERROR(QUARTILE(BG3:BG27,1),"")</f>
        <v/>
      </c>
      <c r="BH30" s="91" t="str">
        <f t="shared" si="36"/>
        <v/>
      </c>
      <c r="BI30" s="91" t="str">
        <f t="shared" si="36"/>
        <v/>
      </c>
      <c r="BJ30" s="91" t="str">
        <f t="shared" si="36"/>
        <v/>
      </c>
      <c r="BK30" s="91" t="str">
        <f t="shared" si="36"/>
        <v/>
      </c>
      <c r="BL30" s="91" t="str">
        <f t="shared" si="36"/>
        <v/>
      </c>
      <c r="BM30" s="91" t="str">
        <f t="shared" si="36"/>
        <v/>
      </c>
      <c r="BN30" s="91" t="str">
        <f t="shared" si="36"/>
        <v/>
      </c>
      <c r="BO30" s="91" t="str">
        <f t="shared" si="36"/>
        <v/>
      </c>
      <c r="BP30" s="91" t="str">
        <f t="shared" si="36"/>
        <v/>
      </c>
      <c r="BQ30" s="112" t="str">
        <f t="shared" si="36"/>
        <v/>
      </c>
      <c r="BR30" s="18"/>
      <c r="BS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DA30" s="97"/>
      <c r="DB30" s="97"/>
      <c r="DC30" s="97"/>
      <c r="DD30" s="97"/>
      <c r="DE30" s="97"/>
      <c r="DF30" s="97"/>
      <c r="DG30" s="97"/>
      <c r="DH30" s="97"/>
      <c r="DI30" s="97"/>
      <c r="DJ30" s="97"/>
      <c r="DK30" s="97"/>
      <c r="DL30" s="97"/>
      <c r="DM30" s="97"/>
      <c r="DN30" s="97"/>
      <c r="DO30" s="97"/>
      <c r="DQ30" s="97"/>
      <c r="DR30" s="97"/>
      <c r="DS30" s="97"/>
      <c r="DT30" s="97"/>
      <c r="DU30" s="97"/>
      <c r="DV30" s="97"/>
      <c r="DW30" s="97"/>
      <c r="DX30" s="97"/>
      <c r="DY30" s="97"/>
      <c r="DZ30" s="97"/>
      <c r="EA30" s="97"/>
      <c r="EB30" s="97"/>
      <c r="EC30" s="97"/>
      <c r="ED30" s="97"/>
      <c r="EE30" s="97"/>
      <c r="EG30" s="97"/>
      <c r="EH30" s="97"/>
      <c r="EI30" s="97"/>
      <c r="EJ30" s="97"/>
      <c r="EK30" s="97"/>
      <c r="EL30" s="97"/>
      <c r="EM30" s="97"/>
      <c r="EN30" s="97"/>
      <c r="EO30" s="97"/>
      <c r="EP30" s="97"/>
      <c r="EQ30" s="97"/>
      <c r="ER30" s="97"/>
      <c r="ES30" s="97"/>
      <c r="ET30" s="97"/>
      <c r="EU30" s="97"/>
      <c r="EW30" s="97"/>
      <c r="EX30" s="97"/>
      <c r="EY30" s="97"/>
      <c r="EZ30" s="97"/>
      <c r="FA30" s="97"/>
      <c r="FB30" s="97"/>
      <c r="FC30" s="97"/>
      <c r="FD30" s="97"/>
      <c r="FE30" s="97"/>
      <c r="FF30" s="97"/>
      <c r="FG30" s="97"/>
      <c r="FH30" s="97"/>
      <c r="FI30" s="97"/>
      <c r="FJ30" s="97"/>
      <c r="FK30" s="97"/>
      <c r="FM30" s="97"/>
      <c r="FN30" s="97"/>
      <c r="FO30" s="97"/>
      <c r="FP30" s="97"/>
      <c r="FQ30" s="97"/>
      <c r="FR30" s="97"/>
      <c r="FS30" s="97"/>
      <c r="FT30" s="97"/>
      <c r="FU30" s="97"/>
      <c r="FV30" s="97"/>
      <c r="FW30" s="97"/>
      <c r="FX30" s="97"/>
      <c r="FY30" s="97"/>
      <c r="FZ30" s="97"/>
      <c r="GA30" s="97"/>
      <c r="GC30" s="97"/>
      <c r="GD30" s="97"/>
      <c r="GE30" s="97"/>
      <c r="GF30" s="97"/>
      <c r="GG30" s="97"/>
      <c r="GH30" s="97"/>
      <c r="GI30" s="97"/>
      <c r="GJ30" s="97"/>
      <c r="GK30" s="97"/>
      <c r="GL30" s="97"/>
      <c r="GM30" s="97"/>
      <c r="GN30" s="97"/>
      <c r="GO30" s="97"/>
      <c r="GP30" s="97"/>
      <c r="GQ30" s="97"/>
      <c r="GS30" s="97"/>
      <c r="GT30" s="97"/>
      <c r="GU30" s="97"/>
      <c r="GV30" s="97"/>
      <c r="GW30" s="97"/>
      <c r="GX30" s="97"/>
      <c r="GY30" s="97"/>
      <c r="GZ30" s="97"/>
      <c r="HA30" s="97"/>
      <c r="HB30" s="97"/>
      <c r="HC30" s="97"/>
      <c r="HD30" s="97"/>
      <c r="HE30" s="97"/>
      <c r="HF30" s="97"/>
      <c r="HG30" s="97"/>
      <c r="HI30" s="97"/>
      <c r="HJ30" s="97"/>
      <c r="HK30" s="97"/>
      <c r="HL30" s="97"/>
      <c r="HM30" s="97"/>
      <c r="HN30" s="97"/>
      <c r="HO30" s="97"/>
      <c r="HP30" s="97"/>
      <c r="HQ30" s="97"/>
      <c r="HR30" s="97"/>
      <c r="HS30" s="97"/>
      <c r="HT30" s="97"/>
      <c r="HU30" s="97"/>
      <c r="HV30" s="97"/>
      <c r="HW30" s="97"/>
      <c r="HY30" s="97"/>
      <c r="HZ30" s="97"/>
      <c r="IA30" s="97"/>
      <c r="IB30" s="97"/>
      <c r="IC30" s="97"/>
      <c r="ID30" s="97"/>
      <c r="IE30" s="97"/>
      <c r="IF30" s="97"/>
      <c r="IG30" s="97"/>
      <c r="IH30" s="97"/>
      <c r="II30" s="97"/>
      <c r="IJ30" s="97"/>
      <c r="IK30" s="97"/>
      <c r="IL30" s="97"/>
      <c r="IM30" s="97"/>
      <c r="IO30" s="97"/>
      <c r="IP30" s="97"/>
      <c r="IQ30" s="97"/>
      <c r="IR30" s="97"/>
      <c r="IS30" s="97"/>
      <c r="IT30" s="97"/>
      <c r="IU30" s="24"/>
      <c r="IV30" s="24"/>
      <c r="IW30" s="24"/>
      <c r="IX30" s="24"/>
      <c r="IY30" s="24"/>
      <c r="IZ30" s="24"/>
      <c r="JA30" s="24"/>
      <c r="JB30" s="24"/>
      <c r="JC30" s="24"/>
    </row>
    <row r="31" spans="1:263" ht="16.5" thickTop="1" x14ac:dyDescent="0.25">
      <c r="A31" s="7"/>
      <c r="B31" s="1"/>
      <c r="C31" s="1"/>
      <c r="D31" s="1"/>
      <c r="E31" s="1"/>
      <c r="F31" s="1"/>
      <c r="G31" s="8"/>
      <c r="I31" s="44"/>
      <c r="J31" s="57"/>
      <c r="K31" s="44"/>
      <c r="L31" s="44"/>
      <c r="N31" s="18"/>
      <c r="O31" s="165" t="s">
        <v>35</v>
      </c>
      <c r="P31" s="166" t="s">
        <v>36</v>
      </c>
      <c r="Q31" s="172" t="s">
        <v>37</v>
      </c>
      <c r="R31" s="173"/>
      <c r="S31" s="18"/>
      <c r="T31" s="109"/>
      <c r="V31" s="123" t="s">
        <v>23</v>
      </c>
      <c r="W31" s="141" t="str">
        <f>IFERROR(QUARTILE(W3:W27,2),"")</f>
        <v/>
      </c>
      <c r="X31" s="124" t="str">
        <f t="shared" ref="X31:Z31" si="37">IFERROR(QUARTILE(X3:X27,2),"")</f>
        <v/>
      </c>
      <c r="Y31" s="124" t="str">
        <f t="shared" si="37"/>
        <v/>
      </c>
      <c r="Z31" s="124" t="str">
        <f t="shared" si="37"/>
        <v/>
      </c>
      <c r="AA31" s="124" t="str">
        <f t="shared" ref="AA31:AB31" si="38">IFERROR(QUARTILE(AA3:AA27,2),"")</f>
        <v/>
      </c>
      <c r="AB31" s="124" t="str">
        <f t="shared" si="38"/>
        <v/>
      </c>
      <c r="AC31" s="124" t="str">
        <f t="shared" ref="AC31:AK31" si="39">IFERROR(QUARTILE(AC3:AC27,2),"")</f>
        <v/>
      </c>
      <c r="AD31" s="124" t="str">
        <f t="shared" si="39"/>
        <v/>
      </c>
      <c r="AE31" s="124" t="str">
        <f t="shared" si="39"/>
        <v/>
      </c>
      <c r="AF31" s="124" t="str">
        <f t="shared" si="39"/>
        <v/>
      </c>
      <c r="AG31" s="124" t="str">
        <f t="shared" si="39"/>
        <v/>
      </c>
      <c r="AH31" s="124" t="str">
        <f t="shared" si="39"/>
        <v/>
      </c>
      <c r="AI31" s="124" t="str">
        <f t="shared" si="39"/>
        <v/>
      </c>
      <c r="AJ31" s="124" t="str">
        <f t="shared" si="39"/>
        <v/>
      </c>
      <c r="AK31" s="124" t="str">
        <f t="shared" si="39"/>
        <v/>
      </c>
      <c r="AL31" s="45"/>
      <c r="AM31" s="124" t="str">
        <f t="shared" ref="AM31:AN31" si="40">IFERROR(QUARTILE(AM3:AM27,2),"")</f>
        <v/>
      </c>
      <c r="AN31" s="87" t="str">
        <f t="shared" si="40"/>
        <v/>
      </c>
      <c r="AO31" s="87" t="str">
        <f t="shared" ref="AO31:AQ31" si="41">IFERROR(QUARTILE(AO3:AO27,2),"")</f>
        <v/>
      </c>
      <c r="AP31" s="87" t="str">
        <f t="shared" si="41"/>
        <v/>
      </c>
      <c r="AQ31" s="87" t="str">
        <f t="shared" si="41"/>
        <v/>
      </c>
      <c r="AR31" s="87" t="str">
        <f t="shared" ref="AR31:AS31" si="42">IFERROR(QUARTILE(AR3:AR27,2),"")</f>
        <v/>
      </c>
      <c r="AS31" s="87" t="str">
        <f t="shared" si="42"/>
        <v/>
      </c>
      <c r="AT31" s="87" t="str">
        <f t="shared" ref="AT31:AV31" si="43">IFERROR(QUARTILE(AT3:AT27,2),"")</f>
        <v/>
      </c>
      <c r="AU31" s="87" t="str">
        <f t="shared" si="43"/>
        <v/>
      </c>
      <c r="AV31" s="87" t="str">
        <f t="shared" si="43"/>
        <v/>
      </c>
      <c r="AW31" s="87" t="str">
        <f t="shared" ref="AW31:BF31" si="44">IFERROR(QUARTILE(AW3:AW27,2),"")</f>
        <v/>
      </c>
      <c r="AX31" s="87" t="str">
        <f t="shared" si="44"/>
        <v/>
      </c>
      <c r="AY31" s="87" t="str">
        <f t="shared" si="44"/>
        <v/>
      </c>
      <c r="AZ31" s="87" t="str">
        <f t="shared" si="44"/>
        <v/>
      </c>
      <c r="BA31" s="87" t="str">
        <f t="shared" si="44"/>
        <v/>
      </c>
      <c r="BB31" s="87" t="str">
        <f t="shared" si="44"/>
        <v/>
      </c>
      <c r="BC31" s="87" t="str">
        <f t="shared" si="44"/>
        <v/>
      </c>
      <c r="BD31" s="87" t="str">
        <f t="shared" si="44"/>
        <v/>
      </c>
      <c r="BE31" s="87" t="str">
        <f t="shared" si="44"/>
        <v/>
      </c>
      <c r="BF31" s="87" t="str">
        <f t="shared" si="44"/>
        <v/>
      </c>
      <c r="BG31" s="87" t="str">
        <f t="shared" ref="BG31:BQ31" si="45">IFERROR(QUARTILE(BG3:BG27,2),"")</f>
        <v/>
      </c>
      <c r="BH31" s="87" t="str">
        <f t="shared" si="45"/>
        <v/>
      </c>
      <c r="BI31" s="87" t="str">
        <f t="shared" si="45"/>
        <v/>
      </c>
      <c r="BJ31" s="87" t="str">
        <f t="shared" si="45"/>
        <v/>
      </c>
      <c r="BK31" s="87" t="str">
        <f t="shared" si="45"/>
        <v/>
      </c>
      <c r="BL31" s="87" t="str">
        <f t="shared" si="45"/>
        <v/>
      </c>
      <c r="BM31" s="87" t="str">
        <f t="shared" si="45"/>
        <v/>
      </c>
      <c r="BN31" s="87" t="str">
        <f t="shared" si="45"/>
        <v/>
      </c>
      <c r="BO31" s="87" t="str">
        <f t="shared" si="45"/>
        <v/>
      </c>
      <c r="BP31" s="87" t="str">
        <f t="shared" si="45"/>
        <v/>
      </c>
      <c r="BQ31" s="77" t="str">
        <f t="shared" si="45"/>
        <v/>
      </c>
      <c r="BR31" s="45"/>
      <c r="BS31" s="45"/>
      <c r="BU31" s="45"/>
      <c r="BV31" s="45"/>
      <c r="BW31" s="45"/>
      <c r="BX31" s="45"/>
      <c r="BY31" s="45"/>
      <c r="BZ31" s="45"/>
      <c r="CA31" s="45"/>
      <c r="CB31" s="45"/>
      <c r="CC31" s="45"/>
      <c r="CD31" s="45"/>
      <c r="CE31" s="45"/>
      <c r="CF31" s="45"/>
      <c r="CG31" s="45"/>
      <c r="CH31" s="45"/>
      <c r="CI31" s="45"/>
      <c r="CK31" s="45"/>
      <c r="CL31" s="45"/>
      <c r="CM31" s="45"/>
      <c r="CN31" s="45"/>
      <c r="CO31" s="45"/>
      <c r="CP31" s="45"/>
      <c r="CQ31" s="45"/>
      <c r="CR31" s="45"/>
      <c r="CS31" s="45"/>
      <c r="CT31" s="45"/>
      <c r="CU31" s="45"/>
      <c r="CV31" s="45"/>
      <c r="CW31" s="45"/>
      <c r="CX31" s="45"/>
      <c r="CY31" s="45"/>
      <c r="DA31" s="100"/>
      <c r="DB31" s="100"/>
      <c r="DC31" s="100"/>
      <c r="DD31" s="100"/>
      <c r="DE31" s="100"/>
      <c r="DF31" s="100"/>
      <c r="DG31" s="100"/>
      <c r="DH31" s="100"/>
      <c r="DI31" s="100"/>
      <c r="DJ31" s="100"/>
      <c r="DK31" s="100"/>
      <c r="DL31" s="100"/>
      <c r="DM31" s="100"/>
      <c r="DN31" s="100"/>
      <c r="DO31" s="100"/>
      <c r="DQ31" s="100"/>
      <c r="DR31" s="100"/>
      <c r="DS31" s="100"/>
      <c r="DT31" s="100"/>
      <c r="DU31" s="100"/>
      <c r="DV31" s="100"/>
      <c r="DW31" s="100"/>
      <c r="DX31" s="100"/>
      <c r="DY31" s="100"/>
      <c r="DZ31" s="100"/>
      <c r="EA31" s="100"/>
      <c r="EB31" s="100"/>
      <c r="EC31" s="100"/>
      <c r="ED31" s="100"/>
      <c r="EE31" s="100"/>
      <c r="EG31" s="100"/>
      <c r="EH31" s="100"/>
      <c r="EI31" s="100"/>
      <c r="EJ31" s="100"/>
      <c r="EK31" s="100"/>
      <c r="EL31" s="100"/>
      <c r="EM31" s="100"/>
      <c r="EN31" s="100"/>
      <c r="EO31" s="100"/>
      <c r="EP31" s="100"/>
      <c r="EQ31" s="100"/>
      <c r="ER31" s="100"/>
      <c r="ES31" s="100"/>
      <c r="ET31" s="100"/>
      <c r="EU31" s="100"/>
      <c r="EW31" s="100"/>
      <c r="EX31" s="100"/>
      <c r="EY31" s="100"/>
      <c r="EZ31" s="100"/>
      <c r="FA31" s="100"/>
      <c r="FB31" s="100"/>
      <c r="FC31" s="100"/>
      <c r="FD31" s="100"/>
      <c r="FE31" s="100"/>
      <c r="FF31" s="100"/>
      <c r="FG31" s="100"/>
      <c r="FH31" s="100"/>
      <c r="FI31" s="100"/>
      <c r="FJ31" s="100"/>
      <c r="FK31" s="100"/>
      <c r="FM31" s="100"/>
      <c r="FN31" s="100"/>
      <c r="FO31" s="100"/>
      <c r="FP31" s="100"/>
      <c r="FQ31" s="100"/>
      <c r="FR31" s="100"/>
      <c r="FS31" s="100"/>
      <c r="FT31" s="100"/>
      <c r="FU31" s="100"/>
      <c r="FV31" s="100"/>
      <c r="FW31" s="100"/>
      <c r="FX31" s="100"/>
      <c r="FY31" s="100"/>
      <c r="FZ31" s="100"/>
      <c r="GA31" s="100"/>
      <c r="GC31" s="100"/>
      <c r="GD31" s="100"/>
      <c r="GE31" s="100"/>
      <c r="GF31" s="100"/>
      <c r="GG31" s="100"/>
      <c r="GH31" s="100"/>
      <c r="GI31" s="100"/>
      <c r="GJ31" s="100"/>
      <c r="GK31" s="100"/>
      <c r="GL31" s="100"/>
      <c r="GM31" s="100"/>
      <c r="GN31" s="100"/>
      <c r="GO31" s="100"/>
      <c r="GP31" s="100"/>
      <c r="GQ31" s="100"/>
      <c r="GS31" s="100"/>
      <c r="GT31" s="100"/>
      <c r="GU31" s="100"/>
      <c r="GV31" s="100"/>
      <c r="GW31" s="100"/>
      <c r="GX31" s="100"/>
      <c r="GY31" s="100"/>
      <c r="GZ31" s="100"/>
      <c r="HA31" s="100"/>
      <c r="HB31" s="100"/>
      <c r="HC31" s="100"/>
      <c r="HD31" s="100"/>
      <c r="HE31" s="100"/>
      <c r="HF31" s="100"/>
      <c r="HG31" s="100"/>
      <c r="HI31" s="100"/>
      <c r="HJ31" s="100"/>
      <c r="HK31" s="100"/>
      <c r="HL31" s="100"/>
      <c r="HM31" s="100"/>
      <c r="HN31" s="100"/>
      <c r="HO31" s="100"/>
      <c r="HP31" s="100"/>
      <c r="HQ31" s="100"/>
      <c r="HR31" s="100"/>
      <c r="HS31" s="100"/>
      <c r="HT31" s="100"/>
      <c r="HU31" s="100"/>
      <c r="HV31" s="100"/>
      <c r="HW31" s="100"/>
      <c r="HY31" s="100"/>
      <c r="HZ31" s="100"/>
      <c r="IA31" s="100"/>
      <c r="IB31" s="100"/>
      <c r="IC31" s="100"/>
      <c r="ID31" s="100"/>
      <c r="IE31" s="100"/>
      <c r="IF31" s="100"/>
      <c r="IG31" s="100"/>
      <c r="IH31" s="100"/>
      <c r="II31" s="100"/>
      <c r="IJ31" s="100"/>
      <c r="IK31" s="100"/>
      <c r="IL31" s="100"/>
      <c r="IM31" s="100"/>
      <c r="IO31" s="100"/>
      <c r="IP31" s="100"/>
      <c r="IQ31" s="100"/>
      <c r="IR31" s="100"/>
      <c r="IS31" s="100"/>
      <c r="IT31" s="100"/>
      <c r="IU31" s="26"/>
      <c r="IV31" s="26"/>
      <c r="IW31" s="26"/>
      <c r="IX31" s="26"/>
      <c r="IY31" s="26"/>
      <c r="IZ31" s="26"/>
      <c r="JA31" s="26"/>
      <c r="JB31" s="26"/>
      <c r="JC31" s="26"/>
    </row>
    <row r="32" spans="1:263" ht="16.5" thickBot="1" x14ac:dyDescent="0.3">
      <c r="A32" s="7"/>
      <c r="B32" s="1"/>
      <c r="C32" s="1"/>
      <c r="D32" s="1"/>
      <c r="E32" s="1"/>
      <c r="F32" s="1"/>
      <c r="G32" s="8"/>
      <c r="I32" s="101"/>
      <c r="J32" s="102"/>
      <c r="K32" s="101"/>
      <c r="L32" s="101"/>
      <c r="N32" s="18"/>
      <c r="O32" s="167"/>
      <c r="P32" s="168"/>
      <c r="Q32" s="170" t="str">
        <f>IFERROR(O32/P32*3.6,"")</f>
        <v/>
      </c>
      <c r="R32" s="171"/>
      <c r="S32" s="18"/>
      <c r="T32" s="46"/>
      <c r="V32" s="123" t="s">
        <v>24</v>
      </c>
      <c r="W32" s="142" t="str">
        <f>IFERROR(QUARTILE(W3:W27,3),"")</f>
        <v/>
      </c>
      <c r="X32" s="123" t="str">
        <f t="shared" ref="X32:Z32" si="46">IFERROR(QUARTILE(X3:X27,3),"")</f>
        <v/>
      </c>
      <c r="Y32" s="123" t="str">
        <f t="shared" si="46"/>
        <v/>
      </c>
      <c r="Z32" s="123" t="str">
        <f t="shared" si="46"/>
        <v/>
      </c>
      <c r="AA32" s="123" t="str">
        <f t="shared" ref="AA32:AB32" si="47">IFERROR(QUARTILE(AA3:AA27,3),"")</f>
        <v/>
      </c>
      <c r="AB32" s="123" t="str">
        <f t="shared" si="47"/>
        <v/>
      </c>
      <c r="AC32" s="123" t="str">
        <f t="shared" ref="AC32:AK32" si="48">IFERROR(QUARTILE(AC3:AC27,3),"")</f>
        <v/>
      </c>
      <c r="AD32" s="123" t="str">
        <f t="shared" si="48"/>
        <v/>
      </c>
      <c r="AE32" s="123" t="str">
        <f t="shared" si="48"/>
        <v/>
      </c>
      <c r="AF32" s="123" t="str">
        <f t="shared" si="48"/>
        <v/>
      </c>
      <c r="AG32" s="123" t="str">
        <f t="shared" si="48"/>
        <v/>
      </c>
      <c r="AH32" s="123" t="str">
        <f t="shared" si="48"/>
        <v/>
      </c>
      <c r="AI32" s="123" t="str">
        <f t="shared" si="48"/>
        <v/>
      </c>
      <c r="AJ32" s="123" t="str">
        <f t="shared" si="48"/>
        <v/>
      </c>
      <c r="AK32" s="123" t="str">
        <f t="shared" si="48"/>
        <v/>
      </c>
      <c r="AL32" s="45"/>
      <c r="AM32" s="123" t="str">
        <f t="shared" ref="AM32:AN32" si="49">IFERROR(QUARTILE(AM3:AM27,3),"")</f>
        <v/>
      </c>
      <c r="AN32" s="91" t="str">
        <f t="shared" si="49"/>
        <v/>
      </c>
      <c r="AO32" s="91" t="str">
        <f t="shared" ref="AO32:AQ32" si="50">IFERROR(QUARTILE(AO3:AO27,3),"")</f>
        <v/>
      </c>
      <c r="AP32" s="91" t="str">
        <f t="shared" si="50"/>
        <v/>
      </c>
      <c r="AQ32" s="91" t="str">
        <f t="shared" si="50"/>
        <v/>
      </c>
      <c r="AR32" s="91" t="str">
        <f t="shared" ref="AR32:AS32" si="51">IFERROR(QUARTILE(AR3:AR27,3),"")</f>
        <v/>
      </c>
      <c r="AS32" s="91" t="str">
        <f t="shared" si="51"/>
        <v/>
      </c>
      <c r="AT32" s="91" t="str">
        <f t="shared" ref="AT32:AV32" si="52">IFERROR(QUARTILE(AT3:AT27,3),"")</f>
        <v/>
      </c>
      <c r="AU32" s="91" t="str">
        <f t="shared" si="52"/>
        <v/>
      </c>
      <c r="AV32" s="91" t="str">
        <f t="shared" si="52"/>
        <v/>
      </c>
      <c r="AW32" s="91" t="str">
        <f t="shared" ref="AW32:BF32" si="53">IFERROR(QUARTILE(AW3:AW27,3),"")</f>
        <v/>
      </c>
      <c r="AX32" s="91" t="str">
        <f t="shared" si="53"/>
        <v/>
      </c>
      <c r="AY32" s="91" t="str">
        <f t="shared" si="53"/>
        <v/>
      </c>
      <c r="AZ32" s="91" t="str">
        <f t="shared" si="53"/>
        <v/>
      </c>
      <c r="BA32" s="91" t="str">
        <f t="shared" si="53"/>
        <v/>
      </c>
      <c r="BB32" s="91" t="str">
        <f t="shared" si="53"/>
        <v/>
      </c>
      <c r="BC32" s="91" t="str">
        <f t="shared" si="53"/>
        <v/>
      </c>
      <c r="BD32" s="91" t="str">
        <f t="shared" si="53"/>
        <v/>
      </c>
      <c r="BE32" s="91" t="str">
        <f t="shared" si="53"/>
        <v/>
      </c>
      <c r="BF32" s="91" t="str">
        <f t="shared" si="53"/>
        <v/>
      </c>
      <c r="BG32" s="91" t="str">
        <f t="shared" ref="BG32:BQ32" si="54">IFERROR(QUARTILE(BG3:BG27,3),"")</f>
        <v/>
      </c>
      <c r="BH32" s="91" t="str">
        <f t="shared" si="54"/>
        <v/>
      </c>
      <c r="BI32" s="91" t="str">
        <f t="shared" si="54"/>
        <v/>
      </c>
      <c r="BJ32" s="91" t="str">
        <f t="shared" si="54"/>
        <v/>
      </c>
      <c r="BK32" s="91" t="str">
        <f t="shared" si="54"/>
        <v/>
      </c>
      <c r="BL32" s="91" t="str">
        <f t="shared" si="54"/>
        <v/>
      </c>
      <c r="BM32" s="91" t="str">
        <f t="shared" si="54"/>
        <v/>
      </c>
      <c r="BN32" s="91" t="str">
        <f t="shared" si="54"/>
        <v/>
      </c>
      <c r="BO32" s="91" t="str">
        <f t="shared" si="54"/>
        <v/>
      </c>
      <c r="BP32" s="91" t="str">
        <f t="shared" si="54"/>
        <v/>
      </c>
      <c r="BQ32" s="112" t="str">
        <f t="shared" si="54"/>
        <v/>
      </c>
      <c r="BR32" s="45"/>
      <c r="BS32" s="45"/>
      <c r="BU32" s="45"/>
      <c r="BV32" s="45"/>
      <c r="BW32" s="45"/>
      <c r="BX32" s="45"/>
      <c r="BY32" s="45"/>
      <c r="BZ32" s="45"/>
      <c r="CA32" s="45"/>
      <c r="CB32" s="45"/>
      <c r="CC32" s="45"/>
      <c r="CD32" s="45"/>
      <c r="CE32" s="45"/>
      <c r="CF32" s="45"/>
      <c r="CG32" s="45"/>
      <c r="CH32" s="45"/>
      <c r="CI32" s="45"/>
      <c r="CK32" s="45"/>
      <c r="CL32" s="45"/>
      <c r="CM32" s="45"/>
      <c r="CN32" s="45"/>
      <c r="CO32" s="45"/>
      <c r="CP32" s="45"/>
      <c r="CQ32" s="45"/>
      <c r="CR32" s="45"/>
      <c r="CS32" s="45"/>
      <c r="CT32" s="45"/>
      <c r="CU32" s="45"/>
      <c r="CV32" s="45"/>
      <c r="CW32" s="45"/>
      <c r="CX32" s="45"/>
      <c r="CY32" s="45"/>
      <c r="DA32" s="100"/>
      <c r="DB32" s="100"/>
      <c r="DC32" s="100"/>
      <c r="DD32" s="100"/>
      <c r="DE32" s="100"/>
      <c r="DF32" s="100"/>
      <c r="DG32" s="100"/>
      <c r="DH32" s="100"/>
      <c r="DI32" s="100"/>
      <c r="DJ32" s="100"/>
      <c r="DK32" s="100"/>
      <c r="DL32" s="100"/>
      <c r="DM32" s="100"/>
      <c r="DN32" s="100"/>
      <c r="DO32" s="100"/>
      <c r="DQ32" s="100"/>
      <c r="DR32" s="100"/>
      <c r="DS32" s="100"/>
      <c r="DT32" s="100"/>
      <c r="DU32" s="100"/>
      <c r="DV32" s="100"/>
      <c r="DW32" s="100"/>
      <c r="DX32" s="100"/>
      <c r="DY32" s="100"/>
      <c r="DZ32" s="100"/>
      <c r="EA32" s="100"/>
      <c r="EB32" s="100"/>
      <c r="EC32" s="100"/>
      <c r="ED32" s="100"/>
      <c r="EE32" s="100"/>
      <c r="EG32" s="100"/>
      <c r="EH32" s="100"/>
      <c r="EI32" s="100"/>
      <c r="EJ32" s="100"/>
      <c r="EK32" s="100"/>
      <c r="EL32" s="100"/>
      <c r="EM32" s="100"/>
      <c r="EN32" s="100"/>
      <c r="EO32" s="100"/>
      <c r="EP32" s="100"/>
      <c r="EQ32" s="100"/>
      <c r="ER32" s="100"/>
      <c r="ES32" s="100"/>
      <c r="ET32" s="100"/>
      <c r="EU32" s="100"/>
      <c r="EW32" s="100"/>
      <c r="EX32" s="100"/>
      <c r="EY32" s="100"/>
      <c r="EZ32" s="100"/>
      <c r="FA32" s="100"/>
      <c r="FB32" s="100"/>
      <c r="FC32" s="100"/>
      <c r="FD32" s="100"/>
      <c r="FE32" s="100"/>
      <c r="FF32" s="100"/>
      <c r="FG32" s="100"/>
      <c r="FH32" s="100"/>
      <c r="FI32" s="100"/>
      <c r="FJ32" s="100"/>
      <c r="FK32" s="100"/>
      <c r="FM32" s="100"/>
      <c r="FN32" s="100"/>
      <c r="FO32" s="100"/>
      <c r="FP32" s="100"/>
      <c r="FQ32" s="100"/>
      <c r="FR32" s="100"/>
      <c r="FS32" s="100"/>
      <c r="FT32" s="100"/>
      <c r="FU32" s="100"/>
      <c r="FV32" s="100"/>
      <c r="FW32" s="100"/>
      <c r="FX32" s="100"/>
      <c r="FY32" s="100"/>
      <c r="FZ32" s="100"/>
      <c r="GA32" s="100"/>
      <c r="GC32" s="100"/>
      <c r="GD32" s="100"/>
      <c r="GE32" s="100"/>
      <c r="GF32" s="100"/>
      <c r="GG32" s="100"/>
      <c r="GH32" s="100"/>
      <c r="GI32" s="100"/>
      <c r="GJ32" s="100"/>
      <c r="GK32" s="100"/>
      <c r="GL32" s="100"/>
      <c r="GM32" s="100"/>
      <c r="GN32" s="100"/>
      <c r="GO32" s="100"/>
      <c r="GP32" s="100"/>
      <c r="GQ32" s="100"/>
      <c r="GS32" s="100"/>
      <c r="GT32" s="100"/>
      <c r="GU32" s="100"/>
      <c r="GV32" s="100"/>
      <c r="GW32" s="100"/>
      <c r="GX32" s="100"/>
      <c r="GY32" s="100"/>
      <c r="GZ32" s="100"/>
      <c r="HA32" s="100"/>
      <c r="HB32" s="100"/>
      <c r="HC32" s="100"/>
      <c r="HD32" s="100"/>
      <c r="HE32" s="100"/>
      <c r="HF32" s="100"/>
      <c r="HG32" s="100"/>
      <c r="HI32" s="100"/>
      <c r="HJ32" s="100"/>
      <c r="HK32" s="100"/>
      <c r="HL32" s="100"/>
      <c r="HM32" s="100"/>
      <c r="HN32" s="100"/>
      <c r="HO32" s="100"/>
      <c r="HP32" s="100"/>
      <c r="HQ32" s="100"/>
      <c r="HR32" s="100"/>
      <c r="HS32" s="100"/>
      <c r="HT32" s="100"/>
      <c r="HU32" s="100"/>
      <c r="HV32" s="100"/>
      <c r="HW32" s="100"/>
      <c r="HY32" s="100"/>
      <c r="HZ32" s="100"/>
      <c r="IA32" s="100"/>
      <c r="IB32" s="100"/>
      <c r="IC32" s="100"/>
      <c r="ID32" s="100"/>
      <c r="IE32" s="100"/>
      <c r="IF32" s="100"/>
      <c r="IG32" s="100"/>
      <c r="IH32" s="100"/>
      <c r="II32" s="100"/>
      <c r="IJ32" s="100"/>
      <c r="IK32" s="100"/>
      <c r="IL32" s="100"/>
      <c r="IM32" s="100"/>
      <c r="IO32" s="100"/>
      <c r="IP32" s="100"/>
      <c r="IQ32" s="100"/>
      <c r="IR32" s="100"/>
      <c r="IS32" s="100"/>
      <c r="IT32" s="100"/>
      <c r="IU32" s="26"/>
      <c r="IV32" s="26"/>
      <c r="IW32" s="26"/>
      <c r="IX32" s="26"/>
      <c r="IY32" s="26"/>
      <c r="IZ32" s="26"/>
      <c r="JA32" s="26"/>
      <c r="JB32" s="26"/>
      <c r="JC32" s="26"/>
    </row>
    <row r="33" spans="1:69" ht="17.25" thickTop="1" thickBot="1" x14ac:dyDescent="0.3">
      <c r="A33" s="7"/>
      <c r="B33" s="1"/>
      <c r="C33" s="1"/>
      <c r="D33" s="1"/>
      <c r="E33" s="1"/>
      <c r="F33" s="1"/>
      <c r="G33" s="8"/>
      <c r="I33" s="44"/>
      <c r="J33" s="57"/>
      <c r="K33" s="44"/>
      <c r="L33" s="44"/>
      <c r="N33" s="18"/>
      <c r="O33" s="18"/>
      <c r="P33" s="18"/>
      <c r="Q33" s="18"/>
      <c r="R33" s="18"/>
      <c r="S33" s="18"/>
      <c r="T33" s="110"/>
      <c r="V33" s="125" t="s">
        <v>25</v>
      </c>
      <c r="W33" s="143" t="str">
        <f>IFERROR(QUARTILE(W3:W27,4),"")</f>
        <v/>
      </c>
      <c r="X33" s="125" t="str">
        <f t="shared" ref="X33:AK33" si="55">IFERROR(QUARTILE(X3:X27,4),"")</f>
        <v/>
      </c>
      <c r="Y33" s="125" t="str">
        <f t="shared" si="55"/>
        <v/>
      </c>
      <c r="Z33" s="125" t="str">
        <f t="shared" si="55"/>
        <v/>
      </c>
      <c r="AA33" s="125" t="str">
        <f t="shared" si="55"/>
        <v/>
      </c>
      <c r="AB33" s="125" t="str">
        <f t="shared" si="55"/>
        <v/>
      </c>
      <c r="AC33" s="125" t="str">
        <f t="shared" si="55"/>
        <v/>
      </c>
      <c r="AD33" s="125" t="str">
        <f t="shared" si="55"/>
        <v/>
      </c>
      <c r="AE33" s="125" t="str">
        <f t="shared" si="55"/>
        <v/>
      </c>
      <c r="AF33" s="125" t="str">
        <f t="shared" si="55"/>
        <v/>
      </c>
      <c r="AG33" s="125" t="str">
        <f t="shared" si="55"/>
        <v/>
      </c>
      <c r="AH33" s="125" t="str">
        <f t="shared" si="55"/>
        <v/>
      </c>
      <c r="AI33" s="125" t="str">
        <f t="shared" si="55"/>
        <v/>
      </c>
      <c r="AJ33" s="125" t="str">
        <f t="shared" si="55"/>
        <v/>
      </c>
      <c r="AK33" s="125" t="str">
        <f t="shared" si="55"/>
        <v/>
      </c>
      <c r="AL33" s="45"/>
      <c r="AM33" s="125" t="str">
        <f t="shared" ref="AM33:AN33" si="56">IFERROR(QUARTILE(AM3:AM27,4),"")</f>
        <v/>
      </c>
      <c r="AN33" s="92" t="str">
        <f t="shared" si="56"/>
        <v/>
      </c>
      <c r="AO33" s="92" t="str">
        <f t="shared" ref="AO33:AQ33" si="57">IFERROR(QUARTILE(AO3:AO27,4),"")</f>
        <v/>
      </c>
      <c r="AP33" s="92" t="str">
        <f t="shared" si="57"/>
        <v/>
      </c>
      <c r="AQ33" s="92" t="str">
        <f t="shared" si="57"/>
        <v/>
      </c>
      <c r="AR33" s="92" t="str">
        <f t="shared" ref="AR33:AS33" si="58">IFERROR(QUARTILE(AR3:AR27,4),"")</f>
        <v/>
      </c>
      <c r="AS33" s="92" t="str">
        <f t="shared" si="58"/>
        <v/>
      </c>
      <c r="AT33" s="92" t="str">
        <f t="shared" ref="AT33:AV33" si="59">IFERROR(QUARTILE(AT3:AT27,4),"")</f>
        <v/>
      </c>
      <c r="AU33" s="92" t="str">
        <f t="shared" si="59"/>
        <v/>
      </c>
      <c r="AV33" s="92" t="str">
        <f t="shared" si="59"/>
        <v/>
      </c>
      <c r="AW33" s="92" t="str">
        <f t="shared" ref="AW33:BF33" si="60">IFERROR(QUARTILE(AW3:AW27,4),"")</f>
        <v/>
      </c>
      <c r="AX33" s="92" t="str">
        <f t="shared" si="60"/>
        <v/>
      </c>
      <c r="AY33" s="92" t="str">
        <f t="shared" si="60"/>
        <v/>
      </c>
      <c r="AZ33" s="92" t="str">
        <f t="shared" si="60"/>
        <v/>
      </c>
      <c r="BA33" s="92" t="str">
        <f t="shared" si="60"/>
        <v/>
      </c>
      <c r="BB33" s="92" t="str">
        <f t="shared" si="60"/>
        <v/>
      </c>
      <c r="BC33" s="92" t="str">
        <f t="shared" si="60"/>
        <v/>
      </c>
      <c r="BD33" s="92" t="str">
        <f t="shared" si="60"/>
        <v/>
      </c>
      <c r="BE33" s="92" t="str">
        <f t="shared" si="60"/>
        <v/>
      </c>
      <c r="BF33" s="92" t="str">
        <f t="shared" si="60"/>
        <v/>
      </c>
      <c r="BG33" s="92" t="str">
        <f t="shared" ref="BG33:BQ33" si="61">IFERROR(QUARTILE(BG3:BG27,4),"")</f>
        <v/>
      </c>
      <c r="BH33" s="92" t="str">
        <f t="shared" si="61"/>
        <v/>
      </c>
      <c r="BI33" s="92" t="str">
        <f t="shared" si="61"/>
        <v/>
      </c>
      <c r="BJ33" s="92" t="str">
        <f t="shared" si="61"/>
        <v/>
      </c>
      <c r="BK33" s="92" t="str">
        <f t="shared" si="61"/>
        <v/>
      </c>
      <c r="BL33" s="92" t="str">
        <f t="shared" si="61"/>
        <v/>
      </c>
      <c r="BM33" s="92" t="str">
        <f t="shared" si="61"/>
        <v/>
      </c>
      <c r="BN33" s="92" t="str">
        <f t="shared" si="61"/>
        <v/>
      </c>
      <c r="BO33" s="92" t="str">
        <f t="shared" si="61"/>
        <v/>
      </c>
      <c r="BP33" s="92" t="str">
        <f t="shared" si="61"/>
        <v/>
      </c>
      <c r="BQ33" s="112" t="str">
        <f t="shared" si="61"/>
        <v/>
      </c>
    </row>
    <row r="34" spans="1:69" ht="16.5" thickTop="1" x14ac:dyDescent="0.25">
      <c r="A34" s="7"/>
      <c r="B34" s="1"/>
      <c r="C34" s="1"/>
      <c r="D34" s="1"/>
      <c r="E34" s="1"/>
      <c r="F34" s="1"/>
      <c r="G34" s="8"/>
      <c r="I34" s="101"/>
      <c r="J34" s="102"/>
      <c r="K34" s="101"/>
      <c r="L34" s="101"/>
      <c r="N34" s="18"/>
      <c r="O34" s="18"/>
      <c r="P34" s="18"/>
      <c r="Q34" s="18"/>
      <c r="R34" s="18"/>
      <c r="S34" s="18"/>
      <c r="T34" s="47"/>
      <c r="V34" s="45"/>
      <c r="W34" s="45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69" x14ac:dyDescent="0.25">
      <c r="A35" s="7"/>
      <c r="B35" s="1"/>
      <c r="C35" s="1"/>
      <c r="D35" s="1"/>
      <c r="E35" s="1"/>
      <c r="F35" s="1"/>
      <c r="G35" s="8"/>
      <c r="I35" s="44"/>
      <c r="J35" s="57"/>
      <c r="K35" s="44"/>
      <c r="L35" s="44"/>
      <c r="N35" s="18"/>
      <c r="O35" s="18"/>
      <c r="Q35" s="18"/>
      <c r="R35" s="18"/>
      <c r="S35" s="18"/>
      <c r="T35" s="110"/>
      <c r="V35" s="45"/>
      <c r="W35" s="45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69" x14ac:dyDescent="0.25">
      <c r="A36" s="7"/>
      <c r="B36" s="1"/>
      <c r="C36" s="1"/>
      <c r="D36" s="1"/>
      <c r="E36" s="1"/>
      <c r="F36" s="1"/>
      <c r="G36" s="8"/>
      <c r="I36" s="101"/>
      <c r="J36" s="102"/>
      <c r="K36" s="101"/>
      <c r="L36" s="101"/>
      <c r="N36" s="18"/>
      <c r="O36" s="18"/>
      <c r="P36" s="18"/>
      <c r="Q36" s="18"/>
      <c r="R36" s="18"/>
      <c r="S36" s="18"/>
      <c r="T36" s="47"/>
      <c r="V36" s="45"/>
      <c r="W36" s="45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69" x14ac:dyDescent="0.25">
      <c r="A37" s="7"/>
      <c r="B37" s="1"/>
      <c r="C37" s="1"/>
      <c r="D37" s="1"/>
      <c r="E37" s="1"/>
      <c r="F37" s="1"/>
      <c r="G37" s="8"/>
      <c r="I37" s="44"/>
      <c r="J37" s="57"/>
      <c r="K37" s="44"/>
      <c r="L37" s="44"/>
      <c r="N37" s="18"/>
      <c r="O37" s="18"/>
      <c r="P37" s="18"/>
      <c r="Q37" s="18"/>
      <c r="R37" s="18"/>
      <c r="S37" s="18"/>
      <c r="T37" s="109"/>
      <c r="V37" s="45"/>
      <c r="W37" s="45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69" x14ac:dyDescent="0.25">
      <c r="A38" s="7"/>
      <c r="B38" s="1"/>
      <c r="C38" s="1"/>
      <c r="D38" s="1"/>
      <c r="E38" s="1"/>
      <c r="F38" s="1"/>
      <c r="G38" s="8"/>
      <c r="I38" s="101"/>
      <c r="J38" s="102"/>
      <c r="K38" s="101"/>
      <c r="L38" s="101"/>
      <c r="N38" s="18"/>
      <c r="O38" s="18"/>
      <c r="P38" s="18"/>
      <c r="Q38" s="18"/>
      <c r="R38" s="18"/>
      <c r="S38" s="18"/>
      <c r="T38" s="49"/>
      <c r="V38" s="45"/>
      <c r="W38" s="45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69" x14ac:dyDescent="0.25">
      <c r="A39" s="7"/>
      <c r="B39" s="1"/>
      <c r="C39" s="1"/>
      <c r="D39" s="1"/>
      <c r="E39" s="1"/>
      <c r="F39" s="1"/>
      <c r="G39" s="8"/>
      <c r="I39" s="44"/>
      <c r="J39" s="57"/>
      <c r="K39" s="44"/>
      <c r="L39" s="44"/>
      <c r="N39" s="18"/>
      <c r="O39" s="18"/>
      <c r="P39" s="18"/>
      <c r="Q39" s="18"/>
      <c r="R39" s="18"/>
      <c r="S39" s="18"/>
      <c r="T39" s="109"/>
      <c r="V39" s="45"/>
      <c r="W39" s="45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69" x14ac:dyDescent="0.25">
      <c r="A40" s="7"/>
      <c r="B40" s="1"/>
      <c r="C40" s="1"/>
      <c r="D40" s="1"/>
      <c r="E40" s="1"/>
      <c r="F40" s="1"/>
      <c r="G40" s="8"/>
      <c r="I40" s="101"/>
      <c r="J40" s="102"/>
      <c r="K40" s="101"/>
      <c r="L40" s="101"/>
      <c r="N40" s="18"/>
      <c r="O40" s="18"/>
      <c r="P40" s="18"/>
      <c r="Q40" s="18"/>
      <c r="R40" s="18"/>
      <c r="S40" s="18"/>
      <c r="T40" s="49"/>
      <c r="V40" s="45"/>
      <c r="W40" s="45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69" x14ac:dyDescent="0.25">
      <c r="A41" s="7"/>
      <c r="B41" s="1"/>
      <c r="C41" s="1"/>
      <c r="D41" s="1"/>
      <c r="E41" s="1"/>
      <c r="F41" s="1"/>
      <c r="G41" s="8"/>
      <c r="I41" s="44"/>
      <c r="J41" s="57"/>
      <c r="K41" s="44"/>
      <c r="L41" s="44"/>
      <c r="N41" s="18"/>
      <c r="O41" s="18"/>
      <c r="P41" s="18"/>
      <c r="Q41" s="18"/>
      <c r="R41" s="18"/>
      <c r="S41" s="18"/>
      <c r="T41" s="109"/>
      <c r="V41" s="45"/>
      <c r="W41" s="45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69" x14ac:dyDescent="0.25">
      <c r="A42" s="7"/>
      <c r="B42" s="1"/>
      <c r="C42" s="1"/>
      <c r="D42" s="1"/>
      <c r="E42" s="1"/>
      <c r="F42" s="1"/>
      <c r="G42" s="8"/>
      <c r="I42" s="101"/>
      <c r="J42" s="102"/>
      <c r="K42" s="101"/>
      <c r="L42" s="101"/>
      <c r="N42" s="18"/>
      <c r="O42" s="18"/>
      <c r="P42" s="18"/>
      <c r="Q42" s="18"/>
      <c r="R42" s="18"/>
      <c r="S42" s="18"/>
      <c r="T42" s="49"/>
      <c r="V42" s="45"/>
      <c r="W42" s="45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69" x14ac:dyDescent="0.25">
      <c r="A43" s="7"/>
      <c r="B43" s="1"/>
      <c r="C43" s="1"/>
      <c r="D43" s="1"/>
      <c r="E43" s="1"/>
      <c r="F43" s="1"/>
      <c r="G43" s="8"/>
      <c r="I43" s="27"/>
      <c r="J43" s="57"/>
      <c r="K43" s="44"/>
      <c r="L43" s="44"/>
      <c r="N43" s="18"/>
      <c r="O43" s="18"/>
      <c r="P43" s="18"/>
      <c r="Q43" s="18"/>
      <c r="R43" s="18"/>
      <c r="S43" s="18"/>
      <c r="T43" s="109"/>
      <c r="V43" s="45"/>
      <c r="W43" s="45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69" x14ac:dyDescent="0.25">
      <c r="A44" s="7"/>
      <c r="B44" s="1"/>
      <c r="C44" s="1"/>
      <c r="D44" s="1"/>
      <c r="E44" s="1"/>
      <c r="F44" s="1"/>
      <c r="G44" s="8"/>
      <c r="I44" s="101"/>
      <c r="J44" s="102"/>
      <c r="K44" s="101"/>
      <c r="L44" s="101"/>
      <c r="N44" s="1"/>
      <c r="O44" s="1"/>
      <c r="P44" s="1"/>
      <c r="Q44" s="1"/>
      <c r="R44" s="1"/>
      <c r="S44" s="1"/>
      <c r="T44" s="49"/>
      <c r="V44" s="45"/>
      <c r="W44" s="45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69" x14ac:dyDescent="0.25">
      <c r="A45" s="7"/>
      <c r="B45" s="1"/>
      <c r="C45" s="1"/>
      <c r="D45" s="1"/>
      <c r="E45" s="1"/>
      <c r="F45" s="1"/>
      <c r="G45" s="8"/>
      <c r="I45" s="27"/>
      <c r="J45" s="57"/>
      <c r="K45" s="44"/>
      <c r="L45" s="44"/>
      <c r="N45" s="1"/>
      <c r="O45" s="1"/>
      <c r="P45" s="1"/>
      <c r="Q45" s="1"/>
      <c r="R45" s="1"/>
      <c r="S45" s="1"/>
      <c r="T45" s="109"/>
      <c r="V45" s="45"/>
      <c r="W45" s="45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69" ht="16.5" thickBot="1" x14ac:dyDescent="0.3">
      <c r="A46" s="9"/>
      <c r="B46" s="10"/>
      <c r="C46" s="10"/>
      <c r="D46" s="10"/>
      <c r="E46" s="10"/>
      <c r="F46" s="10"/>
      <c r="G46" s="11"/>
      <c r="I46" s="101"/>
      <c r="J46" s="102"/>
      <c r="K46" s="101"/>
      <c r="L46" s="101"/>
      <c r="N46" s="1"/>
      <c r="O46" s="1"/>
      <c r="P46" s="1"/>
      <c r="Q46" s="1"/>
      <c r="R46" s="1"/>
      <c r="S46" s="1"/>
      <c r="T46" s="49"/>
      <c r="V46" s="45"/>
      <c r="W46" s="45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69" s="1" customFormat="1" ht="20.25" thickTop="1" thickBot="1" x14ac:dyDescent="0.3">
      <c r="A47" s="196" t="str">
        <f>A1</f>
        <v>Rapport n°X</v>
      </c>
      <c r="B47" s="197"/>
      <c r="C47" s="198"/>
      <c r="E47" s="199" t="str">
        <f>E1</f>
        <v>XX-XX-202X</v>
      </c>
      <c r="F47" s="200"/>
      <c r="G47" s="201"/>
      <c r="I47" s="27"/>
      <c r="J47" s="57"/>
      <c r="K47" s="44"/>
      <c r="L47" s="44"/>
      <c r="M47" s="44"/>
      <c r="T47" s="109"/>
      <c r="U47" s="43"/>
    </row>
    <row r="48" spans="1:69" s="1" customFormat="1" ht="16.5" thickBot="1" x14ac:dyDescent="0.3">
      <c r="I48" s="101"/>
      <c r="J48" s="102"/>
      <c r="K48" s="101"/>
      <c r="L48" s="101"/>
      <c r="M48" s="44"/>
      <c r="T48" s="46"/>
      <c r="U48" s="43"/>
    </row>
    <row r="49" spans="1:21" s="1" customFormat="1" ht="20.25" thickTop="1" thickBot="1" x14ac:dyDescent="0.35">
      <c r="A49" s="202" t="s">
        <v>0</v>
      </c>
      <c r="B49" s="203"/>
      <c r="C49" s="204"/>
      <c r="E49" s="16" t="s">
        <v>1</v>
      </c>
      <c r="F49" s="14" t="s">
        <v>31</v>
      </c>
      <c r="G49" s="15" t="s">
        <v>32</v>
      </c>
      <c r="I49" s="27"/>
      <c r="J49" s="57"/>
      <c r="K49" s="44"/>
      <c r="L49" s="44"/>
      <c r="M49" s="44"/>
      <c r="T49" s="110"/>
      <c r="U49" s="43"/>
    </row>
    <row r="50" spans="1:21" s="1" customFormat="1" ht="17.25" thickTop="1" thickBot="1" x14ac:dyDescent="0.3">
      <c r="A50" s="187"/>
      <c r="B50" s="12" t="s">
        <v>16</v>
      </c>
      <c r="C50" s="169" t="str">
        <f>IF(C4=0,"",C4)</f>
        <v/>
      </c>
      <c r="E50" s="50"/>
      <c r="F50" s="134" t="str">
        <f>IFERROR(VLOOKUP(E50,$A$58:$H$72,4,FALSE)*100/VLOOKUP(E50,$A$58:$H$72,7,FALSE)/100,"")</f>
        <v/>
      </c>
      <c r="G50" s="132" t="str">
        <f>IFERROR(VLOOKUP(E50,$A$58:$H$72,5,FALSE)*100/VLOOKUP(E50,$A$58:$H$72,7,FALSE)/100,"")</f>
        <v/>
      </c>
      <c r="I50" s="101"/>
      <c r="J50" s="102"/>
      <c r="K50" s="101"/>
      <c r="L50" s="101"/>
      <c r="M50" s="44"/>
      <c r="T50" s="47"/>
      <c r="U50" s="43"/>
    </row>
    <row r="51" spans="1:21" s="1" customFormat="1" x14ac:dyDescent="0.25">
      <c r="A51" s="188"/>
      <c r="B51" s="2" t="s">
        <v>17</v>
      </c>
      <c r="C51" s="19" t="str">
        <f>IFERROR(VLOOKUP(C4,O2:S26,2,FALSE),"")</f>
        <v/>
      </c>
      <c r="E51" s="51"/>
      <c r="F51" s="135" t="str">
        <f t="shared" ref="F51:F54" si="62">IFERROR(VLOOKUP(E51,$A$58:$H$72,4,FALSE)*100/VLOOKUP(E51,$A$58:$H$72,7,FALSE)/100,"")</f>
        <v/>
      </c>
      <c r="G51" s="132" t="str">
        <f t="shared" ref="G51" si="63">IFERROR(VLOOKUP(E51,$A$58:$H$72,5,FALSE)*100/VLOOKUP(E51,$A$58:$H$72,7,FALSE)/100,"")</f>
        <v/>
      </c>
      <c r="I51" s="27"/>
      <c r="J51" s="57"/>
      <c r="K51" s="44"/>
      <c r="L51" s="44"/>
      <c r="M51" s="44"/>
      <c r="T51" s="110"/>
      <c r="U51" s="43"/>
    </row>
    <row r="52" spans="1:21" s="1" customFormat="1" x14ac:dyDescent="0.25">
      <c r="A52" s="188"/>
      <c r="B52" s="2" t="s">
        <v>3</v>
      </c>
      <c r="C52" s="19" t="str">
        <f>IFERROR(VLOOKUP(C4,O:Q,3,FALSE),"")</f>
        <v/>
      </c>
      <c r="E52" s="51"/>
      <c r="F52" s="135" t="str">
        <f>IFERROR(VLOOKUP(E52,$A$58:$H$72,4,FALSE)*100/VLOOKUP(E52,$A$58:$H$72,7,FALSE)/100,"")</f>
        <v/>
      </c>
      <c r="G52" s="132" t="str">
        <f>IFERROR(VLOOKUP(E52,$A$58:$H$72,5,FALSE)*100/VLOOKUP(E52,$A$58:$H$72,7,FALSE)/100,"")</f>
        <v/>
      </c>
      <c r="I52" s="101"/>
      <c r="J52" s="102"/>
      <c r="K52" s="101"/>
      <c r="L52" s="101"/>
      <c r="M52" s="44"/>
      <c r="T52" s="47"/>
      <c r="U52" s="43"/>
    </row>
    <row r="53" spans="1:21" s="1" customFormat="1" x14ac:dyDescent="0.25">
      <c r="A53" s="188"/>
      <c r="B53" s="2" t="s">
        <v>4</v>
      </c>
      <c r="C53" s="19" t="str">
        <f>IFERROR(VLOOKUP(C4,O:R,4,FALSE),"")</f>
        <v/>
      </c>
      <c r="E53" s="51"/>
      <c r="F53" s="135" t="str">
        <f t="shared" si="62"/>
        <v/>
      </c>
      <c r="G53" s="132" t="str">
        <f t="shared" ref="G53:G54" si="64">IFERROR(VLOOKUP(E53,$A$58:$H$72,5,FALSE)*100/VLOOKUP(E53,$A$58:$H$72,7,FALSE)/100,"")</f>
        <v/>
      </c>
      <c r="I53" s="44"/>
      <c r="J53" s="57"/>
      <c r="K53" s="44"/>
      <c r="L53" s="44"/>
      <c r="M53" s="44"/>
      <c r="T53" s="109"/>
      <c r="U53" s="43"/>
    </row>
    <row r="54" spans="1:21" s="1" customFormat="1" ht="16.5" thickBot="1" x14ac:dyDescent="0.3">
      <c r="A54" s="189"/>
      <c r="B54" s="13" t="s">
        <v>5</v>
      </c>
      <c r="C54" s="20" t="str">
        <f>IFERROR(VLOOKUP(C4,O:S,5,FALSE),"")</f>
        <v/>
      </c>
      <c r="E54" s="52"/>
      <c r="F54" s="136" t="str">
        <f t="shared" si="62"/>
        <v/>
      </c>
      <c r="G54" s="133" t="str">
        <f t="shared" si="64"/>
        <v/>
      </c>
      <c r="I54" s="27"/>
      <c r="J54" s="102"/>
      <c r="K54" s="101"/>
      <c r="L54" s="101"/>
      <c r="M54" s="44"/>
      <c r="T54" s="49"/>
      <c r="U54" s="43"/>
    </row>
    <row r="55" spans="1:21" s="1" customFormat="1" ht="17.25" thickTop="1" thickBot="1" x14ac:dyDescent="0.3">
      <c r="I55" s="27"/>
      <c r="J55" s="57"/>
      <c r="K55" s="44"/>
      <c r="L55" s="44"/>
      <c r="M55" s="44"/>
      <c r="T55" s="109"/>
      <c r="U55" s="43"/>
    </row>
    <row r="56" spans="1:21" s="1" customFormat="1" ht="20.25" thickTop="1" thickBot="1" x14ac:dyDescent="0.3">
      <c r="A56" s="184" t="s">
        <v>10</v>
      </c>
      <c r="B56" s="185"/>
      <c r="C56" s="185"/>
      <c r="D56" s="185"/>
      <c r="E56" s="185"/>
      <c r="F56" s="185"/>
      <c r="G56" s="186"/>
      <c r="I56" s="27"/>
      <c r="J56" s="102"/>
      <c r="K56" s="101"/>
      <c r="L56" s="101"/>
      <c r="M56" s="44"/>
      <c r="T56" s="49"/>
      <c r="U56" s="43"/>
    </row>
    <row r="57" spans="1:21" s="1" customFormat="1" ht="20.25" thickTop="1" thickBot="1" x14ac:dyDescent="0.3">
      <c r="A57" s="3"/>
      <c r="B57" s="150" t="s">
        <v>31</v>
      </c>
      <c r="C57" s="151" t="s">
        <v>32</v>
      </c>
      <c r="D57" s="151" t="s">
        <v>31</v>
      </c>
      <c r="E57" s="152" t="s">
        <v>32</v>
      </c>
      <c r="F57" s="153" t="s">
        <v>33</v>
      </c>
      <c r="G57" s="154" t="s">
        <v>30</v>
      </c>
      <c r="I57" s="27"/>
      <c r="J57" s="57"/>
      <c r="K57" s="44"/>
      <c r="L57" s="44"/>
      <c r="M57" s="44"/>
      <c r="T57" s="109"/>
      <c r="U57" s="43"/>
    </row>
    <row r="58" spans="1:21" s="1" customFormat="1" x14ac:dyDescent="0.25">
      <c r="A58" s="155"/>
      <c r="B58" s="128"/>
      <c r="C58" s="130"/>
      <c r="D58" s="137" t="str" cm="1">
        <f t="array" ref="D58">IF(SUMPRODUCT((TableauDatas[[Prénom]:[Prénom]]=$C$4)*(TableauDatas[[Date]:[Date]]=B58)*(TableauDatas[[Test]:[Test]]=A58)*(TableauDatas[[Perf]:[Perf]]))=0,"",SUMPRODUCT((TableauDatas[[Prénom]:[Prénom]]=$C$4)*(TableauDatas[[Date]:[Date]]=B58)*(TableauDatas[[Test]:[Test]]=A58)*(TableauDatas[[Perf]:[Perf]])))</f>
        <v/>
      </c>
      <c r="E58" s="139" t="str" cm="1">
        <f t="array" ref="E58">IF(SUMPRODUCT((TableauDatas[[Prénom]:[Prénom]]=$C$4)*(TableauDatas[[Date]:[Date]]=C58)*(TableauDatas[[Test]:[Test]]=A58)*(TableauDatas[[Perf]:[Perf]]))=0,"",SUMPRODUCT((TableauDatas[[Prénom]:[Prénom]]=$C$4)*(TableauDatas[[Date]:[Date]]=C58)*(TableauDatas[[Test]:[Test]]=A58)*(TableauDatas[[Perf]:[Perf]])))</f>
        <v/>
      </c>
      <c r="F58" s="126" t="str">
        <f>IFERROR(((E58-D58)/D58)*100,"")</f>
        <v/>
      </c>
      <c r="G58" s="156" t="str">
        <f>IF(IFERROR(MAX(AM33:AN33),"")=0,"",IFERROR(MAX(AM33:AN33),""))</f>
        <v/>
      </c>
      <c r="I58" s="27"/>
      <c r="J58" s="102"/>
      <c r="K58" s="101"/>
      <c r="L58" s="101"/>
      <c r="M58" s="44"/>
      <c r="T58" s="49"/>
      <c r="U58" s="43"/>
    </row>
    <row r="59" spans="1:21" s="1" customFormat="1" x14ac:dyDescent="0.25">
      <c r="A59" s="155"/>
      <c r="B59" s="128"/>
      <c r="C59" s="130"/>
      <c r="D59" s="137" t="str" cm="1">
        <f t="array" ref="D59">IF(SUMPRODUCT((TableauDatas[[Prénom]:[Prénom]]=$C$4)*(TableauDatas[[Date]:[Date]]=B59)*(TableauDatas[[Test]:[Test]]=A59)*(TableauDatas[[Perf]:[Perf]]))=0,"",SUMPRODUCT((TableauDatas[[Prénom]:[Prénom]]=$C$4)*(TableauDatas[[Date]:[Date]]=B59)*(TableauDatas[[Test]:[Test]]=A59)*(TableauDatas[[Perf]:[Perf]])))</f>
        <v/>
      </c>
      <c r="E59" s="139" t="str" cm="1">
        <f t="array" ref="E59">IF(SUMPRODUCT((TableauDatas[[Prénom]:[Prénom]]=$C$4)*(TableauDatas[[Date]:[Date]]=C59)*(TableauDatas[[Test]:[Test]]=A59)*(TableauDatas[[Perf]:[Perf]]))=0,"",SUMPRODUCT((TableauDatas[[Prénom]:[Prénom]]=$C$4)*(TableauDatas[[Date]:[Date]]=C59)*(TableauDatas[[Test]:[Test]]=A59)*(TableauDatas[[Perf]:[Perf]])))</f>
        <v/>
      </c>
      <c r="F59" s="126" t="str">
        <f t="shared" ref="F59:F72" si="65">IFERROR(((E59-D59)/D59)*100,"")</f>
        <v/>
      </c>
      <c r="G59" s="157" t="str">
        <f>IF(IFERROR(MAX(AO33:AP33),"")=0,"",IFERROR(MAX(AO33:AP33),""))</f>
        <v/>
      </c>
      <c r="I59" s="27"/>
      <c r="J59" s="57"/>
      <c r="K59" s="44"/>
      <c r="L59" s="44"/>
      <c r="M59" s="44"/>
      <c r="T59" s="109"/>
      <c r="U59" s="43"/>
    </row>
    <row r="60" spans="1:21" s="1" customFormat="1" x14ac:dyDescent="0.25">
      <c r="A60" s="155"/>
      <c r="B60" s="128"/>
      <c r="C60" s="130"/>
      <c r="D60" s="137" t="str" cm="1">
        <f t="array" ref="D60">IF(SUMPRODUCT((TableauDatas[[Prénom]:[Prénom]]=$C$4)*(TableauDatas[[Date]:[Date]]=B60)*(TableauDatas[[Test]:[Test]]=A60)*(TableauDatas[[Perf]:[Perf]]))=0,"",SUMPRODUCT((TableauDatas[[Prénom]:[Prénom]]=$C$4)*(TableauDatas[[Date]:[Date]]=B60)*(TableauDatas[[Test]:[Test]]=A60)*(TableauDatas[[Perf]:[Perf]])))</f>
        <v/>
      </c>
      <c r="E60" s="139" t="str" cm="1">
        <f t="array" ref="E60">IF(SUMPRODUCT((TableauDatas[[Prénom]:[Prénom]]=$C$4)*(TableauDatas[[Date]:[Date]]=C60)*(TableauDatas[[Test]:[Test]]=A60)*(TableauDatas[[Perf]:[Perf]]))=0,"",SUMPRODUCT((TableauDatas[[Prénom]:[Prénom]]=$C$4)*(TableauDatas[[Date]:[Date]]=C60)*(TableauDatas[[Test]:[Test]]=A60)*(TableauDatas[[Perf]:[Perf]])))</f>
        <v/>
      </c>
      <c r="F60" s="126" t="str">
        <f t="shared" si="65"/>
        <v/>
      </c>
      <c r="G60" s="157" t="str">
        <f>IF(IFERROR(MAX(AQ33:AR33),"")=0,"",IFERROR(MAX(AQ33:AR33),""))</f>
        <v/>
      </c>
      <c r="I60" s="27"/>
      <c r="J60" s="102"/>
      <c r="K60" s="101"/>
      <c r="L60" s="101"/>
      <c r="M60" s="44"/>
      <c r="T60" s="49"/>
      <c r="U60" s="43"/>
    </row>
    <row r="61" spans="1:21" s="1" customFormat="1" x14ac:dyDescent="0.25">
      <c r="A61" s="155"/>
      <c r="B61" s="128"/>
      <c r="C61" s="130"/>
      <c r="D61" s="137" t="str" cm="1">
        <f t="array" ref="D61">IF(SUMPRODUCT((TableauDatas[[Prénom]:[Prénom]]=$C$4)*(TableauDatas[[Date]:[Date]]=B61)*(TableauDatas[[Test]:[Test]]=A61)*(TableauDatas[[Perf]:[Perf]]))=0,"",SUMPRODUCT((TableauDatas[[Prénom]:[Prénom]]=$C$4)*(TableauDatas[[Date]:[Date]]=B61)*(TableauDatas[[Test]:[Test]]=A61)*(TableauDatas[[Perf]:[Perf]])))</f>
        <v/>
      </c>
      <c r="E61" s="139" t="str" cm="1">
        <f t="array" ref="E61">IF(SUMPRODUCT((TableauDatas[[Prénom]:[Prénom]]=$C$4)*(TableauDatas[[Date]:[Date]]=C61)*(TableauDatas[[Test]:[Test]]=A61)*(TableauDatas[[Perf]:[Perf]]))=0,"",SUMPRODUCT((TableauDatas[[Prénom]:[Prénom]]=$C$4)*(TableauDatas[[Date]:[Date]]=C61)*(TableauDatas[[Test]:[Test]]=A61)*(TableauDatas[[Perf]:[Perf]])))</f>
        <v/>
      </c>
      <c r="F61" s="126" t="str">
        <f t="shared" si="65"/>
        <v/>
      </c>
      <c r="G61" s="157" t="str">
        <f>IF(IFERROR(MAX(AS33:AT33),"")=0,"",IFERROR(MAX(AS33:AT33),""))</f>
        <v/>
      </c>
      <c r="I61" s="27"/>
      <c r="J61" s="57"/>
      <c r="K61" s="44"/>
      <c r="L61" s="44"/>
      <c r="M61" s="44"/>
      <c r="T61" s="109"/>
      <c r="U61" s="43"/>
    </row>
    <row r="62" spans="1:21" s="1" customFormat="1" x14ac:dyDescent="0.25">
      <c r="A62" s="155"/>
      <c r="B62" s="128"/>
      <c r="C62" s="130"/>
      <c r="D62" s="137" t="str" cm="1">
        <f t="array" ref="D62">IF(SUMPRODUCT((TableauDatas[[Prénom]:[Prénom]]=$C$4)*(TableauDatas[[Date]:[Date]]=B62)*(TableauDatas[[Test]:[Test]]=A62)*(TableauDatas[[Perf]:[Perf]]))=0,"",SUMPRODUCT((TableauDatas[[Prénom]:[Prénom]]=$C$4)*(TableauDatas[[Date]:[Date]]=B62)*(TableauDatas[[Test]:[Test]]=A62)*(TableauDatas[[Perf]:[Perf]])))</f>
        <v/>
      </c>
      <c r="E62" s="139" t="str" cm="1">
        <f t="array" ref="E62">IF(SUMPRODUCT((TableauDatas[[Prénom]:[Prénom]]=$C$4)*(TableauDatas[[Date]:[Date]]=C62)*(TableauDatas[[Test]:[Test]]=A62)*(TableauDatas[[Perf]:[Perf]]))=0,"",SUMPRODUCT((TableauDatas[[Prénom]:[Prénom]]=$C$4)*(TableauDatas[[Date]:[Date]]=C62)*(TableauDatas[[Test]:[Test]]=A62)*(TableauDatas[[Perf]:[Perf]])))</f>
        <v/>
      </c>
      <c r="F62" s="126" t="str">
        <f t="shared" si="65"/>
        <v/>
      </c>
      <c r="G62" s="157" t="str">
        <f>IF(IFERROR(MAX(AU33:AV33),"")=0,"",IFERROR(MAX(AU33:AV33),""))</f>
        <v/>
      </c>
      <c r="I62" s="27"/>
      <c r="J62" s="102"/>
      <c r="K62" s="101"/>
      <c r="L62" s="101"/>
      <c r="M62" s="44"/>
      <c r="T62" s="49"/>
      <c r="U62" s="43"/>
    </row>
    <row r="63" spans="1:21" s="1" customFormat="1" x14ac:dyDescent="0.25">
      <c r="A63" s="155"/>
      <c r="B63" s="128"/>
      <c r="C63" s="130"/>
      <c r="D63" s="137" t="str" cm="1">
        <f t="array" ref="D63">IF(SUMPRODUCT((TableauDatas[[Prénom]:[Prénom]]=$C$4)*(TableauDatas[[Date]:[Date]]=B63)*(TableauDatas[[Test]:[Test]]=A63)*(TableauDatas[[Perf]:[Perf]]))=0,"",SUMPRODUCT((TableauDatas[[Prénom]:[Prénom]]=$C$4)*(TableauDatas[[Date]:[Date]]=B63)*(TableauDatas[[Test]:[Test]]=A63)*(TableauDatas[[Perf]:[Perf]])))</f>
        <v/>
      </c>
      <c r="E63" s="139" t="str" cm="1">
        <f t="array" ref="E63">IF(SUMPRODUCT((TableauDatas[[Prénom]:[Prénom]]=$C$4)*(TableauDatas[[Date]:[Date]]=C63)*(TableauDatas[[Test]:[Test]]=A63)*(TableauDatas[[Perf]:[Perf]]))=0,"",SUMPRODUCT((TableauDatas[[Prénom]:[Prénom]]=$C$4)*(TableauDatas[[Date]:[Date]]=C63)*(TableauDatas[[Test]:[Test]]=A63)*(TableauDatas[[Perf]:[Perf]])))</f>
        <v/>
      </c>
      <c r="F63" s="126" t="str">
        <f t="shared" si="65"/>
        <v/>
      </c>
      <c r="G63" s="157" t="str">
        <f>IF(IFERROR(MAX(AW33:AX33),"")=0,"",IFERROR(MAX(AW33:AX33),""))</f>
        <v/>
      </c>
      <c r="I63" s="27"/>
      <c r="J63" s="57"/>
      <c r="K63" s="44"/>
      <c r="L63" s="44"/>
      <c r="M63" s="44"/>
      <c r="T63" s="109"/>
      <c r="U63" s="43"/>
    </row>
    <row r="64" spans="1:21" s="1" customFormat="1" x14ac:dyDescent="0.25">
      <c r="A64" s="155"/>
      <c r="B64" s="128"/>
      <c r="C64" s="130"/>
      <c r="D64" s="137" t="str" cm="1">
        <f t="array" ref="D64">IF(SUMPRODUCT((TableauDatas[[Prénom]:[Prénom]]=$C$4)*(TableauDatas[[Date]:[Date]]=B64)*(TableauDatas[[Test]:[Test]]=A64)*(TableauDatas[[Perf]:[Perf]]))=0,"",SUMPRODUCT((TableauDatas[[Prénom]:[Prénom]]=$C$4)*(TableauDatas[[Date]:[Date]]=B64)*(TableauDatas[[Test]:[Test]]=A64)*(TableauDatas[[Perf]:[Perf]])))</f>
        <v/>
      </c>
      <c r="E64" s="139" t="str" cm="1">
        <f t="array" ref="E64">IF(SUMPRODUCT((TableauDatas[[Prénom]:[Prénom]]=$C$4)*(TableauDatas[[Date]:[Date]]=C64)*(TableauDatas[[Test]:[Test]]=A64)*(TableauDatas[[Perf]:[Perf]]))=0,"",SUMPRODUCT((TableauDatas[[Prénom]:[Prénom]]=$C$4)*(TableauDatas[[Date]:[Date]]=C64)*(TableauDatas[[Test]:[Test]]=A64)*(TableauDatas[[Perf]:[Perf]])))</f>
        <v/>
      </c>
      <c r="F64" s="126" t="str">
        <f t="shared" si="65"/>
        <v/>
      </c>
      <c r="G64" s="157" t="str">
        <f>IF(IFERROR(MAX(AY33:AZ33),"")=0,"",IFERROR(MAX(AY33:AZ33),""))</f>
        <v/>
      </c>
      <c r="I64" s="101"/>
      <c r="J64" s="102"/>
      <c r="K64" s="101"/>
      <c r="L64" s="101"/>
      <c r="M64" s="44"/>
      <c r="T64" s="46"/>
      <c r="U64" s="43"/>
    </row>
    <row r="65" spans="1:21" s="1" customFormat="1" x14ac:dyDescent="0.25">
      <c r="A65" s="155"/>
      <c r="B65" s="128"/>
      <c r="C65" s="130"/>
      <c r="D65" s="137" t="str" cm="1">
        <f t="array" ref="D65">IF(SUMPRODUCT((TableauDatas[[Prénom]:[Prénom]]=$C$4)*(TableauDatas[[Date]:[Date]]=B65)*(TableauDatas[[Test]:[Test]]=A65)*(TableauDatas[[Perf]:[Perf]]))=0,"",SUMPRODUCT((TableauDatas[[Prénom]:[Prénom]]=$C$4)*(TableauDatas[[Date]:[Date]]=B65)*(TableauDatas[[Test]:[Test]]=A65)*(TableauDatas[[Perf]:[Perf]])))</f>
        <v/>
      </c>
      <c r="E65" s="139" t="str" cm="1">
        <f t="array" ref="E65">IF(SUMPRODUCT((TableauDatas[[Prénom]:[Prénom]]=$C$4)*(TableauDatas[[Date]:[Date]]=C65)*(TableauDatas[[Test]:[Test]]=A65)*(TableauDatas[[Perf]:[Perf]]))=0,"",SUMPRODUCT((TableauDatas[[Prénom]:[Prénom]]=$C$4)*(TableauDatas[[Date]:[Date]]=C65)*(TableauDatas[[Test]:[Test]]=A65)*(TableauDatas[[Perf]:[Perf]])))</f>
        <v/>
      </c>
      <c r="F65" s="126" t="str">
        <f t="shared" si="65"/>
        <v/>
      </c>
      <c r="G65" s="157" t="str">
        <f>IF(IFERROR(MAX(BA33:BB33),"")=0,"",IFERROR(MAX(BA33:BB33),""))</f>
        <v/>
      </c>
      <c r="I65" s="44"/>
      <c r="J65" s="57"/>
      <c r="K65" s="44"/>
      <c r="L65" s="44"/>
      <c r="M65" s="44"/>
      <c r="T65" s="110"/>
      <c r="U65" s="43"/>
    </row>
    <row r="66" spans="1:21" s="1" customFormat="1" x14ac:dyDescent="0.25">
      <c r="A66" s="155"/>
      <c r="B66" s="128"/>
      <c r="C66" s="130"/>
      <c r="D66" s="137" t="str" cm="1">
        <f t="array" ref="D66">IF(SUMPRODUCT((TableauDatas[[Prénom]:[Prénom]]=$C$4)*(TableauDatas[[Date]:[Date]]=B66)*(TableauDatas[[Test]:[Test]]=A66)*(TableauDatas[[Perf]:[Perf]]))=0,"",SUMPRODUCT((TableauDatas[[Prénom]:[Prénom]]=$C$4)*(TableauDatas[[Date]:[Date]]=B66)*(TableauDatas[[Test]:[Test]]=A66)*(TableauDatas[[Perf]:[Perf]])))</f>
        <v/>
      </c>
      <c r="E66" s="139" t="str" cm="1">
        <f t="array" ref="E66">IF(SUMPRODUCT((TableauDatas[[Prénom]:[Prénom]]=$C$4)*(TableauDatas[[Date]:[Date]]=C66)*(TableauDatas[[Test]:[Test]]=A66)*(TableauDatas[[Perf]:[Perf]]))=0,"",SUMPRODUCT((TableauDatas[[Prénom]:[Prénom]]=$C$4)*(TableauDatas[[Date]:[Date]]=C66)*(TableauDatas[[Test]:[Test]]=A66)*(TableauDatas[[Perf]:[Perf]])))</f>
        <v/>
      </c>
      <c r="F66" s="126" t="str">
        <f t="shared" si="65"/>
        <v/>
      </c>
      <c r="G66" s="157" t="str">
        <f>IF(IFERROR(MAX(BC33:BD33),"")=0,"",IFERROR(MAX(BC33:BD33),""))</f>
        <v/>
      </c>
      <c r="I66" s="101"/>
      <c r="J66" s="102"/>
      <c r="K66" s="101"/>
      <c r="L66" s="101"/>
      <c r="M66" s="44"/>
      <c r="T66" s="47"/>
      <c r="U66" s="43"/>
    </row>
    <row r="67" spans="1:21" s="1" customFormat="1" x14ac:dyDescent="0.25">
      <c r="A67" s="155"/>
      <c r="B67" s="128"/>
      <c r="C67" s="130"/>
      <c r="D67" s="137" t="str" cm="1">
        <f t="array" ref="D67">IF(SUMPRODUCT((TableauDatas[[Prénom]:[Prénom]]=$C$4)*(TableauDatas[[Date]:[Date]]=B67)*(TableauDatas[[Test]:[Test]]=A67)*(TableauDatas[[Perf]:[Perf]]))=0,"",SUMPRODUCT((TableauDatas[[Prénom]:[Prénom]]=$C$4)*(TableauDatas[[Date]:[Date]]=B67)*(TableauDatas[[Test]:[Test]]=A67)*(TableauDatas[[Perf]:[Perf]])))</f>
        <v/>
      </c>
      <c r="E67" s="139" t="str" cm="1">
        <f t="array" ref="E67">IF(SUMPRODUCT((TableauDatas[[Prénom]:[Prénom]]=$C$4)*(TableauDatas[[Date]:[Date]]=C67)*(TableauDatas[[Test]:[Test]]=A67)*(TableauDatas[[Perf]:[Perf]]))=0,"",SUMPRODUCT((TableauDatas[[Prénom]:[Prénom]]=$C$4)*(TableauDatas[[Date]:[Date]]=C67)*(TableauDatas[[Test]:[Test]]=A67)*(TableauDatas[[Perf]:[Perf]])))</f>
        <v/>
      </c>
      <c r="F67" s="126" t="str">
        <f t="shared" si="65"/>
        <v/>
      </c>
      <c r="G67" s="157" t="str">
        <f>IF(IFERROR(MAX(BE33:BF33),"")=0,"",IFERROR(MAX(BE33:BF33),""))</f>
        <v/>
      </c>
      <c r="I67" s="44"/>
      <c r="J67" s="57"/>
      <c r="K67" s="44"/>
      <c r="L67" s="44"/>
      <c r="M67" s="44"/>
      <c r="T67" s="110"/>
      <c r="U67" s="43"/>
    </row>
    <row r="68" spans="1:21" s="1" customFormat="1" x14ac:dyDescent="0.25">
      <c r="A68" s="155"/>
      <c r="B68" s="128"/>
      <c r="C68" s="130"/>
      <c r="D68" s="137" t="str" cm="1">
        <f t="array" ref="D68">IF(SUMPRODUCT((TableauDatas[[Prénom]:[Prénom]]=$C$4)*(TableauDatas[[Date]:[Date]]=B68)*(TableauDatas[[Test]:[Test]]=A68)*(TableauDatas[[Perf]:[Perf]]))=0,"",SUMPRODUCT((TableauDatas[[Prénom]:[Prénom]]=$C$4)*(TableauDatas[[Date]:[Date]]=B68)*(TableauDatas[[Test]:[Test]]=A68)*(TableauDatas[[Perf]:[Perf]])))</f>
        <v/>
      </c>
      <c r="E68" s="139" t="str" cm="1">
        <f t="array" ref="E68">IF(SUMPRODUCT((TableauDatas[[Prénom]:[Prénom]]=$C$4)*(TableauDatas[[Date]:[Date]]=C68)*(TableauDatas[[Test]:[Test]]=A68)*(TableauDatas[[Perf]:[Perf]]))=0,"",SUMPRODUCT((TableauDatas[[Prénom]:[Prénom]]=$C$4)*(TableauDatas[[Date]:[Date]]=C68)*(TableauDatas[[Test]:[Test]]=A68)*(TableauDatas[[Perf]:[Perf]])))</f>
        <v/>
      </c>
      <c r="F68" s="126" t="str">
        <f t="shared" si="65"/>
        <v/>
      </c>
      <c r="G68" s="157" t="str">
        <f>IF(IFERROR(MAX(BG33:BH33),"")=0,"",IFERROR(MAX(BG33:BH33),""))</f>
        <v/>
      </c>
      <c r="I68" s="101"/>
      <c r="J68" s="102"/>
      <c r="K68" s="101"/>
      <c r="L68" s="101"/>
      <c r="M68" s="44"/>
      <c r="T68" s="47"/>
      <c r="U68" s="43"/>
    </row>
    <row r="69" spans="1:21" s="1" customFormat="1" x14ac:dyDescent="0.25">
      <c r="A69" s="155"/>
      <c r="B69" s="128"/>
      <c r="C69" s="130"/>
      <c r="D69" s="137" t="str" cm="1">
        <f t="array" ref="D69">IF(SUMPRODUCT((TableauDatas[[Prénom]:[Prénom]]=$C$4)*(TableauDatas[[Date]:[Date]]=B69)*(TableauDatas[[Test]:[Test]]=A69)*(TableauDatas[[Perf]:[Perf]]))=0,"",SUMPRODUCT((TableauDatas[[Prénom]:[Prénom]]=$C$4)*(TableauDatas[[Date]:[Date]]=B69)*(TableauDatas[[Test]:[Test]]=A69)*(TableauDatas[[Perf]:[Perf]])))</f>
        <v/>
      </c>
      <c r="E69" s="139" t="str" cm="1">
        <f t="array" ref="E69">IF(SUMPRODUCT((TableauDatas[[Prénom]:[Prénom]]=$C$4)*(TableauDatas[[Date]:[Date]]=C69)*(TableauDatas[[Test]:[Test]]=A69)*(TableauDatas[[Perf]:[Perf]]))=0,"",SUMPRODUCT((TableauDatas[[Prénom]:[Prénom]]=$C$4)*(TableauDatas[[Date]:[Date]]=C69)*(TableauDatas[[Test]:[Test]]=A69)*(TableauDatas[[Perf]:[Perf]])))</f>
        <v/>
      </c>
      <c r="F69" s="126" t="str">
        <f t="shared" si="65"/>
        <v/>
      </c>
      <c r="G69" s="157" t="str">
        <f>IF(IFERROR(MAX(BI33:BJ33),"")=0,"",IFERROR(MAX(BI33:BJ33),""))</f>
        <v/>
      </c>
      <c r="I69" s="44"/>
      <c r="J69" s="57"/>
      <c r="K69" s="44"/>
      <c r="L69" s="44"/>
      <c r="M69" s="44"/>
      <c r="T69" s="109"/>
      <c r="U69" s="43"/>
    </row>
    <row r="70" spans="1:21" s="1" customFormat="1" x14ac:dyDescent="0.25">
      <c r="A70" s="155"/>
      <c r="B70" s="128"/>
      <c r="C70" s="130"/>
      <c r="D70" s="137" t="str" cm="1">
        <f t="array" ref="D70">IF(SUMPRODUCT((TableauDatas[[Prénom]:[Prénom]]=$C$4)*(TableauDatas[[Date]:[Date]]=B70)*(TableauDatas[[Test]:[Test]]=A70)*(TableauDatas[[Perf]:[Perf]]))=0,"",SUMPRODUCT((TableauDatas[[Prénom]:[Prénom]]=$C$4)*(TableauDatas[[Date]:[Date]]=B70)*(TableauDatas[[Test]:[Test]]=A70)*(TableauDatas[[Perf]:[Perf]])))</f>
        <v/>
      </c>
      <c r="E70" s="139" t="str" cm="1">
        <f t="array" ref="E70">IF(SUMPRODUCT((TableauDatas[[Prénom]:[Prénom]]=$C$4)*(TableauDatas[[Date]:[Date]]=C70)*(TableauDatas[[Test]:[Test]]=A70)*(TableauDatas[[Perf]:[Perf]]))=0,"",SUMPRODUCT((TableauDatas[[Prénom]:[Prénom]]=$C$4)*(TableauDatas[[Date]:[Date]]=C70)*(TableauDatas[[Test]:[Test]]=A70)*(TableauDatas[[Perf]:[Perf]])))</f>
        <v/>
      </c>
      <c r="F70" s="126" t="str">
        <f t="shared" si="65"/>
        <v/>
      </c>
      <c r="G70" s="157" t="str">
        <f>IF(IFERROR(MAX(BK33:BL33),"")=0,"",IFERROR(MAX(BK33:BL33),""))</f>
        <v/>
      </c>
      <c r="I70" s="101"/>
      <c r="J70" s="102"/>
      <c r="K70" s="101"/>
      <c r="L70" s="101"/>
      <c r="M70" s="44"/>
      <c r="T70" s="49"/>
      <c r="U70" s="43"/>
    </row>
    <row r="71" spans="1:21" s="1" customFormat="1" x14ac:dyDescent="0.25">
      <c r="A71" s="155"/>
      <c r="B71" s="128"/>
      <c r="C71" s="130"/>
      <c r="D71" s="137" t="str" cm="1">
        <f t="array" ref="D71">IF(SUMPRODUCT((TableauDatas[[Prénom]:[Prénom]]=$C$4)*(TableauDatas[[Date]:[Date]]=B71)*(TableauDatas[[Test]:[Test]]=A71)*(TableauDatas[[Perf]:[Perf]]))=0,"",SUMPRODUCT((TableauDatas[[Prénom]:[Prénom]]=$C$4)*(TableauDatas[[Date]:[Date]]=B71)*(TableauDatas[[Test]:[Test]]=A71)*(TableauDatas[[Perf]:[Perf]])))</f>
        <v/>
      </c>
      <c r="E71" s="139" t="str" cm="1">
        <f t="array" ref="E71">IF(SUMPRODUCT((TableauDatas[[Prénom]:[Prénom]]=$C$4)*(TableauDatas[[Date]:[Date]]=C71)*(TableauDatas[[Test]:[Test]]=A71)*(TableauDatas[[Perf]:[Perf]]))=0,"",SUMPRODUCT((TableauDatas[[Prénom]:[Prénom]]=$C$4)*(TableauDatas[[Date]:[Date]]=C71)*(TableauDatas[[Test]:[Test]]=A71)*(TableauDatas[[Perf]:[Perf]])))</f>
        <v/>
      </c>
      <c r="F71" s="126" t="str">
        <f t="shared" si="65"/>
        <v/>
      </c>
      <c r="G71" s="157" t="str">
        <f>IF(IFERROR(MAX(BM33:BN33),"")=0,"",IFERROR(MAX(BM33:BN33),""))</f>
        <v/>
      </c>
      <c r="I71" s="44"/>
      <c r="J71" s="57"/>
      <c r="K71" s="44"/>
      <c r="L71" s="44"/>
      <c r="M71" s="44"/>
      <c r="T71" s="109"/>
      <c r="U71" s="43"/>
    </row>
    <row r="72" spans="1:21" s="1" customFormat="1" ht="16.5" thickBot="1" x14ac:dyDescent="0.3">
      <c r="A72" s="158"/>
      <c r="B72" s="129"/>
      <c r="C72" s="131"/>
      <c r="D72" s="138" t="str" cm="1">
        <f t="array" ref="D72">IF(SUMPRODUCT((TableauDatas[[Prénom]:[Prénom]]=$C$4)*(TableauDatas[[Date]:[Date]]=B72)*(TableauDatas[[Test]:[Test]]=A72)*(TableauDatas[[Perf]:[Perf]]))=0,"",SUMPRODUCT((TableauDatas[[Prénom]:[Prénom]]=$C$4)*(TableauDatas[[Date]:[Date]]=B72)*(TableauDatas[[Test]:[Test]]=A72)*(TableauDatas[[Perf]:[Perf]])))</f>
        <v/>
      </c>
      <c r="E72" s="140" t="str" cm="1">
        <f t="array" ref="E72">IF(SUMPRODUCT((TableauDatas[[Prénom]:[Prénom]]=$C$4)*(TableauDatas[[Date]:[Date]]=C72)*(TableauDatas[[Test]:[Test]]=A72)*(TableauDatas[[Perf]:[Perf]]))=0,"",SUMPRODUCT((TableauDatas[[Prénom]:[Prénom]]=$C$4)*(TableauDatas[[Date]:[Date]]=C72)*(TableauDatas[[Test]:[Test]]=A72)*(TableauDatas[[Perf]:[Perf]])))</f>
        <v/>
      </c>
      <c r="F72" s="127" t="str">
        <f t="shared" si="65"/>
        <v/>
      </c>
      <c r="G72" s="159" t="str">
        <f>IF(IFERROR(MAX(BO33:BP33),"")=0,"",IFERROR(MAX(BO33:BP33),""))</f>
        <v/>
      </c>
      <c r="I72" s="101"/>
      <c r="J72" s="102"/>
      <c r="K72" s="101"/>
      <c r="L72" s="101"/>
      <c r="M72" s="44"/>
      <c r="T72" s="49"/>
      <c r="U72" s="43"/>
    </row>
    <row r="73" spans="1:21" s="1" customFormat="1" ht="17.25" thickTop="1" thickBot="1" x14ac:dyDescent="0.3">
      <c r="I73" s="44"/>
      <c r="J73" s="57"/>
      <c r="K73" s="44"/>
      <c r="L73" s="44"/>
      <c r="M73" s="44"/>
      <c r="T73" s="109"/>
      <c r="U73" s="43"/>
    </row>
    <row r="74" spans="1:21" s="1" customFormat="1" ht="20.25" thickTop="1" thickBot="1" x14ac:dyDescent="0.3">
      <c r="A74" s="184" t="s">
        <v>14</v>
      </c>
      <c r="B74" s="185"/>
      <c r="C74" s="185"/>
      <c r="D74" s="185"/>
      <c r="E74" s="185"/>
      <c r="F74" s="185"/>
      <c r="G74" s="186"/>
      <c r="I74" s="101"/>
      <c r="J74" s="102"/>
      <c r="K74" s="101"/>
      <c r="L74" s="101"/>
      <c r="M74" s="44"/>
      <c r="T74" s="49"/>
      <c r="U74" s="43"/>
    </row>
    <row r="75" spans="1:21" s="1" customFormat="1" ht="16.5" thickTop="1" x14ac:dyDescent="0.25">
      <c r="A75" s="4"/>
      <c r="B75" s="5"/>
      <c r="C75" s="5"/>
      <c r="D75" s="5"/>
      <c r="E75" s="5"/>
      <c r="F75" s="5"/>
      <c r="G75" s="6"/>
      <c r="I75" s="44"/>
      <c r="J75" s="57"/>
      <c r="K75" s="44"/>
      <c r="L75" s="44"/>
      <c r="M75" s="44"/>
      <c r="T75" s="109"/>
      <c r="U75" s="43"/>
    </row>
    <row r="76" spans="1:21" s="1" customFormat="1" x14ac:dyDescent="0.25">
      <c r="A76" s="7"/>
      <c r="G76" s="8"/>
      <c r="I76" s="101"/>
      <c r="J76" s="102"/>
      <c r="K76" s="101"/>
      <c r="L76" s="101"/>
      <c r="M76" s="44"/>
      <c r="T76" s="49"/>
      <c r="U76" s="43"/>
    </row>
    <row r="77" spans="1:21" s="1" customFormat="1" x14ac:dyDescent="0.25">
      <c r="A77" s="7"/>
      <c r="G77" s="8"/>
      <c r="I77" s="44"/>
      <c r="J77" s="57"/>
      <c r="K77" s="44"/>
      <c r="L77" s="44"/>
      <c r="M77" s="44"/>
      <c r="T77" s="109"/>
      <c r="U77" s="43"/>
    </row>
    <row r="78" spans="1:21" s="1" customFormat="1" x14ac:dyDescent="0.25">
      <c r="A78" s="7"/>
      <c r="G78" s="8"/>
      <c r="I78" s="101"/>
      <c r="J78" s="102"/>
      <c r="K78" s="101"/>
      <c r="L78" s="101"/>
      <c r="M78" s="44"/>
      <c r="T78" s="49"/>
      <c r="U78" s="43"/>
    </row>
    <row r="79" spans="1:21" s="1" customFormat="1" x14ac:dyDescent="0.25">
      <c r="A79" s="7"/>
      <c r="G79" s="8"/>
      <c r="I79" s="44"/>
      <c r="J79" s="57"/>
      <c r="K79" s="44"/>
      <c r="L79" s="44"/>
      <c r="M79" s="44"/>
      <c r="T79" s="109"/>
      <c r="U79" s="43"/>
    </row>
    <row r="80" spans="1:21" s="1" customFormat="1" x14ac:dyDescent="0.25">
      <c r="A80" s="7"/>
      <c r="G80" s="8"/>
      <c r="I80" s="101"/>
      <c r="J80" s="102"/>
      <c r="K80" s="101"/>
      <c r="L80" s="101"/>
      <c r="M80" s="44"/>
      <c r="T80" s="46"/>
      <c r="U80" s="43"/>
    </row>
    <row r="81" spans="1:21" s="1" customFormat="1" x14ac:dyDescent="0.25">
      <c r="A81" s="7"/>
      <c r="G81" s="8"/>
      <c r="I81" s="44"/>
      <c r="J81" s="57"/>
      <c r="K81" s="44"/>
      <c r="L81" s="44"/>
      <c r="M81" s="44"/>
      <c r="T81" s="110"/>
      <c r="U81" s="43"/>
    </row>
    <row r="82" spans="1:21" s="1" customFormat="1" x14ac:dyDescent="0.25">
      <c r="A82" s="7"/>
      <c r="G82" s="8"/>
      <c r="I82" s="101"/>
      <c r="J82" s="102"/>
      <c r="K82" s="101"/>
      <c r="L82" s="101"/>
      <c r="M82" s="44"/>
      <c r="T82" s="47"/>
      <c r="U82" s="43"/>
    </row>
    <row r="83" spans="1:21" s="1" customFormat="1" x14ac:dyDescent="0.25">
      <c r="A83" s="7"/>
      <c r="G83" s="8"/>
      <c r="I83" s="44"/>
      <c r="J83" s="57"/>
      <c r="K83" s="44"/>
      <c r="L83" s="44"/>
      <c r="M83" s="44"/>
      <c r="T83" s="110"/>
      <c r="U83" s="43"/>
    </row>
    <row r="84" spans="1:21" s="1" customFormat="1" x14ac:dyDescent="0.25">
      <c r="A84" s="7"/>
      <c r="G84" s="8"/>
      <c r="I84" s="101"/>
      <c r="J84" s="102"/>
      <c r="K84" s="101"/>
      <c r="L84" s="101"/>
      <c r="M84" s="44"/>
      <c r="T84" s="47"/>
      <c r="U84" s="43"/>
    </row>
    <row r="85" spans="1:21" s="1" customFormat="1" x14ac:dyDescent="0.25">
      <c r="A85" s="7"/>
      <c r="G85" s="8"/>
      <c r="I85" s="44"/>
      <c r="J85" s="57"/>
      <c r="K85" s="44"/>
      <c r="L85" s="44"/>
      <c r="M85" s="44"/>
      <c r="T85" s="109"/>
      <c r="U85" s="43"/>
    </row>
    <row r="86" spans="1:21" s="1" customFormat="1" x14ac:dyDescent="0.25">
      <c r="A86" s="7"/>
      <c r="G86" s="8"/>
      <c r="I86" s="101"/>
      <c r="J86" s="102"/>
      <c r="K86" s="101"/>
      <c r="L86" s="101"/>
      <c r="M86" s="44"/>
      <c r="T86" s="49"/>
      <c r="U86" s="43"/>
    </row>
    <row r="87" spans="1:21" s="1" customFormat="1" x14ac:dyDescent="0.25">
      <c r="A87" s="7"/>
      <c r="G87" s="8"/>
      <c r="I87" s="44"/>
      <c r="J87" s="57"/>
      <c r="K87" s="44"/>
      <c r="L87" s="44"/>
      <c r="M87" s="44"/>
      <c r="T87" s="109"/>
      <c r="U87" s="43"/>
    </row>
    <row r="88" spans="1:21" s="1" customFormat="1" x14ac:dyDescent="0.25">
      <c r="A88" s="7"/>
      <c r="G88" s="8"/>
      <c r="I88" s="101"/>
      <c r="J88" s="102"/>
      <c r="K88" s="101"/>
      <c r="L88" s="101"/>
      <c r="M88" s="44"/>
      <c r="T88" s="49"/>
      <c r="U88" s="43"/>
    </row>
    <row r="89" spans="1:21" s="1" customFormat="1" x14ac:dyDescent="0.25">
      <c r="A89" s="7"/>
      <c r="G89" s="8"/>
      <c r="I89" s="44"/>
      <c r="J89" s="57"/>
      <c r="K89" s="44"/>
      <c r="L89" s="44"/>
      <c r="M89" s="44"/>
      <c r="T89" s="109"/>
      <c r="U89" s="43"/>
    </row>
    <row r="90" spans="1:21" s="1" customFormat="1" x14ac:dyDescent="0.25">
      <c r="A90" s="7"/>
      <c r="G90" s="8"/>
      <c r="I90" s="101"/>
      <c r="J90" s="102"/>
      <c r="K90" s="101"/>
      <c r="L90" s="101"/>
      <c r="M90" s="44"/>
      <c r="T90" s="49"/>
      <c r="U90" s="43"/>
    </row>
    <row r="91" spans="1:21" s="1" customFormat="1" x14ac:dyDescent="0.25">
      <c r="A91" s="7"/>
      <c r="G91" s="8"/>
      <c r="I91" s="44"/>
      <c r="J91" s="57"/>
      <c r="K91" s="44"/>
      <c r="L91" s="44"/>
      <c r="M91" s="44"/>
      <c r="T91" s="109"/>
      <c r="U91" s="43"/>
    </row>
    <row r="92" spans="1:21" s="1" customFormat="1" ht="16.5" thickBot="1" x14ac:dyDescent="0.3">
      <c r="A92" s="9"/>
      <c r="B92" s="10"/>
      <c r="C92" s="10"/>
      <c r="D92" s="10"/>
      <c r="E92" s="10"/>
      <c r="F92" s="10"/>
      <c r="G92" s="11"/>
      <c r="I92" s="101"/>
      <c r="J92" s="102"/>
      <c r="K92" s="101"/>
      <c r="L92" s="101"/>
      <c r="M92" s="44"/>
      <c r="T92" s="49"/>
      <c r="U92" s="43"/>
    </row>
    <row r="93" spans="1:21" s="1" customFormat="1" ht="16.5" thickTop="1" x14ac:dyDescent="0.25">
      <c r="I93" s="44"/>
      <c r="J93" s="57"/>
      <c r="K93" s="44"/>
      <c r="L93" s="44"/>
      <c r="M93" s="44"/>
      <c r="T93" s="109"/>
      <c r="U93" s="43"/>
    </row>
    <row r="94" spans="1:21" s="1" customFormat="1" x14ac:dyDescent="0.25">
      <c r="I94" s="101"/>
      <c r="J94" s="102"/>
      <c r="K94" s="101"/>
      <c r="L94" s="101"/>
      <c r="M94" s="44"/>
      <c r="T94" s="49"/>
      <c r="U94" s="43"/>
    </row>
    <row r="95" spans="1:21" s="1" customFormat="1" x14ac:dyDescent="0.25">
      <c r="I95" s="44"/>
      <c r="J95" s="57"/>
      <c r="K95" s="44"/>
      <c r="L95" s="44"/>
      <c r="M95" s="44"/>
      <c r="T95" s="109"/>
      <c r="U95" s="43"/>
    </row>
    <row r="96" spans="1:21" s="1" customFormat="1" x14ac:dyDescent="0.25">
      <c r="I96" s="101"/>
      <c r="J96" s="102"/>
      <c r="K96" s="101"/>
      <c r="L96" s="101"/>
      <c r="M96" s="44"/>
      <c r="T96" s="46"/>
      <c r="U96" s="43"/>
    </row>
    <row r="97" spans="9:21" s="1" customFormat="1" x14ac:dyDescent="0.25">
      <c r="I97" s="44"/>
      <c r="J97" s="57"/>
      <c r="K97" s="44"/>
      <c r="L97" s="44"/>
      <c r="M97" s="44"/>
      <c r="T97" s="110"/>
      <c r="U97" s="43"/>
    </row>
    <row r="98" spans="9:21" s="1" customFormat="1" x14ac:dyDescent="0.25">
      <c r="I98" s="101"/>
      <c r="J98" s="102"/>
      <c r="K98" s="101"/>
      <c r="L98" s="101"/>
      <c r="M98" s="44"/>
      <c r="T98" s="47"/>
      <c r="U98" s="43"/>
    </row>
    <row r="99" spans="9:21" s="1" customFormat="1" x14ac:dyDescent="0.25">
      <c r="I99" s="44"/>
      <c r="J99" s="57"/>
      <c r="K99" s="44"/>
      <c r="L99" s="44"/>
      <c r="M99" s="44"/>
      <c r="T99" s="110"/>
      <c r="U99" s="43"/>
    </row>
    <row r="100" spans="9:21" s="1" customFormat="1" x14ac:dyDescent="0.25">
      <c r="I100" s="101"/>
      <c r="J100" s="102"/>
      <c r="K100" s="101"/>
      <c r="L100" s="101"/>
      <c r="M100" s="44"/>
      <c r="T100" s="47"/>
      <c r="U100" s="43"/>
    </row>
    <row r="101" spans="9:21" s="1" customFormat="1" x14ac:dyDescent="0.25">
      <c r="I101" s="44"/>
      <c r="J101" s="57"/>
      <c r="K101" s="44"/>
      <c r="L101" s="44"/>
      <c r="M101" s="44"/>
      <c r="T101" s="109"/>
      <c r="U101" s="43"/>
    </row>
    <row r="102" spans="9:21" s="1" customFormat="1" x14ac:dyDescent="0.25">
      <c r="I102" s="101"/>
      <c r="J102" s="102"/>
      <c r="K102" s="101"/>
      <c r="L102" s="101"/>
      <c r="M102" s="44"/>
      <c r="T102" s="49"/>
      <c r="U102" s="43"/>
    </row>
    <row r="103" spans="9:21" s="1" customFormat="1" x14ac:dyDescent="0.25">
      <c r="I103" s="44"/>
      <c r="J103" s="57"/>
      <c r="K103" s="44"/>
      <c r="L103" s="44"/>
      <c r="M103" s="44"/>
      <c r="T103" s="109"/>
      <c r="U103" s="43"/>
    </row>
    <row r="104" spans="9:21" s="1" customFormat="1" x14ac:dyDescent="0.25">
      <c r="I104" s="101"/>
      <c r="J104" s="102"/>
      <c r="K104" s="101"/>
      <c r="L104" s="101"/>
      <c r="M104" s="44"/>
      <c r="T104" s="49"/>
      <c r="U104" s="43"/>
    </row>
    <row r="105" spans="9:21" s="1" customFormat="1" x14ac:dyDescent="0.25">
      <c r="I105" s="44"/>
      <c r="J105" s="57"/>
      <c r="K105" s="44"/>
      <c r="L105" s="44"/>
      <c r="M105" s="44"/>
      <c r="T105" s="109"/>
      <c r="U105" s="43"/>
    </row>
    <row r="106" spans="9:21" s="1" customFormat="1" x14ac:dyDescent="0.25">
      <c r="I106" s="101"/>
      <c r="J106" s="102"/>
      <c r="K106" s="101"/>
      <c r="L106" s="101"/>
      <c r="M106" s="44"/>
      <c r="T106" s="49"/>
      <c r="U106" s="43"/>
    </row>
    <row r="107" spans="9:21" s="1" customFormat="1" x14ac:dyDescent="0.25">
      <c r="I107" s="44"/>
      <c r="J107" s="57"/>
      <c r="K107" s="44"/>
      <c r="L107" s="44"/>
      <c r="M107" s="44"/>
      <c r="T107" s="109"/>
      <c r="U107" s="43"/>
    </row>
    <row r="108" spans="9:21" s="1" customFormat="1" x14ac:dyDescent="0.25">
      <c r="I108" s="101"/>
      <c r="J108" s="102"/>
      <c r="K108" s="101"/>
      <c r="L108" s="101"/>
      <c r="M108" s="44"/>
      <c r="T108" s="49"/>
      <c r="U108" s="43"/>
    </row>
    <row r="109" spans="9:21" s="1" customFormat="1" x14ac:dyDescent="0.25">
      <c r="I109" s="44"/>
      <c r="J109" s="57"/>
      <c r="K109" s="44"/>
      <c r="L109" s="44"/>
      <c r="M109" s="44"/>
      <c r="T109" s="109"/>
      <c r="U109" s="43"/>
    </row>
    <row r="110" spans="9:21" s="1" customFormat="1" x14ac:dyDescent="0.25">
      <c r="I110" s="101"/>
      <c r="J110" s="102"/>
      <c r="K110" s="101"/>
      <c r="L110" s="101"/>
      <c r="M110" s="44"/>
      <c r="T110" s="49"/>
      <c r="U110" s="43"/>
    </row>
    <row r="111" spans="9:21" s="1" customFormat="1" x14ac:dyDescent="0.25">
      <c r="I111" s="44"/>
      <c r="J111" s="57"/>
      <c r="K111" s="44"/>
      <c r="L111" s="44"/>
      <c r="M111" s="44"/>
      <c r="T111" s="109"/>
      <c r="U111" s="43"/>
    </row>
    <row r="112" spans="9:21" s="1" customFormat="1" x14ac:dyDescent="0.25">
      <c r="I112" s="101"/>
      <c r="J112" s="102"/>
      <c r="K112" s="101"/>
      <c r="L112" s="101"/>
      <c r="M112" s="44"/>
      <c r="T112" s="46"/>
      <c r="U112" s="43"/>
    </row>
    <row r="113" spans="9:21" s="1" customFormat="1" x14ac:dyDescent="0.25">
      <c r="I113" s="44"/>
      <c r="J113" s="57"/>
      <c r="K113" s="44"/>
      <c r="L113" s="44"/>
      <c r="M113" s="44"/>
      <c r="T113" s="110"/>
      <c r="U113" s="43"/>
    </row>
    <row r="114" spans="9:21" s="1" customFormat="1" x14ac:dyDescent="0.25">
      <c r="I114" s="101"/>
      <c r="J114" s="102"/>
      <c r="K114" s="101"/>
      <c r="L114" s="101"/>
      <c r="M114" s="44"/>
      <c r="T114" s="47"/>
      <c r="U114" s="43"/>
    </row>
    <row r="115" spans="9:21" s="1" customFormat="1" x14ac:dyDescent="0.25">
      <c r="I115" s="44"/>
      <c r="J115" s="57"/>
      <c r="K115" s="44"/>
      <c r="L115" s="44"/>
      <c r="M115" s="44"/>
      <c r="T115" s="110"/>
      <c r="U115" s="43"/>
    </row>
    <row r="116" spans="9:21" s="1" customFormat="1" x14ac:dyDescent="0.25">
      <c r="I116" s="101"/>
      <c r="J116" s="102"/>
      <c r="K116" s="101"/>
      <c r="L116" s="101"/>
      <c r="M116" s="44"/>
      <c r="T116" s="47"/>
      <c r="U116" s="43"/>
    </row>
    <row r="117" spans="9:21" s="1" customFormat="1" x14ac:dyDescent="0.25">
      <c r="I117" s="44"/>
      <c r="J117" s="57"/>
      <c r="K117" s="44"/>
      <c r="L117" s="44"/>
      <c r="M117" s="44"/>
      <c r="T117" s="109"/>
      <c r="U117" s="43"/>
    </row>
    <row r="118" spans="9:21" s="1" customFormat="1" x14ac:dyDescent="0.25">
      <c r="I118" s="101"/>
      <c r="J118" s="102"/>
      <c r="K118" s="101"/>
      <c r="L118" s="101"/>
      <c r="M118" s="44"/>
      <c r="T118" s="49"/>
      <c r="U118" s="43"/>
    </row>
    <row r="119" spans="9:21" s="1" customFormat="1" x14ac:dyDescent="0.25">
      <c r="I119" s="44"/>
      <c r="J119" s="57"/>
      <c r="K119" s="44"/>
      <c r="L119" s="44"/>
      <c r="M119" s="44"/>
      <c r="T119" s="109"/>
      <c r="U119" s="43"/>
    </row>
    <row r="120" spans="9:21" s="1" customFormat="1" x14ac:dyDescent="0.25">
      <c r="I120" s="101"/>
      <c r="J120" s="102"/>
      <c r="K120" s="101"/>
      <c r="L120" s="101"/>
      <c r="M120" s="44"/>
      <c r="T120" s="49"/>
      <c r="U120" s="43"/>
    </row>
    <row r="121" spans="9:21" s="1" customFormat="1" x14ac:dyDescent="0.25">
      <c r="I121" s="44"/>
      <c r="J121" s="57"/>
      <c r="K121" s="44"/>
      <c r="L121" s="44"/>
      <c r="M121" s="44"/>
      <c r="T121" s="109"/>
      <c r="U121" s="43"/>
    </row>
    <row r="122" spans="9:21" s="1" customFormat="1" x14ac:dyDescent="0.25">
      <c r="I122" s="101"/>
      <c r="J122" s="102"/>
      <c r="K122" s="101"/>
      <c r="L122" s="101"/>
      <c r="M122" s="44"/>
      <c r="T122" s="49"/>
      <c r="U122" s="43"/>
    </row>
    <row r="123" spans="9:21" s="1" customFormat="1" x14ac:dyDescent="0.25">
      <c r="I123" s="44"/>
      <c r="J123" s="57"/>
      <c r="K123" s="44"/>
      <c r="L123" s="44"/>
      <c r="M123" s="44"/>
      <c r="T123" s="109"/>
      <c r="U123" s="43"/>
    </row>
    <row r="124" spans="9:21" s="1" customFormat="1" x14ac:dyDescent="0.25">
      <c r="I124" s="101"/>
      <c r="J124" s="102"/>
      <c r="K124" s="101"/>
      <c r="L124" s="101"/>
      <c r="M124" s="44"/>
      <c r="T124" s="49"/>
      <c r="U124" s="43"/>
    </row>
    <row r="125" spans="9:21" s="1" customFormat="1" x14ac:dyDescent="0.25">
      <c r="I125" s="44"/>
      <c r="J125" s="57"/>
      <c r="K125" s="44"/>
      <c r="L125" s="44"/>
      <c r="M125" s="44"/>
      <c r="T125" s="109"/>
      <c r="U125" s="43"/>
    </row>
    <row r="126" spans="9:21" s="1" customFormat="1" x14ac:dyDescent="0.25">
      <c r="I126" s="101"/>
      <c r="J126" s="102"/>
      <c r="K126" s="101"/>
      <c r="L126" s="101"/>
      <c r="M126" s="44"/>
      <c r="T126" s="49"/>
      <c r="U126" s="43"/>
    </row>
    <row r="127" spans="9:21" s="1" customFormat="1" x14ac:dyDescent="0.25">
      <c r="I127" s="44"/>
      <c r="J127" s="57"/>
      <c r="K127" s="44"/>
      <c r="L127" s="44"/>
      <c r="M127" s="44"/>
      <c r="T127" s="109"/>
      <c r="U127" s="43"/>
    </row>
    <row r="128" spans="9:21" s="1" customFormat="1" x14ac:dyDescent="0.25">
      <c r="I128" s="101"/>
      <c r="J128" s="102"/>
      <c r="K128" s="101"/>
      <c r="L128" s="101"/>
      <c r="M128" s="44"/>
      <c r="T128" s="46"/>
      <c r="U128" s="43"/>
    </row>
    <row r="129" spans="9:21" s="1" customFormat="1" x14ac:dyDescent="0.25">
      <c r="I129" s="44"/>
      <c r="J129" s="57"/>
      <c r="K129" s="44"/>
      <c r="L129" s="44"/>
      <c r="M129" s="44"/>
      <c r="T129" s="110"/>
      <c r="U129" s="43"/>
    </row>
    <row r="130" spans="9:21" s="1" customFormat="1" x14ac:dyDescent="0.25">
      <c r="I130" s="101"/>
      <c r="J130" s="102"/>
      <c r="K130" s="101"/>
      <c r="L130" s="101"/>
      <c r="M130" s="44"/>
      <c r="T130" s="47"/>
      <c r="U130" s="43"/>
    </row>
    <row r="131" spans="9:21" s="1" customFormat="1" x14ac:dyDescent="0.25">
      <c r="I131" s="44"/>
      <c r="J131" s="57"/>
      <c r="K131" s="44"/>
      <c r="L131" s="44"/>
      <c r="M131" s="44"/>
      <c r="T131" s="110"/>
      <c r="U131" s="43"/>
    </row>
    <row r="132" spans="9:21" s="1" customFormat="1" x14ac:dyDescent="0.25">
      <c r="I132" s="101"/>
      <c r="J132" s="102"/>
      <c r="K132" s="101"/>
      <c r="L132" s="101"/>
      <c r="M132" s="44"/>
      <c r="T132" s="47"/>
      <c r="U132" s="43"/>
    </row>
    <row r="133" spans="9:21" s="1" customFormat="1" x14ac:dyDescent="0.25">
      <c r="I133" s="44"/>
      <c r="J133" s="57"/>
      <c r="K133" s="44"/>
      <c r="L133" s="44"/>
      <c r="M133" s="44"/>
      <c r="T133" s="109"/>
      <c r="U133" s="43"/>
    </row>
    <row r="134" spans="9:21" s="1" customFormat="1" x14ac:dyDescent="0.25">
      <c r="I134" s="101"/>
      <c r="J134" s="102"/>
      <c r="K134" s="101"/>
      <c r="L134" s="101"/>
      <c r="M134" s="44"/>
      <c r="T134" s="49"/>
      <c r="U134" s="43"/>
    </row>
    <row r="135" spans="9:21" s="1" customFormat="1" x14ac:dyDescent="0.25">
      <c r="I135" s="44"/>
      <c r="J135" s="57"/>
      <c r="K135" s="44"/>
      <c r="L135" s="44"/>
      <c r="M135" s="44"/>
      <c r="T135" s="109"/>
      <c r="U135" s="43"/>
    </row>
    <row r="136" spans="9:21" s="1" customFormat="1" x14ac:dyDescent="0.25">
      <c r="I136" s="101"/>
      <c r="J136" s="102"/>
      <c r="K136" s="101"/>
      <c r="L136" s="101"/>
      <c r="M136" s="44"/>
      <c r="T136" s="49"/>
      <c r="U136" s="43"/>
    </row>
    <row r="137" spans="9:21" s="1" customFormat="1" x14ac:dyDescent="0.25">
      <c r="I137" s="44"/>
      <c r="J137" s="57"/>
      <c r="K137" s="44"/>
      <c r="L137" s="44"/>
      <c r="M137" s="44"/>
      <c r="T137" s="109"/>
      <c r="U137" s="43"/>
    </row>
    <row r="138" spans="9:21" s="1" customFormat="1" x14ac:dyDescent="0.25">
      <c r="I138" s="101"/>
      <c r="J138" s="102"/>
      <c r="K138" s="101"/>
      <c r="L138" s="101"/>
      <c r="M138" s="44"/>
      <c r="T138" s="49"/>
      <c r="U138" s="43"/>
    </row>
    <row r="139" spans="9:21" s="1" customFormat="1" x14ac:dyDescent="0.25">
      <c r="I139" s="44"/>
      <c r="J139" s="57"/>
      <c r="K139" s="44"/>
      <c r="L139" s="44"/>
      <c r="M139" s="44"/>
      <c r="T139" s="109"/>
      <c r="U139" s="43"/>
    </row>
    <row r="140" spans="9:21" s="1" customFormat="1" x14ac:dyDescent="0.25">
      <c r="I140" s="101"/>
      <c r="J140" s="102"/>
      <c r="K140" s="101"/>
      <c r="L140" s="101"/>
      <c r="M140" s="44"/>
      <c r="T140" s="49"/>
      <c r="U140" s="43"/>
    </row>
    <row r="141" spans="9:21" s="1" customFormat="1" x14ac:dyDescent="0.25">
      <c r="I141" s="44"/>
      <c r="J141" s="57"/>
      <c r="K141" s="44"/>
      <c r="L141" s="44"/>
      <c r="M141" s="44"/>
      <c r="T141" s="109"/>
      <c r="U141" s="43"/>
    </row>
    <row r="142" spans="9:21" s="1" customFormat="1" x14ac:dyDescent="0.25">
      <c r="I142" s="101"/>
      <c r="J142" s="102"/>
      <c r="K142" s="101"/>
      <c r="L142" s="101"/>
      <c r="M142" s="44"/>
      <c r="T142" s="49"/>
      <c r="U142" s="43"/>
    </row>
    <row r="143" spans="9:21" s="1" customFormat="1" x14ac:dyDescent="0.25">
      <c r="I143" s="44"/>
      <c r="J143" s="57"/>
      <c r="K143" s="44"/>
      <c r="L143" s="44"/>
      <c r="M143" s="44"/>
      <c r="T143" s="109"/>
      <c r="U143" s="43"/>
    </row>
    <row r="144" spans="9:21" s="1" customFormat="1" x14ac:dyDescent="0.25">
      <c r="I144" s="101"/>
      <c r="J144" s="102"/>
      <c r="K144" s="101"/>
      <c r="L144" s="101"/>
      <c r="M144" s="44"/>
      <c r="T144" s="46"/>
      <c r="U144" s="43"/>
    </row>
    <row r="145" spans="9:21" s="1" customFormat="1" x14ac:dyDescent="0.25">
      <c r="I145" s="44"/>
      <c r="J145" s="57"/>
      <c r="K145" s="44"/>
      <c r="L145" s="44"/>
      <c r="M145" s="44"/>
      <c r="T145" s="110"/>
      <c r="U145" s="43"/>
    </row>
    <row r="146" spans="9:21" s="1" customFormat="1" x14ac:dyDescent="0.25">
      <c r="I146" s="101"/>
      <c r="J146" s="102"/>
      <c r="K146" s="101"/>
      <c r="L146" s="101"/>
      <c r="M146" s="44"/>
      <c r="T146" s="47"/>
      <c r="U146" s="43"/>
    </row>
    <row r="147" spans="9:21" s="1" customFormat="1" x14ac:dyDescent="0.25">
      <c r="I147" s="44"/>
      <c r="J147" s="57"/>
      <c r="K147" s="44"/>
      <c r="L147" s="44"/>
      <c r="M147" s="44"/>
      <c r="T147" s="110"/>
      <c r="U147" s="43"/>
    </row>
    <row r="148" spans="9:21" s="1" customFormat="1" x14ac:dyDescent="0.25">
      <c r="I148" s="101"/>
      <c r="J148" s="102"/>
      <c r="K148" s="101"/>
      <c r="L148" s="101"/>
      <c r="M148" s="44"/>
      <c r="T148" s="47"/>
      <c r="U148" s="43"/>
    </row>
    <row r="149" spans="9:21" s="1" customFormat="1" x14ac:dyDescent="0.25">
      <c r="I149" s="44"/>
      <c r="J149" s="57"/>
      <c r="K149" s="44"/>
      <c r="L149" s="44"/>
      <c r="M149" s="44"/>
      <c r="T149" s="109"/>
      <c r="U149" s="43"/>
    </row>
    <row r="150" spans="9:21" s="1" customFormat="1" x14ac:dyDescent="0.25">
      <c r="I150" s="101"/>
      <c r="J150" s="102"/>
      <c r="K150" s="101"/>
      <c r="L150" s="101"/>
      <c r="M150" s="44"/>
      <c r="T150" s="49"/>
      <c r="U150" s="43"/>
    </row>
    <row r="151" spans="9:21" s="1" customFormat="1" x14ac:dyDescent="0.25">
      <c r="I151" s="44"/>
      <c r="J151" s="57"/>
      <c r="K151" s="44"/>
      <c r="L151" s="44"/>
      <c r="M151" s="44"/>
      <c r="T151" s="109"/>
      <c r="U151" s="43"/>
    </row>
    <row r="152" spans="9:21" s="1" customFormat="1" x14ac:dyDescent="0.25">
      <c r="I152" s="101"/>
      <c r="J152" s="102"/>
      <c r="K152" s="101"/>
      <c r="L152" s="101"/>
      <c r="M152" s="44"/>
      <c r="T152" s="49"/>
      <c r="U152" s="43"/>
    </row>
    <row r="153" spans="9:21" s="1" customFormat="1" x14ac:dyDescent="0.25">
      <c r="I153" s="44"/>
      <c r="J153" s="57"/>
      <c r="K153" s="44"/>
      <c r="L153" s="44"/>
      <c r="M153" s="44"/>
      <c r="T153" s="109"/>
      <c r="U153" s="43"/>
    </row>
    <row r="154" spans="9:21" s="1" customFormat="1" x14ac:dyDescent="0.25">
      <c r="I154" s="101"/>
      <c r="J154" s="102"/>
      <c r="K154" s="101"/>
      <c r="L154" s="101"/>
      <c r="M154" s="44"/>
      <c r="T154" s="49"/>
      <c r="U154" s="43"/>
    </row>
    <row r="155" spans="9:21" s="1" customFormat="1" x14ac:dyDescent="0.25">
      <c r="I155" s="44"/>
      <c r="J155" s="57"/>
      <c r="K155" s="44"/>
      <c r="L155" s="44"/>
      <c r="M155" s="44"/>
      <c r="T155" s="109"/>
      <c r="U155" s="43"/>
    </row>
    <row r="156" spans="9:21" s="1" customFormat="1" x14ac:dyDescent="0.25">
      <c r="I156" s="101"/>
      <c r="J156" s="102"/>
      <c r="K156" s="101"/>
      <c r="L156" s="101"/>
      <c r="M156" s="44"/>
      <c r="T156" s="49"/>
      <c r="U156" s="43"/>
    </row>
    <row r="157" spans="9:21" s="1" customFormat="1" x14ac:dyDescent="0.25">
      <c r="I157" s="44"/>
      <c r="J157" s="57"/>
      <c r="K157" s="44"/>
      <c r="L157" s="44"/>
      <c r="M157" s="44"/>
      <c r="T157" s="109"/>
      <c r="U157" s="43"/>
    </row>
    <row r="158" spans="9:21" s="1" customFormat="1" x14ac:dyDescent="0.25">
      <c r="I158" s="101"/>
      <c r="J158" s="102"/>
      <c r="K158" s="101"/>
      <c r="L158" s="101"/>
      <c r="M158" s="44"/>
      <c r="T158" s="49"/>
      <c r="U158" s="43"/>
    </row>
    <row r="159" spans="9:21" s="1" customFormat="1" x14ac:dyDescent="0.25">
      <c r="I159" s="44"/>
      <c r="J159" s="57"/>
      <c r="K159" s="44"/>
      <c r="L159" s="44"/>
      <c r="M159" s="44"/>
      <c r="T159" s="109"/>
      <c r="U159" s="43"/>
    </row>
    <row r="160" spans="9:21" s="1" customFormat="1" x14ac:dyDescent="0.25">
      <c r="I160" s="101"/>
      <c r="J160" s="102"/>
      <c r="K160" s="101"/>
      <c r="L160" s="101"/>
      <c r="M160" s="44"/>
      <c r="T160" s="46"/>
      <c r="U160" s="43"/>
    </row>
    <row r="161" spans="9:21" s="1" customFormat="1" x14ac:dyDescent="0.25">
      <c r="I161" s="44"/>
      <c r="J161" s="57"/>
      <c r="K161" s="44"/>
      <c r="L161" s="44"/>
      <c r="M161" s="44"/>
      <c r="T161" s="110"/>
      <c r="U161" s="43"/>
    </row>
    <row r="162" spans="9:21" s="1" customFormat="1" x14ac:dyDescent="0.25">
      <c r="I162" s="101"/>
      <c r="J162" s="102"/>
      <c r="K162" s="101"/>
      <c r="L162" s="101"/>
      <c r="M162" s="44"/>
      <c r="T162" s="47"/>
      <c r="U162" s="43"/>
    </row>
    <row r="163" spans="9:21" s="1" customFormat="1" x14ac:dyDescent="0.25">
      <c r="I163" s="44"/>
      <c r="J163" s="57"/>
      <c r="K163" s="44"/>
      <c r="L163" s="44"/>
      <c r="M163" s="44"/>
      <c r="T163" s="110"/>
      <c r="U163" s="43"/>
    </row>
    <row r="164" spans="9:21" s="1" customFormat="1" x14ac:dyDescent="0.25">
      <c r="I164" s="101"/>
      <c r="J164" s="102"/>
      <c r="K164" s="101"/>
      <c r="L164" s="101"/>
      <c r="M164" s="44"/>
      <c r="T164" s="47"/>
      <c r="U164" s="43"/>
    </row>
    <row r="165" spans="9:21" s="1" customFormat="1" x14ac:dyDescent="0.25">
      <c r="I165" s="44"/>
      <c r="J165" s="57"/>
      <c r="K165" s="44"/>
      <c r="L165" s="44"/>
      <c r="M165" s="44"/>
      <c r="T165" s="109"/>
      <c r="U165" s="43"/>
    </row>
    <row r="166" spans="9:21" s="1" customFormat="1" x14ac:dyDescent="0.25">
      <c r="I166" s="101"/>
      <c r="J166" s="102"/>
      <c r="K166" s="101"/>
      <c r="L166" s="101"/>
      <c r="M166" s="44"/>
      <c r="T166" s="49"/>
      <c r="U166" s="43"/>
    </row>
    <row r="167" spans="9:21" s="1" customFormat="1" x14ac:dyDescent="0.25">
      <c r="I167" s="44"/>
      <c r="J167" s="57"/>
      <c r="K167" s="44"/>
      <c r="L167" s="44"/>
      <c r="M167" s="44"/>
      <c r="T167" s="109"/>
      <c r="U167" s="43"/>
    </row>
    <row r="168" spans="9:21" s="1" customFormat="1" x14ac:dyDescent="0.25">
      <c r="I168" s="101"/>
      <c r="J168" s="102"/>
      <c r="K168" s="101"/>
      <c r="L168" s="101"/>
      <c r="M168" s="44"/>
      <c r="T168" s="49"/>
      <c r="U168" s="43"/>
    </row>
    <row r="169" spans="9:21" s="1" customFormat="1" x14ac:dyDescent="0.25">
      <c r="I169" s="44"/>
      <c r="J169" s="57"/>
      <c r="K169" s="44"/>
      <c r="L169" s="44"/>
      <c r="M169" s="44"/>
      <c r="T169" s="109"/>
      <c r="U169" s="43"/>
    </row>
    <row r="170" spans="9:21" s="1" customFormat="1" x14ac:dyDescent="0.25">
      <c r="I170" s="101"/>
      <c r="J170" s="102"/>
      <c r="K170" s="101"/>
      <c r="L170" s="101"/>
      <c r="M170" s="44"/>
      <c r="T170" s="49"/>
      <c r="U170" s="43"/>
    </row>
    <row r="171" spans="9:21" s="1" customFormat="1" x14ac:dyDescent="0.25">
      <c r="I171" s="44"/>
      <c r="J171" s="57"/>
      <c r="K171" s="44"/>
      <c r="L171" s="44"/>
      <c r="M171" s="44"/>
      <c r="T171" s="109"/>
      <c r="U171" s="43"/>
    </row>
    <row r="172" spans="9:21" s="1" customFormat="1" x14ac:dyDescent="0.25">
      <c r="I172" s="101"/>
      <c r="J172" s="102"/>
      <c r="K172" s="101"/>
      <c r="L172" s="101"/>
      <c r="M172" s="44"/>
      <c r="T172" s="49"/>
      <c r="U172" s="43"/>
    </row>
    <row r="173" spans="9:21" s="1" customFormat="1" x14ac:dyDescent="0.25">
      <c r="I173" s="44"/>
      <c r="J173" s="57"/>
      <c r="K173" s="44"/>
      <c r="L173" s="44"/>
      <c r="M173" s="44"/>
      <c r="T173" s="109"/>
      <c r="U173" s="43"/>
    </row>
    <row r="174" spans="9:21" s="1" customFormat="1" x14ac:dyDescent="0.25">
      <c r="I174" s="101"/>
      <c r="J174" s="102"/>
      <c r="K174" s="101"/>
      <c r="L174" s="101"/>
      <c r="M174" s="44"/>
      <c r="T174" s="49"/>
      <c r="U174" s="43"/>
    </row>
    <row r="175" spans="9:21" s="1" customFormat="1" x14ac:dyDescent="0.25">
      <c r="I175" s="44"/>
      <c r="J175" s="57"/>
      <c r="K175" s="44"/>
      <c r="L175" s="44"/>
      <c r="M175" s="44"/>
      <c r="T175" s="109"/>
      <c r="U175" s="43"/>
    </row>
    <row r="176" spans="9:21" s="1" customFormat="1" x14ac:dyDescent="0.25">
      <c r="I176" s="101"/>
      <c r="J176" s="102"/>
      <c r="K176" s="101"/>
      <c r="L176" s="101"/>
      <c r="M176" s="44"/>
      <c r="T176" s="46"/>
      <c r="U176" s="43"/>
    </row>
    <row r="177" spans="9:21" s="1" customFormat="1" x14ac:dyDescent="0.25">
      <c r="I177" s="44"/>
      <c r="J177" s="57"/>
      <c r="K177" s="44"/>
      <c r="L177" s="44"/>
      <c r="M177" s="44"/>
      <c r="T177" s="110"/>
      <c r="U177" s="43"/>
    </row>
    <row r="178" spans="9:21" s="1" customFormat="1" x14ac:dyDescent="0.25">
      <c r="I178" s="101"/>
      <c r="J178" s="102"/>
      <c r="K178" s="101"/>
      <c r="L178" s="101"/>
      <c r="M178" s="44"/>
      <c r="T178" s="47"/>
      <c r="U178" s="43"/>
    </row>
    <row r="179" spans="9:21" s="1" customFormat="1" x14ac:dyDescent="0.25">
      <c r="I179" s="44"/>
      <c r="J179" s="57"/>
      <c r="K179" s="44"/>
      <c r="L179" s="44"/>
      <c r="M179" s="44"/>
      <c r="T179" s="110"/>
      <c r="U179" s="43"/>
    </row>
    <row r="180" spans="9:21" s="1" customFormat="1" x14ac:dyDescent="0.25">
      <c r="I180" s="101"/>
      <c r="J180" s="102"/>
      <c r="K180" s="101"/>
      <c r="L180" s="101"/>
      <c r="M180" s="44"/>
      <c r="T180" s="47"/>
      <c r="U180" s="43"/>
    </row>
    <row r="181" spans="9:21" s="1" customFormat="1" x14ac:dyDescent="0.25">
      <c r="I181" s="44"/>
      <c r="J181" s="57"/>
      <c r="K181" s="44"/>
      <c r="L181" s="44"/>
      <c r="M181" s="44"/>
      <c r="T181" s="109"/>
      <c r="U181" s="43"/>
    </row>
    <row r="182" spans="9:21" s="1" customFormat="1" x14ac:dyDescent="0.25">
      <c r="I182" s="101"/>
      <c r="J182" s="102"/>
      <c r="K182" s="101"/>
      <c r="L182" s="101"/>
      <c r="M182" s="44"/>
      <c r="T182" s="49"/>
      <c r="U182" s="43"/>
    </row>
    <row r="183" spans="9:21" s="1" customFormat="1" x14ac:dyDescent="0.25">
      <c r="I183" s="44"/>
      <c r="J183" s="57"/>
      <c r="K183" s="44"/>
      <c r="L183" s="44"/>
      <c r="M183" s="44"/>
      <c r="T183" s="109"/>
      <c r="U183" s="43"/>
    </row>
    <row r="184" spans="9:21" s="1" customFormat="1" x14ac:dyDescent="0.25">
      <c r="I184" s="101"/>
      <c r="J184" s="102"/>
      <c r="K184" s="101"/>
      <c r="L184" s="101"/>
      <c r="M184" s="44"/>
      <c r="T184" s="49"/>
      <c r="U184" s="43"/>
    </row>
    <row r="185" spans="9:21" s="1" customFormat="1" x14ac:dyDescent="0.25">
      <c r="I185" s="44"/>
      <c r="J185" s="57"/>
      <c r="K185" s="44"/>
      <c r="L185" s="44"/>
      <c r="M185" s="44"/>
      <c r="T185" s="109"/>
      <c r="U185" s="43"/>
    </row>
    <row r="186" spans="9:21" s="1" customFormat="1" x14ac:dyDescent="0.25">
      <c r="I186" s="101"/>
      <c r="J186" s="102"/>
      <c r="K186" s="101"/>
      <c r="L186" s="101"/>
      <c r="M186" s="44"/>
      <c r="T186" s="49"/>
      <c r="U186" s="43"/>
    </row>
    <row r="187" spans="9:21" s="1" customFormat="1" x14ac:dyDescent="0.25">
      <c r="I187" s="44"/>
      <c r="J187" s="57"/>
      <c r="K187" s="44"/>
      <c r="L187" s="44"/>
      <c r="M187" s="44"/>
      <c r="T187" s="109"/>
      <c r="U187" s="43"/>
    </row>
    <row r="188" spans="9:21" s="1" customFormat="1" x14ac:dyDescent="0.25">
      <c r="I188" s="101"/>
      <c r="J188" s="102"/>
      <c r="K188" s="101"/>
      <c r="L188" s="101"/>
      <c r="M188" s="44"/>
      <c r="T188" s="49"/>
      <c r="U188" s="43"/>
    </row>
    <row r="189" spans="9:21" s="1" customFormat="1" x14ac:dyDescent="0.25">
      <c r="I189" s="44"/>
      <c r="J189" s="57"/>
      <c r="K189" s="44"/>
      <c r="L189" s="44"/>
      <c r="M189" s="44"/>
      <c r="T189" s="109"/>
      <c r="U189" s="43"/>
    </row>
    <row r="190" spans="9:21" s="1" customFormat="1" x14ac:dyDescent="0.25">
      <c r="I190" s="101"/>
      <c r="J190" s="102"/>
      <c r="K190" s="101"/>
      <c r="L190" s="101"/>
      <c r="M190" s="44"/>
      <c r="T190" s="49"/>
      <c r="U190" s="43"/>
    </row>
    <row r="191" spans="9:21" s="1" customFormat="1" x14ac:dyDescent="0.25">
      <c r="I191" s="44"/>
      <c r="J191" s="57"/>
      <c r="K191" s="44"/>
      <c r="L191" s="44"/>
      <c r="M191" s="44"/>
      <c r="T191" s="109"/>
      <c r="U191" s="43"/>
    </row>
    <row r="192" spans="9:21" s="1" customFormat="1" x14ac:dyDescent="0.25">
      <c r="I192" s="101"/>
      <c r="J192" s="102"/>
      <c r="K192" s="101"/>
      <c r="L192" s="101"/>
      <c r="M192" s="44"/>
      <c r="T192" s="46"/>
      <c r="U192" s="43"/>
    </row>
    <row r="193" spans="9:21" s="1" customFormat="1" x14ac:dyDescent="0.25">
      <c r="I193" s="44"/>
      <c r="J193" s="57"/>
      <c r="K193" s="44"/>
      <c r="L193" s="44"/>
      <c r="M193" s="44"/>
      <c r="T193" s="110"/>
      <c r="U193" s="43"/>
    </row>
    <row r="194" spans="9:21" s="1" customFormat="1" x14ac:dyDescent="0.25">
      <c r="I194" s="101"/>
      <c r="J194" s="102"/>
      <c r="K194" s="101"/>
      <c r="L194" s="101"/>
      <c r="M194" s="44"/>
      <c r="T194" s="47"/>
      <c r="U194" s="43"/>
    </row>
    <row r="195" spans="9:21" s="1" customFormat="1" x14ac:dyDescent="0.25">
      <c r="I195" s="44"/>
      <c r="J195" s="57"/>
      <c r="K195" s="44"/>
      <c r="L195" s="44"/>
      <c r="M195" s="44"/>
      <c r="T195" s="110"/>
      <c r="U195" s="43"/>
    </row>
    <row r="196" spans="9:21" s="1" customFormat="1" x14ac:dyDescent="0.25">
      <c r="I196" s="101"/>
      <c r="J196" s="102"/>
      <c r="K196" s="101"/>
      <c r="L196" s="101"/>
      <c r="M196" s="44"/>
      <c r="T196" s="47"/>
      <c r="U196" s="43"/>
    </row>
    <row r="197" spans="9:21" s="1" customFormat="1" x14ac:dyDescent="0.25">
      <c r="I197" s="44"/>
      <c r="J197" s="57"/>
      <c r="K197" s="44"/>
      <c r="L197" s="44"/>
      <c r="M197" s="44"/>
      <c r="T197" s="109"/>
      <c r="U197" s="43"/>
    </row>
    <row r="198" spans="9:21" s="1" customFormat="1" x14ac:dyDescent="0.25">
      <c r="I198" s="101"/>
      <c r="J198" s="102"/>
      <c r="K198" s="101"/>
      <c r="L198" s="101"/>
      <c r="M198" s="44"/>
      <c r="T198" s="49"/>
      <c r="U198" s="43"/>
    </row>
    <row r="199" spans="9:21" s="1" customFormat="1" x14ac:dyDescent="0.25">
      <c r="I199" s="44"/>
      <c r="J199" s="57"/>
      <c r="K199" s="44"/>
      <c r="L199" s="44"/>
      <c r="M199" s="44"/>
      <c r="T199" s="109"/>
      <c r="U199" s="43"/>
    </row>
    <row r="200" spans="9:21" s="1" customFormat="1" x14ac:dyDescent="0.25">
      <c r="I200" s="101"/>
      <c r="J200" s="102"/>
      <c r="K200" s="101"/>
      <c r="L200" s="101"/>
      <c r="M200" s="44"/>
      <c r="T200" s="49"/>
      <c r="U200" s="43"/>
    </row>
    <row r="201" spans="9:21" s="1" customFormat="1" x14ac:dyDescent="0.25">
      <c r="I201" s="44"/>
      <c r="J201" s="57"/>
      <c r="K201" s="44"/>
      <c r="L201" s="44"/>
      <c r="M201" s="44"/>
      <c r="T201" s="109"/>
      <c r="U201" s="43"/>
    </row>
    <row r="202" spans="9:21" s="1" customFormat="1" x14ac:dyDescent="0.25">
      <c r="I202" s="101"/>
      <c r="J202" s="102"/>
      <c r="K202" s="101"/>
      <c r="L202" s="101"/>
      <c r="M202" s="44"/>
      <c r="T202" s="49"/>
      <c r="U202" s="43"/>
    </row>
    <row r="203" spans="9:21" s="1" customFormat="1" x14ac:dyDescent="0.25">
      <c r="I203" s="44"/>
      <c r="J203" s="57"/>
      <c r="K203" s="44"/>
      <c r="L203" s="44"/>
      <c r="M203" s="44"/>
      <c r="T203" s="109"/>
      <c r="U203" s="43"/>
    </row>
    <row r="204" spans="9:21" s="1" customFormat="1" x14ac:dyDescent="0.25">
      <c r="I204" s="101"/>
      <c r="J204" s="102"/>
      <c r="K204" s="101"/>
      <c r="L204" s="101"/>
      <c r="M204" s="44"/>
      <c r="T204" s="49"/>
      <c r="U204" s="43"/>
    </row>
    <row r="205" spans="9:21" s="1" customFormat="1" x14ac:dyDescent="0.25">
      <c r="I205" s="44"/>
      <c r="J205" s="57"/>
      <c r="K205" s="44"/>
      <c r="L205" s="44"/>
      <c r="M205" s="44"/>
      <c r="T205" s="109"/>
      <c r="U205" s="43"/>
    </row>
    <row r="206" spans="9:21" s="1" customFormat="1" x14ac:dyDescent="0.25">
      <c r="I206" s="101"/>
      <c r="J206" s="102"/>
      <c r="K206" s="101"/>
      <c r="L206" s="101"/>
      <c r="M206" s="44"/>
      <c r="T206" s="49"/>
      <c r="U206" s="43"/>
    </row>
    <row r="207" spans="9:21" s="1" customFormat="1" x14ac:dyDescent="0.25">
      <c r="I207" s="44"/>
      <c r="J207" s="57"/>
      <c r="K207" s="44"/>
      <c r="L207" s="44"/>
      <c r="M207" s="44"/>
      <c r="T207" s="109"/>
      <c r="U207" s="43"/>
    </row>
    <row r="208" spans="9:21" s="1" customFormat="1" x14ac:dyDescent="0.25">
      <c r="I208" s="101"/>
      <c r="J208" s="102"/>
      <c r="K208" s="101"/>
      <c r="L208" s="101"/>
      <c r="M208" s="44"/>
      <c r="T208" s="46"/>
      <c r="U208" s="43"/>
    </row>
    <row r="209" spans="9:21" s="1" customFormat="1" x14ac:dyDescent="0.25">
      <c r="I209" s="44"/>
      <c r="J209" s="57"/>
      <c r="K209" s="44"/>
      <c r="L209" s="44"/>
      <c r="M209" s="44"/>
      <c r="T209" s="110"/>
      <c r="U209" s="43"/>
    </row>
    <row r="210" spans="9:21" s="1" customFormat="1" x14ac:dyDescent="0.25">
      <c r="I210" s="101"/>
      <c r="J210" s="102"/>
      <c r="K210" s="101"/>
      <c r="L210" s="101"/>
      <c r="M210" s="44"/>
      <c r="T210" s="47"/>
      <c r="U210" s="43"/>
    </row>
    <row r="211" spans="9:21" s="1" customFormat="1" x14ac:dyDescent="0.25">
      <c r="I211" s="44"/>
      <c r="J211" s="57"/>
      <c r="K211" s="44"/>
      <c r="L211" s="44"/>
      <c r="M211" s="44"/>
      <c r="T211" s="110"/>
      <c r="U211" s="43"/>
    </row>
    <row r="212" spans="9:21" s="1" customFormat="1" x14ac:dyDescent="0.25">
      <c r="I212" s="101"/>
      <c r="J212" s="102"/>
      <c r="K212" s="101"/>
      <c r="L212" s="101"/>
      <c r="M212" s="44"/>
      <c r="T212" s="47"/>
      <c r="U212" s="43"/>
    </row>
    <row r="213" spans="9:21" s="1" customFormat="1" x14ac:dyDescent="0.25">
      <c r="I213" s="44"/>
      <c r="J213" s="57"/>
      <c r="K213" s="44"/>
      <c r="L213" s="44"/>
      <c r="M213" s="44"/>
      <c r="T213" s="109"/>
      <c r="U213" s="43"/>
    </row>
    <row r="214" spans="9:21" s="1" customFormat="1" x14ac:dyDescent="0.25">
      <c r="I214" s="101"/>
      <c r="J214" s="102"/>
      <c r="K214" s="101"/>
      <c r="L214" s="101"/>
      <c r="M214" s="44"/>
      <c r="T214" s="49"/>
      <c r="U214" s="43"/>
    </row>
    <row r="215" spans="9:21" s="1" customFormat="1" x14ac:dyDescent="0.25">
      <c r="I215" s="44"/>
      <c r="J215" s="57"/>
      <c r="K215" s="44"/>
      <c r="L215" s="44"/>
      <c r="M215" s="44"/>
      <c r="T215" s="109"/>
      <c r="U215" s="43"/>
    </row>
    <row r="216" spans="9:21" s="1" customFormat="1" x14ac:dyDescent="0.25">
      <c r="I216" s="101"/>
      <c r="J216" s="102"/>
      <c r="K216" s="101"/>
      <c r="L216" s="101"/>
      <c r="M216" s="44"/>
      <c r="T216" s="49"/>
      <c r="U216" s="43"/>
    </row>
    <row r="217" spans="9:21" s="1" customFormat="1" x14ac:dyDescent="0.25">
      <c r="I217" s="44"/>
      <c r="J217" s="57"/>
      <c r="K217" s="44"/>
      <c r="L217" s="44"/>
      <c r="M217" s="44"/>
      <c r="T217" s="109"/>
      <c r="U217" s="43"/>
    </row>
    <row r="218" spans="9:21" s="1" customFormat="1" x14ac:dyDescent="0.25">
      <c r="I218" s="101"/>
      <c r="J218" s="102"/>
      <c r="K218" s="101"/>
      <c r="L218" s="101"/>
      <c r="M218" s="44"/>
      <c r="T218" s="49"/>
      <c r="U218" s="43"/>
    </row>
    <row r="219" spans="9:21" s="1" customFormat="1" x14ac:dyDescent="0.25">
      <c r="I219" s="44"/>
      <c r="J219" s="57"/>
      <c r="K219" s="44"/>
      <c r="L219" s="44"/>
      <c r="M219" s="44"/>
      <c r="T219" s="109"/>
      <c r="U219" s="43"/>
    </row>
    <row r="220" spans="9:21" s="1" customFormat="1" x14ac:dyDescent="0.25">
      <c r="I220" s="101"/>
      <c r="J220" s="102"/>
      <c r="K220" s="101"/>
      <c r="L220" s="101"/>
      <c r="M220" s="44"/>
      <c r="T220" s="49"/>
      <c r="U220" s="43"/>
    </row>
    <row r="221" spans="9:21" s="1" customFormat="1" x14ac:dyDescent="0.25">
      <c r="I221" s="44"/>
      <c r="J221" s="57"/>
      <c r="K221" s="44"/>
      <c r="L221" s="44"/>
      <c r="M221" s="44"/>
      <c r="T221" s="109"/>
      <c r="U221" s="43"/>
    </row>
    <row r="222" spans="9:21" s="1" customFormat="1" x14ac:dyDescent="0.25">
      <c r="I222" s="101"/>
      <c r="J222" s="102"/>
      <c r="K222" s="101"/>
      <c r="L222" s="101"/>
      <c r="M222" s="44"/>
      <c r="T222" s="49"/>
      <c r="U222" s="43"/>
    </row>
    <row r="223" spans="9:21" s="1" customFormat="1" x14ac:dyDescent="0.25">
      <c r="I223" s="44"/>
      <c r="J223" s="57"/>
      <c r="K223" s="44"/>
      <c r="L223" s="44"/>
      <c r="M223" s="44"/>
      <c r="T223" s="109"/>
      <c r="U223" s="43"/>
    </row>
    <row r="224" spans="9:21" s="1" customFormat="1" x14ac:dyDescent="0.25">
      <c r="I224" s="101"/>
      <c r="J224" s="102"/>
      <c r="K224" s="101"/>
      <c r="L224" s="101"/>
      <c r="M224" s="44"/>
      <c r="T224" s="46"/>
      <c r="U224" s="43"/>
    </row>
    <row r="225" spans="9:21" s="1" customFormat="1" x14ac:dyDescent="0.25">
      <c r="I225" s="44"/>
      <c r="J225" s="57"/>
      <c r="K225" s="44"/>
      <c r="L225" s="44"/>
      <c r="M225" s="44"/>
      <c r="T225" s="110"/>
      <c r="U225" s="43"/>
    </row>
    <row r="226" spans="9:21" s="1" customFormat="1" x14ac:dyDescent="0.25">
      <c r="I226" s="101"/>
      <c r="J226" s="102"/>
      <c r="K226" s="101"/>
      <c r="L226" s="101"/>
      <c r="M226" s="44"/>
      <c r="T226" s="47"/>
      <c r="U226" s="43"/>
    </row>
    <row r="227" spans="9:21" s="1" customFormat="1" x14ac:dyDescent="0.25">
      <c r="I227" s="44"/>
      <c r="J227" s="57"/>
      <c r="K227" s="44"/>
      <c r="L227" s="44"/>
      <c r="M227" s="44"/>
      <c r="T227" s="110"/>
      <c r="U227" s="43"/>
    </row>
    <row r="228" spans="9:21" s="1" customFormat="1" x14ac:dyDescent="0.25">
      <c r="I228" s="101"/>
      <c r="J228" s="102"/>
      <c r="K228" s="101"/>
      <c r="L228" s="101"/>
      <c r="M228" s="44"/>
      <c r="T228" s="47"/>
      <c r="U228" s="43"/>
    </row>
    <row r="229" spans="9:21" s="1" customFormat="1" x14ac:dyDescent="0.25">
      <c r="I229" s="44"/>
      <c r="J229" s="57"/>
      <c r="K229" s="44"/>
      <c r="L229" s="44"/>
      <c r="M229" s="44"/>
      <c r="T229" s="109"/>
      <c r="U229" s="43"/>
    </row>
    <row r="230" spans="9:21" s="1" customFormat="1" x14ac:dyDescent="0.25">
      <c r="I230" s="101"/>
      <c r="J230" s="102"/>
      <c r="K230" s="101"/>
      <c r="L230" s="101"/>
      <c r="M230" s="44"/>
      <c r="T230" s="49"/>
      <c r="U230" s="43"/>
    </row>
    <row r="231" spans="9:21" s="1" customFormat="1" x14ac:dyDescent="0.25">
      <c r="I231" s="44"/>
      <c r="J231" s="57"/>
      <c r="K231" s="44"/>
      <c r="L231" s="44"/>
      <c r="M231" s="44"/>
      <c r="T231" s="109"/>
      <c r="U231" s="43"/>
    </row>
    <row r="232" spans="9:21" s="1" customFormat="1" x14ac:dyDescent="0.25">
      <c r="I232" s="101"/>
      <c r="J232" s="102"/>
      <c r="K232" s="101"/>
      <c r="L232" s="101"/>
      <c r="M232" s="44"/>
      <c r="T232" s="49"/>
      <c r="U232" s="43"/>
    </row>
    <row r="233" spans="9:21" s="1" customFormat="1" x14ac:dyDescent="0.25">
      <c r="I233" s="44"/>
      <c r="J233" s="57"/>
      <c r="K233" s="44"/>
      <c r="L233" s="44"/>
      <c r="M233" s="44"/>
      <c r="T233" s="109"/>
      <c r="U233" s="43"/>
    </row>
    <row r="234" spans="9:21" s="1" customFormat="1" x14ac:dyDescent="0.25">
      <c r="I234" s="101"/>
      <c r="J234" s="102"/>
      <c r="K234" s="101"/>
      <c r="L234" s="101"/>
      <c r="M234" s="44"/>
      <c r="T234" s="49"/>
      <c r="U234" s="43"/>
    </row>
    <row r="235" spans="9:21" s="1" customFormat="1" x14ac:dyDescent="0.25">
      <c r="I235" s="44"/>
      <c r="J235" s="57"/>
      <c r="K235" s="44"/>
      <c r="L235" s="44"/>
      <c r="M235" s="44"/>
      <c r="T235" s="109"/>
      <c r="U235" s="43"/>
    </row>
    <row r="236" spans="9:21" s="1" customFormat="1" x14ac:dyDescent="0.25">
      <c r="I236" s="101"/>
      <c r="J236" s="102"/>
      <c r="K236" s="101"/>
      <c r="L236" s="101"/>
      <c r="M236" s="44"/>
      <c r="T236" s="49"/>
      <c r="U236" s="43"/>
    </row>
    <row r="237" spans="9:21" s="1" customFormat="1" x14ac:dyDescent="0.25">
      <c r="I237" s="44"/>
      <c r="J237" s="57"/>
      <c r="K237" s="44"/>
      <c r="L237" s="44"/>
      <c r="M237" s="44"/>
      <c r="T237" s="109"/>
      <c r="U237" s="43"/>
    </row>
    <row r="238" spans="9:21" s="1" customFormat="1" x14ac:dyDescent="0.25">
      <c r="I238" s="101"/>
      <c r="J238" s="102"/>
      <c r="K238" s="101"/>
      <c r="L238" s="101"/>
      <c r="M238" s="44"/>
      <c r="T238" s="49"/>
      <c r="U238" s="43"/>
    </row>
    <row r="239" spans="9:21" s="1" customFormat="1" x14ac:dyDescent="0.25">
      <c r="I239" s="44"/>
      <c r="J239" s="57"/>
      <c r="K239" s="44"/>
      <c r="L239" s="44"/>
      <c r="M239" s="44"/>
      <c r="T239" s="109"/>
      <c r="U239" s="43"/>
    </row>
    <row r="240" spans="9:21" s="1" customFormat="1" x14ac:dyDescent="0.25">
      <c r="I240" s="101"/>
      <c r="J240" s="102"/>
      <c r="K240" s="101"/>
      <c r="L240" s="101"/>
      <c r="M240" s="44"/>
      <c r="T240" s="46"/>
      <c r="U240" s="43"/>
    </row>
    <row r="241" spans="9:21" s="1" customFormat="1" x14ac:dyDescent="0.25">
      <c r="I241" s="44"/>
      <c r="J241" s="57"/>
      <c r="K241" s="44"/>
      <c r="L241" s="44"/>
      <c r="M241" s="44"/>
      <c r="T241" s="110"/>
      <c r="U241" s="43"/>
    </row>
    <row r="242" spans="9:21" s="1" customFormat="1" x14ac:dyDescent="0.25">
      <c r="I242" s="101"/>
      <c r="J242" s="102"/>
      <c r="K242" s="101"/>
      <c r="L242" s="101"/>
      <c r="M242" s="44"/>
      <c r="T242" s="47"/>
      <c r="U242" s="43"/>
    </row>
    <row r="243" spans="9:21" s="1" customFormat="1" x14ac:dyDescent="0.25">
      <c r="I243" s="44"/>
      <c r="J243" s="57"/>
      <c r="K243" s="44"/>
      <c r="L243" s="44"/>
      <c r="M243" s="44"/>
      <c r="T243" s="110"/>
      <c r="U243" s="43"/>
    </row>
    <row r="244" spans="9:21" s="1" customFormat="1" x14ac:dyDescent="0.25">
      <c r="I244" s="101"/>
      <c r="J244" s="102"/>
      <c r="K244" s="101"/>
      <c r="L244" s="101"/>
      <c r="M244" s="44"/>
      <c r="T244" s="47"/>
      <c r="U244" s="43"/>
    </row>
    <row r="245" spans="9:21" s="1" customFormat="1" x14ac:dyDescent="0.25">
      <c r="I245" s="44"/>
      <c r="J245" s="57"/>
      <c r="K245" s="44"/>
      <c r="L245" s="44"/>
      <c r="M245" s="44"/>
      <c r="T245" s="109"/>
      <c r="U245" s="43"/>
    </row>
    <row r="246" spans="9:21" s="1" customFormat="1" x14ac:dyDescent="0.25">
      <c r="I246" s="101"/>
      <c r="J246" s="102"/>
      <c r="K246" s="101"/>
      <c r="L246" s="101"/>
      <c r="M246" s="44"/>
      <c r="T246" s="49"/>
      <c r="U246" s="43"/>
    </row>
    <row r="247" spans="9:21" s="1" customFormat="1" x14ac:dyDescent="0.25">
      <c r="I247" s="44"/>
      <c r="J247" s="57"/>
      <c r="K247" s="44"/>
      <c r="L247" s="44"/>
      <c r="M247" s="44"/>
      <c r="T247" s="109"/>
      <c r="U247" s="43"/>
    </row>
    <row r="248" spans="9:21" s="1" customFormat="1" x14ac:dyDescent="0.25">
      <c r="I248" s="101"/>
      <c r="J248" s="102"/>
      <c r="K248" s="101"/>
      <c r="L248" s="101"/>
      <c r="M248" s="44"/>
      <c r="T248" s="49"/>
      <c r="U248" s="43"/>
    </row>
    <row r="249" spans="9:21" s="1" customFormat="1" x14ac:dyDescent="0.25">
      <c r="I249" s="44"/>
      <c r="J249" s="57"/>
      <c r="K249" s="44"/>
      <c r="L249" s="44"/>
      <c r="M249" s="44"/>
      <c r="T249" s="109"/>
      <c r="U249" s="43"/>
    </row>
    <row r="250" spans="9:21" s="1" customFormat="1" x14ac:dyDescent="0.25">
      <c r="I250" s="101"/>
      <c r="J250" s="102"/>
      <c r="K250" s="101"/>
      <c r="L250" s="101"/>
      <c r="M250" s="44"/>
      <c r="T250" s="49"/>
      <c r="U250" s="43"/>
    </row>
    <row r="251" spans="9:21" s="1" customFormat="1" x14ac:dyDescent="0.25">
      <c r="I251" s="44"/>
      <c r="J251" s="57"/>
      <c r="K251" s="44"/>
      <c r="L251" s="44"/>
      <c r="M251" s="44"/>
      <c r="T251" s="109"/>
      <c r="U251" s="43"/>
    </row>
    <row r="252" spans="9:21" s="1" customFormat="1" x14ac:dyDescent="0.25">
      <c r="I252" s="101"/>
      <c r="J252" s="102"/>
      <c r="K252" s="101"/>
      <c r="L252" s="101"/>
      <c r="M252" s="44"/>
      <c r="T252" s="49"/>
      <c r="U252" s="43"/>
    </row>
    <row r="253" spans="9:21" s="1" customFormat="1" x14ac:dyDescent="0.25">
      <c r="I253" s="44"/>
      <c r="J253" s="57"/>
      <c r="K253" s="44"/>
      <c r="L253" s="44"/>
      <c r="M253" s="44"/>
      <c r="T253" s="109"/>
      <c r="U253" s="43"/>
    </row>
    <row r="254" spans="9:21" s="1" customFormat="1" x14ac:dyDescent="0.25">
      <c r="I254" s="101"/>
      <c r="J254" s="102"/>
      <c r="K254" s="101"/>
      <c r="L254" s="101"/>
      <c r="M254" s="44"/>
      <c r="T254" s="49"/>
      <c r="U254" s="43"/>
    </row>
    <row r="255" spans="9:21" s="1" customFormat="1" x14ac:dyDescent="0.25">
      <c r="I255" s="44"/>
      <c r="J255" s="57"/>
      <c r="K255" s="44"/>
      <c r="L255" s="44"/>
      <c r="M255" s="44"/>
      <c r="T255" s="109"/>
      <c r="U255" s="43"/>
    </row>
    <row r="256" spans="9:21" s="1" customFormat="1" x14ac:dyDescent="0.25">
      <c r="I256" s="101"/>
      <c r="J256" s="102"/>
      <c r="K256" s="101"/>
      <c r="L256" s="101"/>
      <c r="M256" s="44"/>
      <c r="T256" s="46"/>
      <c r="U256" s="43"/>
    </row>
    <row r="257" spans="9:21" s="1" customFormat="1" x14ac:dyDescent="0.25">
      <c r="I257" s="44"/>
      <c r="J257" s="57"/>
      <c r="K257" s="44"/>
      <c r="L257" s="44"/>
      <c r="M257" s="44"/>
      <c r="T257" s="110"/>
      <c r="U257" s="43"/>
    </row>
    <row r="258" spans="9:21" s="1" customFormat="1" x14ac:dyDescent="0.25">
      <c r="I258" s="101"/>
      <c r="J258" s="102"/>
      <c r="K258" s="101"/>
      <c r="L258" s="101"/>
      <c r="M258" s="44"/>
      <c r="T258" s="47"/>
      <c r="U258" s="43"/>
    </row>
    <row r="259" spans="9:21" s="1" customFormat="1" x14ac:dyDescent="0.25">
      <c r="I259" s="44"/>
      <c r="J259" s="57"/>
      <c r="K259" s="44"/>
      <c r="L259" s="44"/>
      <c r="M259" s="44"/>
      <c r="T259" s="110"/>
      <c r="U259" s="43"/>
    </row>
    <row r="260" spans="9:21" s="1" customFormat="1" x14ac:dyDescent="0.25">
      <c r="I260" s="101"/>
      <c r="J260" s="102"/>
      <c r="K260" s="101"/>
      <c r="L260" s="101"/>
      <c r="M260" s="44"/>
      <c r="T260" s="47"/>
      <c r="U260" s="43"/>
    </row>
    <row r="261" spans="9:21" s="1" customFormat="1" x14ac:dyDescent="0.25">
      <c r="I261" s="44"/>
      <c r="J261" s="57"/>
      <c r="K261" s="44"/>
      <c r="L261" s="44"/>
      <c r="M261" s="44"/>
      <c r="T261" s="109"/>
      <c r="U261" s="43"/>
    </row>
    <row r="262" spans="9:21" s="1" customFormat="1" x14ac:dyDescent="0.25">
      <c r="I262" s="101"/>
      <c r="J262" s="102"/>
      <c r="K262" s="101"/>
      <c r="L262" s="101"/>
      <c r="M262" s="44"/>
      <c r="T262" s="49"/>
      <c r="U262" s="43"/>
    </row>
    <row r="263" spans="9:21" s="1" customFormat="1" x14ac:dyDescent="0.25">
      <c r="I263" s="44"/>
      <c r="J263" s="57"/>
      <c r="K263" s="44"/>
      <c r="L263" s="44"/>
      <c r="M263" s="44"/>
      <c r="T263" s="109"/>
      <c r="U263" s="43"/>
    </row>
    <row r="264" spans="9:21" s="1" customFormat="1" x14ac:dyDescent="0.25">
      <c r="I264" s="101"/>
      <c r="J264" s="102"/>
      <c r="K264" s="101"/>
      <c r="L264" s="101"/>
      <c r="M264" s="44"/>
      <c r="T264" s="49"/>
      <c r="U264" s="43"/>
    </row>
    <row r="265" spans="9:21" s="1" customFormat="1" x14ac:dyDescent="0.25">
      <c r="I265" s="44"/>
      <c r="J265" s="57"/>
      <c r="K265" s="44"/>
      <c r="L265" s="44"/>
      <c r="M265" s="44"/>
      <c r="T265" s="109"/>
      <c r="U265" s="43"/>
    </row>
    <row r="266" spans="9:21" s="1" customFormat="1" x14ac:dyDescent="0.25">
      <c r="I266" s="101"/>
      <c r="J266" s="102"/>
      <c r="K266" s="101"/>
      <c r="L266" s="101"/>
      <c r="M266" s="44"/>
      <c r="T266" s="49"/>
      <c r="U266" s="43"/>
    </row>
    <row r="267" spans="9:21" s="1" customFormat="1" x14ac:dyDescent="0.25">
      <c r="I267" s="44"/>
      <c r="J267" s="57"/>
      <c r="K267" s="44"/>
      <c r="L267" s="44"/>
      <c r="M267" s="44"/>
      <c r="T267" s="109"/>
      <c r="U267" s="43"/>
    </row>
    <row r="268" spans="9:21" s="1" customFormat="1" x14ac:dyDescent="0.25">
      <c r="I268" s="101"/>
      <c r="J268" s="102"/>
      <c r="K268" s="101"/>
      <c r="L268" s="101"/>
      <c r="M268" s="44"/>
      <c r="T268" s="49"/>
      <c r="U268" s="43"/>
    </row>
    <row r="269" spans="9:21" s="1" customFormat="1" x14ac:dyDescent="0.25">
      <c r="I269" s="44"/>
      <c r="J269" s="57"/>
      <c r="K269" s="44"/>
      <c r="L269" s="44"/>
      <c r="M269" s="44"/>
      <c r="T269" s="109"/>
      <c r="U269" s="43"/>
    </row>
    <row r="270" spans="9:21" s="1" customFormat="1" x14ac:dyDescent="0.25">
      <c r="I270" s="101"/>
      <c r="J270" s="102"/>
      <c r="K270" s="101"/>
      <c r="L270" s="101"/>
      <c r="M270" s="44"/>
      <c r="T270" s="49"/>
      <c r="U270" s="43"/>
    </row>
    <row r="271" spans="9:21" s="1" customFormat="1" x14ac:dyDescent="0.25">
      <c r="I271" s="44"/>
      <c r="J271" s="57"/>
      <c r="K271" s="44"/>
      <c r="L271" s="44"/>
      <c r="M271" s="44"/>
      <c r="T271" s="109"/>
      <c r="U271" s="43"/>
    </row>
    <row r="272" spans="9:21" s="1" customFormat="1" x14ac:dyDescent="0.25">
      <c r="I272" s="101"/>
      <c r="J272" s="102"/>
      <c r="K272" s="101"/>
      <c r="L272" s="101"/>
      <c r="M272" s="44"/>
      <c r="T272" s="46"/>
      <c r="U272" s="43"/>
    </row>
    <row r="273" spans="9:21" s="1" customFormat="1" x14ac:dyDescent="0.25">
      <c r="I273" s="44"/>
      <c r="J273" s="57"/>
      <c r="K273" s="44"/>
      <c r="L273" s="44"/>
      <c r="M273" s="44"/>
      <c r="T273" s="110"/>
      <c r="U273" s="43"/>
    </row>
    <row r="274" spans="9:21" s="1" customFormat="1" x14ac:dyDescent="0.25">
      <c r="I274" s="101"/>
      <c r="J274" s="102"/>
      <c r="K274" s="101"/>
      <c r="L274" s="101"/>
      <c r="M274" s="44"/>
      <c r="T274" s="47"/>
      <c r="U274" s="43"/>
    </row>
    <row r="275" spans="9:21" s="1" customFormat="1" x14ac:dyDescent="0.25">
      <c r="I275" s="44"/>
      <c r="J275" s="57"/>
      <c r="K275" s="44"/>
      <c r="L275" s="44"/>
      <c r="M275" s="44"/>
      <c r="T275" s="110"/>
      <c r="U275" s="43"/>
    </row>
    <row r="276" spans="9:21" s="1" customFormat="1" x14ac:dyDescent="0.25">
      <c r="I276" s="101"/>
      <c r="J276" s="102"/>
      <c r="K276" s="101"/>
      <c r="L276" s="101"/>
      <c r="M276" s="44"/>
      <c r="T276" s="47"/>
      <c r="U276" s="43"/>
    </row>
    <row r="277" spans="9:21" s="1" customFormat="1" x14ac:dyDescent="0.25">
      <c r="I277" s="44"/>
      <c r="J277" s="57"/>
      <c r="K277" s="44"/>
      <c r="L277" s="44"/>
      <c r="M277" s="44"/>
      <c r="T277" s="109"/>
      <c r="U277" s="43"/>
    </row>
    <row r="278" spans="9:21" s="1" customFormat="1" x14ac:dyDescent="0.25">
      <c r="I278" s="101"/>
      <c r="J278" s="102"/>
      <c r="K278" s="101"/>
      <c r="L278" s="101"/>
      <c r="M278" s="44"/>
      <c r="T278" s="49"/>
      <c r="U278" s="43"/>
    </row>
    <row r="279" spans="9:21" s="1" customFormat="1" x14ac:dyDescent="0.25">
      <c r="I279" s="44"/>
      <c r="J279" s="57"/>
      <c r="K279" s="44"/>
      <c r="L279" s="44"/>
      <c r="M279" s="44"/>
      <c r="T279" s="109"/>
      <c r="U279" s="43"/>
    </row>
    <row r="280" spans="9:21" s="1" customFormat="1" x14ac:dyDescent="0.25">
      <c r="I280" s="101"/>
      <c r="J280" s="102"/>
      <c r="K280" s="101"/>
      <c r="L280" s="101"/>
      <c r="M280" s="44"/>
      <c r="T280" s="49"/>
      <c r="U280" s="43"/>
    </row>
    <row r="281" spans="9:21" s="1" customFormat="1" x14ac:dyDescent="0.25">
      <c r="I281" s="44"/>
      <c r="J281" s="57"/>
      <c r="K281" s="44"/>
      <c r="L281" s="44"/>
      <c r="M281" s="44"/>
      <c r="T281" s="109"/>
      <c r="U281" s="43"/>
    </row>
    <row r="282" spans="9:21" s="1" customFormat="1" x14ac:dyDescent="0.25">
      <c r="I282" s="101"/>
      <c r="J282" s="102"/>
      <c r="K282" s="101"/>
      <c r="L282" s="101"/>
      <c r="M282" s="44"/>
      <c r="T282" s="49"/>
      <c r="U282" s="43"/>
    </row>
    <row r="283" spans="9:21" s="1" customFormat="1" x14ac:dyDescent="0.25">
      <c r="I283" s="44"/>
      <c r="J283" s="57"/>
      <c r="K283" s="44"/>
      <c r="L283" s="44"/>
      <c r="M283" s="44"/>
      <c r="T283" s="109"/>
      <c r="U283" s="43"/>
    </row>
    <row r="284" spans="9:21" s="1" customFormat="1" x14ac:dyDescent="0.25">
      <c r="I284" s="101"/>
      <c r="J284" s="102"/>
      <c r="K284" s="101"/>
      <c r="L284" s="101"/>
      <c r="M284" s="44"/>
      <c r="T284" s="49"/>
      <c r="U284" s="43"/>
    </row>
    <row r="285" spans="9:21" s="1" customFormat="1" x14ac:dyDescent="0.25">
      <c r="I285" s="44"/>
      <c r="J285" s="57"/>
      <c r="K285" s="44"/>
      <c r="L285" s="44"/>
      <c r="M285" s="44"/>
      <c r="T285" s="109"/>
      <c r="U285" s="43"/>
    </row>
    <row r="286" spans="9:21" s="1" customFormat="1" x14ac:dyDescent="0.25">
      <c r="I286" s="101"/>
      <c r="J286" s="102"/>
      <c r="K286" s="101"/>
      <c r="L286" s="101"/>
      <c r="M286" s="44"/>
      <c r="T286" s="49"/>
      <c r="U286" s="43"/>
    </row>
    <row r="287" spans="9:21" s="1" customFormat="1" x14ac:dyDescent="0.25">
      <c r="I287" s="44"/>
      <c r="J287" s="57"/>
      <c r="K287" s="44"/>
      <c r="L287" s="44"/>
      <c r="M287" s="44"/>
      <c r="T287" s="109"/>
      <c r="U287" s="43"/>
    </row>
    <row r="288" spans="9:21" s="1" customFormat="1" x14ac:dyDescent="0.25">
      <c r="I288" s="101"/>
      <c r="J288" s="102"/>
      <c r="K288" s="101"/>
      <c r="L288" s="101"/>
      <c r="M288" s="44"/>
      <c r="T288" s="46"/>
      <c r="U288" s="43"/>
    </row>
    <row r="289" spans="9:21" s="1" customFormat="1" x14ac:dyDescent="0.25">
      <c r="I289" s="44"/>
      <c r="J289" s="57"/>
      <c r="K289" s="44"/>
      <c r="L289" s="44"/>
      <c r="M289" s="44"/>
      <c r="T289" s="110"/>
      <c r="U289" s="43"/>
    </row>
    <row r="290" spans="9:21" s="1" customFormat="1" x14ac:dyDescent="0.25">
      <c r="I290" s="101"/>
      <c r="J290" s="102"/>
      <c r="K290" s="101"/>
      <c r="L290" s="101"/>
      <c r="M290" s="44"/>
      <c r="T290" s="47"/>
      <c r="U290" s="43"/>
    </row>
    <row r="291" spans="9:21" s="1" customFormat="1" x14ac:dyDescent="0.25">
      <c r="I291" s="44"/>
      <c r="J291" s="57"/>
      <c r="K291" s="44"/>
      <c r="L291" s="44"/>
      <c r="M291" s="44"/>
      <c r="T291" s="110"/>
      <c r="U291" s="43"/>
    </row>
    <row r="292" spans="9:21" s="1" customFormat="1" x14ac:dyDescent="0.25">
      <c r="I292" s="101"/>
      <c r="J292" s="102"/>
      <c r="K292" s="101"/>
      <c r="L292" s="101"/>
      <c r="M292" s="44"/>
      <c r="T292" s="47"/>
      <c r="U292" s="43"/>
    </row>
    <row r="293" spans="9:21" s="1" customFormat="1" x14ac:dyDescent="0.25">
      <c r="I293" s="44"/>
      <c r="J293" s="57"/>
      <c r="K293" s="44"/>
      <c r="L293" s="44"/>
      <c r="M293" s="44"/>
      <c r="T293" s="109"/>
      <c r="U293" s="43"/>
    </row>
    <row r="294" spans="9:21" s="1" customFormat="1" x14ac:dyDescent="0.25">
      <c r="I294" s="101"/>
      <c r="J294" s="102"/>
      <c r="K294" s="101"/>
      <c r="L294" s="101"/>
      <c r="M294" s="44"/>
      <c r="T294" s="49"/>
      <c r="U294" s="43"/>
    </row>
    <row r="295" spans="9:21" s="1" customFormat="1" x14ac:dyDescent="0.25">
      <c r="I295" s="44"/>
      <c r="J295" s="57"/>
      <c r="K295" s="44"/>
      <c r="L295" s="44"/>
      <c r="M295" s="44"/>
      <c r="T295" s="109"/>
      <c r="U295" s="43"/>
    </row>
    <row r="296" spans="9:21" s="1" customFormat="1" x14ac:dyDescent="0.25">
      <c r="I296" s="101"/>
      <c r="J296" s="102"/>
      <c r="K296" s="101"/>
      <c r="L296" s="101"/>
      <c r="M296" s="44"/>
      <c r="T296" s="49"/>
      <c r="U296" s="43"/>
    </row>
    <row r="297" spans="9:21" s="1" customFormat="1" x14ac:dyDescent="0.25">
      <c r="I297" s="44"/>
      <c r="J297" s="57"/>
      <c r="K297" s="44"/>
      <c r="L297" s="44"/>
      <c r="M297" s="44"/>
      <c r="T297" s="109"/>
      <c r="U297" s="43"/>
    </row>
    <row r="298" spans="9:21" s="1" customFormat="1" x14ac:dyDescent="0.25">
      <c r="I298" s="101"/>
      <c r="J298" s="102"/>
      <c r="K298" s="101"/>
      <c r="L298" s="101"/>
      <c r="M298" s="44"/>
      <c r="T298" s="49"/>
      <c r="U298" s="43"/>
    </row>
    <row r="299" spans="9:21" s="1" customFormat="1" x14ac:dyDescent="0.25">
      <c r="I299" s="44"/>
      <c r="J299" s="57"/>
      <c r="K299" s="44"/>
      <c r="L299" s="44"/>
      <c r="M299" s="44"/>
      <c r="T299" s="109"/>
      <c r="U299" s="43"/>
    </row>
    <row r="300" spans="9:21" s="1" customFormat="1" x14ac:dyDescent="0.25">
      <c r="I300" s="101"/>
      <c r="J300" s="102"/>
      <c r="K300" s="101"/>
      <c r="L300" s="101"/>
      <c r="M300" s="44"/>
      <c r="T300" s="49"/>
      <c r="U300" s="43"/>
    </row>
    <row r="301" spans="9:21" s="1" customFormat="1" x14ac:dyDescent="0.25">
      <c r="I301" s="44"/>
      <c r="J301" s="57"/>
      <c r="K301" s="44"/>
      <c r="L301" s="44"/>
      <c r="M301" s="44"/>
      <c r="T301" s="109"/>
      <c r="U301" s="43"/>
    </row>
    <row r="302" spans="9:21" s="1" customFormat="1" x14ac:dyDescent="0.25">
      <c r="I302" s="101"/>
      <c r="J302" s="102"/>
      <c r="K302" s="101"/>
      <c r="L302" s="101"/>
      <c r="M302" s="44"/>
      <c r="T302" s="49"/>
      <c r="U302" s="43"/>
    </row>
    <row r="303" spans="9:21" s="1" customFormat="1" x14ac:dyDescent="0.25">
      <c r="I303" s="44"/>
      <c r="J303" s="57"/>
      <c r="K303" s="44"/>
      <c r="L303" s="44"/>
      <c r="M303" s="44"/>
      <c r="T303" s="109"/>
      <c r="U303" s="43"/>
    </row>
    <row r="304" spans="9:21" s="1" customFormat="1" x14ac:dyDescent="0.25">
      <c r="I304" s="101"/>
      <c r="J304" s="102"/>
      <c r="K304" s="101"/>
      <c r="L304" s="101"/>
      <c r="M304" s="44"/>
      <c r="T304" s="46"/>
      <c r="U304" s="43"/>
    </row>
    <row r="305" spans="9:21" s="1" customFormat="1" x14ac:dyDescent="0.25">
      <c r="I305" s="44"/>
      <c r="J305" s="57"/>
      <c r="K305" s="44"/>
      <c r="L305" s="44"/>
      <c r="M305" s="44"/>
      <c r="T305" s="110"/>
      <c r="U305" s="43"/>
    </row>
    <row r="306" spans="9:21" s="1" customFormat="1" x14ac:dyDescent="0.25">
      <c r="I306" s="101"/>
      <c r="J306" s="102"/>
      <c r="K306" s="101"/>
      <c r="L306" s="101"/>
      <c r="M306" s="44"/>
      <c r="T306" s="47"/>
      <c r="U306" s="43"/>
    </row>
    <row r="307" spans="9:21" s="1" customFormat="1" x14ac:dyDescent="0.25">
      <c r="I307" s="44"/>
      <c r="J307" s="57"/>
      <c r="K307" s="44"/>
      <c r="L307" s="44"/>
      <c r="M307" s="44"/>
      <c r="T307" s="110"/>
      <c r="U307" s="43"/>
    </row>
    <row r="308" spans="9:21" s="1" customFormat="1" x14ac:dyDescent="0.25">
      <c r="I308" s="101"/>
      <c r="J308" s="102"/>
      <c r="K308" s="101"/>
      <c r="L308" s="101"/>
      <c r="M308" s="44"/>
      <c r="T308" s="47"/>
      <c r="U308" s="43"/>
    </row>
    <row r="309" spans="9:21" s="1" customFormat="1" x14ac:dyDescent="0.25">
      <c r="I309" s="44"/>
      <c r="J309" s="57"/>
      <c r="K309" s="44"/>
      <c r="L309" s="44"/>
      <c r="M309" s="44"/>
      <c r="T309" s="109"/>
      <c r="U309" s="43"/>
    </row>
    <row r="310" spans="9:21" s="1" customFormat="1" x14ac:dyDescent="0.25">
      <c r="I310" s="101"/>
      <c r="J310" s="102"/>
      <c r="K310" s="101"/>
      <c r="L310" s="101"/>
      <c r="M310" s="44"/>
      <c r="T310" s="49"/>
      <c r="U310" s="43"/>
    </row>
    <row r="311" spans="9:21" s="1" customFormat="1" x14ac:dyDescent="0.25">
      <c r="I311" s="44"/>
      <c r="J311" s="57"/>
      <c r="K311" s="44"/>
      <c r="L311" s="44"/>
      <c r="M311" s="44"/>
      <c r="T311" s="109"/>
      <c r="U311" s="43"/>
    </row>
    <row r="312" spans="9:21" s="1" customFormat="1" x14ac:dyDescent="0.25">
      <c r="I312" s="101"/>
      <c r="J312" s="102"/>
      <c r="K312" s="101"/>
      <c r="L312" s="101"/>
      <c r="M312" s="44"/>
      <c r="T312" s="49"/>
      <c r="U312" s="43"/>
    </row>
    <row r="313" spans="9:21" s="1" customFormat="1" x14ac:dyDescent="0.25">
      <c r="I313" s="44"/>
      <c r="J313" s="57"/>
      <c r="K313" s="44"/>
      <c r="L313" s="44"/>
      <c r="M313" s="44"/>
      <c r="T313" s="109"/>
      <c r="U313" s="43"/>
    </row>
    <row r="314" spans="9:21" s="1" customFormat="1" x14ac:dyDescent="0.25">
      <c r="I314" s="101"/>
      <c r="J314" s="102"/>
      <c r="K314" s="101"/>
      <c r="L314" s="101"/>
      <c r="M314" s="44"/>
      <c r="T314" s="49"/>
      <c r="U314" s="43"/>
    </row>
    <row r="315" spans="9:21" s="1" customFormat="1" x14ac:dyDescent="0.25">
      <c r="I315" s="44"/>
      <c r="J315" s="57"/>
      <c r="K315" s="44"/>
      <c r="L315" s="44"/>
      <c r="M315" s="44"/>
      <c r="T315" s="109"/>
      <c r="U315" s="43"/>
    </row>
    <row r="316" spans="9:21" s="1" customFormat="1" x14ac:dyDescent="0.25">
      <c r="I316" s="101"/>
      <c r="J316" s="102"/>
      <c r="K316" s="101"/>
      <c r="L316" s="101"/>
      <c r="M316" s="44"/>
      <c r="T316" s="49"/>
      <c r="U316" s="43"/>
    </row>
    <row r="317" spans="9:21" s="1" customFormat="1" x14ac:dyDescent="0.25">
      <c r="I317" s="44"/>
      <c r="J317" s="57"/>
      <c r="K317" s="44"/>
      <c r="L317" s="44"/>
      <c r="M317" s="44"/>
      <c r="T317" s="109"/>
      <c r="U317" s="43"/>
    </row>
    <row r="318" spans="9:21" s="1" customFormat="1" x14ac:dyDescent="0.25">
      <c r="I318" s="101"/>
      <c r="J318" s="102"/>
      <c r="K318" s="101"/>
      <c r="L318" s="101"/>
      <c r="M318" s="44"/>
      <c r="T318" s="49"/>
      <c r="U318" s="43"/>
    </row>
    <row r="319" spans="9:21" s="1" customFormat="1" x14ac:dyDescent="0.25">
      <c r="I319" s="44"/>
      <c r="J319" s="57"/>
      <c r="K319" s="44"/>
      <c r="L319" s="44"/>
      <c r="M319" s="44"/>
      <c r="T319" s="109"/>
      <c r="U319" s="43"/>
    </row>
    <row r="320" spans="9:21" s="1" customFormat="1" x14ac:dyDescent="0.25">
      <c r="I320" s="101"/>
      <c r="J320" s="102"/>
      <c r="K320" s="101"/>
      <c r="L320" s="101"/>
      <c r="M320" s="44"/>
      <c r="T320" s="46"/>
      <c r="U320" s="43"/>
    </row>
    <row r="321" spans="9:21" s="1" customFormat="1" x14ac:dyDescent="0.25">
      <c r="I321" s="44"/>
      <c r="J321" s="57"/>
      <c r="K321" s="44"/>
      <c r="L321" s="44"/>
      <c r="M321" s="44"/>
      <c r="T321" s="110"/>
      <c r="U321" s="43"/>
    </row>
    <row r="322" spans="9:21" s="1" customFormat="1" x14ac:dyDescent="0.25">
      <c r="I322" s="101"/>
      <c r="J322" s="102"/>
      <c r="K322" s="101"/>
      <c r="L322" s="101"/>
      <c r="M322" s="44"/>
      <c r="T322" s="47"/>
      <c r="U322" s="43"/>
    </row>
    <row r="323" spans="9:21" s="1" customFormat="1" x14ac:dyDescent="0.25">
      <c r="I323" s="44"/>
      <c r="J323" s="57"/>
      <c r="K323" s="44"/>
      <c r="L323" s="44"/>
      <c r="M323" s="44"/>
      <c r="T323" s="110"/>
      <c r="U323" s="43"/>
    </row>
    <row r="324" spans="9:21" s="1" customFormat="1" x14ac:dyDescent="0.25">
      <c r="I324" s="101"/>
      <c r="J324" s="102"/>
      <c r="K324" s="101"/>
      <c r="L324" s="101"/>
      <c r="M324" s="44"/>
      <c r="T324" s="47"/>
      <c r="U324" s="43"/>
    </row>
    <row r="325" spans="9:21" s="1" customFormat="1" x14ac:dyDescent="0.25">
      <c r="I325" s="44"/>
      <c r="J325" s="57"/>
      <c r="K325" s="44"/>
      <c r="L325" s="44"/>
      <c r="M325" s="44"/>
      <c r="T325" s="109"/>
      <c r="U325" s="43"/>
    </row>
    <row r="326" spans="9:21" s="1" customFormat="1" x14ac:dyDescent="0.25">
      <c r="I326" s="101"/>
      <c r="J326" s="102"/>
      <c r="K326" s="101"/>
      <c r="L326" s="101"/>
      <c r="M326" s="44"/>
      <c r="T326" s="49"/>
      <c r="U326" s="43"/>
    </row>
    <row r="327" spans="9:21" s="1" customFormat="1" x14ac:dyDescent="0.25">
      <c r="I327" s="44"/>
      <c r="J327" s="57"/>
      <c r="K327" s="44"/>
      <c r="L327" s="44"/>
      <c r="M327" s="44"/>
      <c r="T327" s="109"/>
      <c r="U327" s="43"/>
    </row>
    <row r="328" spans="9:21" s="1" customFormat="1" x14ac:dyDescent="0.25">
      <c r="I328" s="101"/>
      <c r="J328" s="102"/>
      <c r="K328" s="101"/>
      <c r="L328" s="101"/>
      <c r="M328" s="44"/>
      <c r="T328" s="49"/>
      <c r="U328" s="43"/>
    </row>
    <row r="329" spans="9:21" s="1" customFormat="1" x14ac:dyDescent="0.25">
      <c r="I329" s="44"/>
      <c r="J329" s="57"/>
      <c r="K329" s="44"/>
      <c r="L329" s="44"/>
      <c r="M329" s="44"/>
      <c r="T329" s="109"/>
      <c r="U329" s="43"/>
    </row>
    <row r="330" spans="9:21" s="1" customFormat="1" x14ac:dyDescent="0.25">
      <c r="I330" s="101"/>
      <c r="J330" s="102"/>
      <c r="K330" s="101"/>
      <c r="L330" s="101"/>
      <c r="M330" s="44"/>
      <c r="T330" s="49"/>
      <c r="U330" s="43"/>
    </row>
    <row r="331" spans="9:21" s="1" customFormat="1" x14ac:dyDescent="0.25">
      <c r="I331" s="44"/>
      <c r="J331" s="57"/>
      <c r="K331" s="44"/>
      <c r="L331" s="44"/>
      <c r="M331" s="44"/>
      <c r="T331" s="109"/>
      <c r="U331" s="43"/>
    </row>
    <row r="332" spans="9:21" s="1" customFormat="1" x14ac:dyDescent="0.25">
      <c r="I332" s="101"/>
      <c r="J332" s="102"/>
      <c r="K332" s="101"/>
      <c r="L332" s="101"/>
      <c r="M332" s="44"/>
      <c r="T332" s="49"/>
      <c r="U332" s="43"/>
    </row>
    <row r="333" spans="9:21" s="1" customFormat="1" x14ac:dyDescent="0.25">
      <c r="I333" s="44"/>
      <c r="J333" s="57"/>
      <c r="K333" s="44"/>
      <c r="L333" s="44"/>
      <c r="M333" s="44"/>
      <c r="T333" s="109"/>
      <c r="U333" s="43"/>
    </row>
    <row r="334" spans="9:21" s="1" customFormat="1" x14ac:dyDescent="0.25">
      <c r="I334" s="101"/>
      <c r="J334" s="102"/>
      <c r="K334" s="101"/>
      <c r="L334" s="101"/>
      <c r="M334" s="44"/>
      <c r="T334" s="49"/>
      <c r="U334" s="43"/>
    </row>
    <row r="335" spans="9:21" s="1" customFormat="1" x14ac:dyDescent="0.25">
      <c r="I335" s="44"/>
      <c r="J335" s="57"/>
      <c r="K335" s="44"/>
      <c r="L335" s="44"/>
      <c r="M335" s="44"/>
      <c r="T335" s="109"/>
      <c r="U335" s="43"/>
    </row>
    <row r="336" spans="9:21" s="1" customFormat="1" x14ac:dyDescent="0.25">
      <c r="I336" s="101"/>
      <c r="J336" s="102"/>
      <c r="K336" s="101"/>
      <c r="L336" s="101"/>
      <c r="M336" s="44"/>
      <c r="T336" s="46"/>
      <c r="U336" s="43"/>
    </row>
    <row r="337" spans="9:21" s="1" customFormat="1" x14ac:dyDescent="0.25">
      <c r="I337" s="44"/>
      <c r="J337" s="57"/>
      <c r="K337" s="44"/>
      <c r="L337" s="44"/>
      <c r="M337" s="44"/>
      <c r="T337" s="110"/>
      <c r="U337" s="43"/>
    </row>
    <row r="338" spans="9:21" s="1" customFormat="1" x14ac:dyDescent="0.25">
      <c r="I338" s="101"/>
      <c r="J338" s="102"/>
      <c r="K338" s="101"/>
      <c r="L338" s="101"/>
      <c r="M338" s="44"/>
      <c r="T338" s="47"/>
      <c r="U338" s="43"/>
    </row>
    <row r="339" spans="9:21" s="1" customFormat="1" x14ac:dyDescent="0.25">
      <c r="I339" s="44"/>
      <c r="J339" s="57"/>
      <c r="K339" s="44"/>
      <c r="L339" s="44"/>
      <c r="M339" s="44"/>
      <c r="T339" s="110"/>
      <c r="U339" s="43"/>
    </row>
    <row r="340" spans="9:21" s="1" customFormat="1" x14ac:dyDescent="0.25">
      <c r="I340" s="101"/>
      <c r="J340" s="102"/>
      <c r="K340" s="101"/>
      <c r="L340" s="101"/>
      <c r="M340" s="44"/>
      <c r="T340" s="47"/>
      <c r="U340" s="43"/>
    </row>
    <row r="341" spans="9:21" s="1" customFormat="1" x14ac:dyDescent="0.25">
      <c r="I341" s="44"/>
      <c r="J341" s="57"/>
      <c r="K341" s="44"/>
      <c r="L341" s="44"/>
      <c r="M341" s="44"/>
      <c r="T341" s="109"/>
      <c r="U341" s="43"/>
    </row>
    <row r="342" spans="9:21" s="1" customFormat="1" x14ac:dyDescent="0.25">
      <c r="I342" s="101"/>
      <c r="J342" s="102"/>
      <c r="K342" s="101"/>
      <c r="L342" s="101"/>
      <c r="M342" s="44"/>
      <c r="T342" s="49"/>
      <c r="U342" s="43"/>
    </row>
    <row r="343" spans="9:21" s="1" customFormat="1" x14ac:dyDescent="0.25">
      <c r="I343" s="44"/>
      <c r="J343" s="57"/>
      <c r="K343" s="44"/>
      <c r="L343" s="44"/>
      <c r="M343" s="44"/>
      <c r="T343" s="109"/>
      <c r="U343" s="43"/>
    </row>
    <row r="344" spans="9:21" s="1" customFormat="1" x14ac:dyDescent="0.25">
      <c r="I344" s="101"/>
      <c r="J344" s="102"/>
      <c r="K344" s="101"/>
      <c r="L344" s="101"/>
      <c r="M344" s="44"/>
      <c r="T344" s="49"/>
      <c r="U344" s="43"/>
    </row>
    <row r="345" spans="9:21" s="1" customFormat="1" x14ac:dyDescent="0.25">
      <c r="I345" s="44"/>
      <c r="J345" s="57"/>
      <c r="K345" s="44"/>
      <c r="L345" s="44"/>
      <c r="M345" s="44"/>
      <c r="T345" s="109"/>
      <c r="U345" s="43"/>
    </row>
    <row r="346" spans="9:21" s="1" customFormat="1" x14ac:dyDescent="0.25">
      <c r="I346" s="101"/>
      <c r="J346" s="102"/>
      <c r="K346" s="101"/>
      <c r="L346" s="101"/>
      <c r="M346" s="44"/>
      <c r="T346" s="49"/>
      <c r="U346" s="43"/>
    </row>
    <row r="347" spans="9:21" s="1" customFormat="1" x14ac:dyDescent="0.25">
      <c r="I347" s="44"/>
      <c r="J347" s="57"/>
      <c r="K347" s="44"/>
      <c r="L347" s="44"/>
      <c r="M347" s="44"/>
      <c r="T347" s="109"/>
      <c r="U347" s="43"/>
    </row>
    <row r="348" spans="9:21" s="1" customFormat="1" x14ac:dyDescent="0.25">
      <c r="I348" s="101"/>
      <c r="J348" s="102"/>
      <c r="K348" s="101"/>
      <c r="L348" s="101"/>
      <c r="M348" s="44"/>
      <c r="T348" s="49"/>
      <c r="U348" s="43"/>
    </row>
    <row r="349" spans="9:21" s="1" customFormat="1" x14ac:dyDescent="0.25">
      <c r="I349" s="44"/>
      <c r="J349" s="57"/>
      <c r="K349" s="44"/>
      <c r="L349" s="44"/>
      <c r="M349" s="44"/>
      <c r="T349" s="109"/>
      <c r="U349" s="43"/>
    </row>
    <row r="350" spans="9:21" s="1" customFormat="1" x14ac:dyDescent="0.25">
      <c r="I350" s="101"/>
      <c r="J350" s="102"/>
      <c r="K350" s="101"/>
      <c r="L350" s="101"/>
      <c r="M350" s="44"/>
      <c r="T350" s="49"/>
      <c r="U350" s="43"/>
    </row>
    <row r="351" spans="9:21" s="1" customFormat="1" x14ac:dyDescent="0.25">
      <c r="I351" s="44"/>
      <c r="J351" s="57"/>
      <c r="K351" s="44"/>
      <c r="L351" s="44"/>
      <c r="M351" s="44"/>
      <c r="T351" s="109"/>
      <c r="U351" s="43"/>
    </row>
    <row r="352" spans="9:21" s="1" customFormat="1" x14ac:dyDescent="0.25">
      <c r="I352" s="101"/>
      <c r="J352" s="102"/>
      <c r="K352" s="101"/>
      <c r="L352" s="101"/>
      <c r="M352" s="44"/>
      <c r="T352" s="46"/>
      <c r="U352" s="43"/>
    </row>
    <row r="353" spans="9:21" s="1" customFormat="1" x14ac:dyDescent="0.25">
      <c r="I353" s="44"/>
      <c r="J353" s="57"/>
      <c r="K353" s="44"/>
      <c r="L353" s="44"/>
      <c r="M353" s="44"/>
      <c r="T353" s="110"/>
      <c r="U353" s="43"/>
    </row>
    <row r="354" spans="9:21" s="1" customFormat="1" x14ac:dyDescent="0.25">
      <c r="I354" s="101"/>
      <c r="J354" s="102"/>
      <c r="K354" s="101"/>
      <c r="L354" s="101"/>
      <c r="M354" s="44"/>
      <c r="T354" s="47"/>
      <c r="U354" s="43"/>
    </row>
    <row r="355" spans="9:21" s="1" customFormat="1" x14ac:dyDescent="0.25">
      <c r="I355" s="44"/>
      <c r="J355" s="57"/>
      <c r="K355" s="44"/>
      <c r="L355" s="44"/>
      <c r="M355" s="44"/>
      <c r="T355" s="110"/>
      <c r="U355" s="43"/>
    </row>
    <row r="356" spans="9:21" s="1" customFormat="1" x14ac:dyDescent="0.25">
      <c r="I356" s="101"/>
      <c r="J356" s="102"/>
      <c r="K356" s="101"/>
      <c r="L356" s="101"/>
      <c r="M356" s="44"/>
      <c r="T356" s="47"/>
      <c r="U356" s="43"/>
    </row>
    <row r="357" spans="9:21" s="1" customFormat="1" x14ac:dyDescent="0.25">
      <c r="I357" s="44"/>
      <c r="J357" s="57"/>
      <c r="K357" s="44"/>
      <c r="L357" s="44"/>
      <c r="M357" s="44"/>
      <c r="T357" s="109"/>
      <c r="U357" s="43"/>
    </row>
    <row r="358" spans="9:21" s="1" customFormat="1" x14ac:dyDescent="0.25">
      <c r="I358" s="101"/>
      <c r="J358" s="102"/>
      <c r="K358" s="101"/>
      <c r="L358" s="101"/>
      <c r="M358" s="44"/>
      <c r="T358" s="49"/>
      <c r="U358" s="43"/>
    </row>
    <row r="359" spans="9:21" s="1" customFormat="1" x14ac:dyDescent="0.25">
      <c r="I359" s="44"/>
      <c r="J359" s="57"/>
      <c r="K359" s="44"/>
      <c r="L359" s="44"/>
      <c r="M359" s="44"/>
      <c r="T359" s="109"/>
      <c r="U359" s="43"/>
    </row>
    <row r="360" spans="9:21" s="1" customFormat="1" x14ac:dyDescent="0.25">
      <c r="I360" s="101"/>
      <c r="J360" s="102"/>
      <c r="K360" s="101"/>
      <c r="L360" s="101"/>
      <c r="M360" s="44"/>
      <c r="T360" s="49"/>
      <c r="U360" s="43"/>
    </row>
    <row r="361" spans="9:21" s="1" customFormat="1" x14ac:dyDescent="0.25">
      <c r="I361" s="44"/>
      <c r="J361" s="57"/>
      <c r="K361" s="44"/>
      <c r="L361" s="44"/>
      <c r="M361" s="44"/>
      <c r="T361" s="109"/>
      <c r="U361" s="43"/>
    </row>
    <row r="362" spans="9:21" s="1" customFormat="1" x14ac:dyDescent="0.25">
      <c r="I362" s="101"/>
      <c r="J362" s="102"/>
      <c r="K362" s="101"/>
      <c r="L362" s="101"/>
      <c r="M362" s="44"/>
      <c r="T362" s="49"/>
      <c r="U362" s="43"/>
    </row>
    <row r="363" spans="9:21" s="1" customFormat="1" x14ac:dyDescent="0.25">
      <c r="I363" s="44"/>
      <c r="J363" s="57"/>
      <c r="K363" s="44"/>
      <c r="L363" s="44"/>
      <c r="M363" s="44"/>
      <c r="T363" s="109"/>
      <c r="U363" s="43"/>
    </row>
    <row r="364" spans="9:21" s="1" customFormat="1" x14ac:dyDescent="0.25">
      <c r="I364" s="101"/>
      <c r="J364" s="102"/>
      <c r="K364" s="101"/>
      <c r="L364" s="101"/>
      <c r="M364" s="44"/>
      <c r="T364" s="49"/>
      <c r="U364" s="43"/>
    </row>
    <row r="365" spans="9:21" s="1" customFormat="1" x14ac:dyDescent="0.25">
      <c r="I365" s="44"/>
      <c r="J365" s="57"/>
      <c r="K365" s="44"/>
      <c r="L365" s="44"/>
      <c r="M365" s="44"/>
      <c r="T365" s="109"/>
      <c r="U365" s="43"/>
    </row>
    <row r="366" spans="9:21" s="1" customFormat="1" x14ac:dyDescent="0.25">
      <c r="I366" s="101"/>
      <c r="J366" s="102"/>
      <c r="K366" s="101"/>
      <c r="L366" s="101"/>
      <c r="M366" s="44"/>
      <c r="T366" s="49"/>
      <c r="U366" s="43"/>
    </row>
    <row r="367" spans="9:21" s="1" customFormat="1" x14ac:dyDescent="0.25">
      <c r="I367" s="44"/>
      <c r="J367" s="57"/>
      <c r="K367" s="44"/>
      <c r="L367" s="44"/>
      <c r="M367" s="44"/>
      <c r="T367" s="109"/>
      <c r="U367" s="43"/>
    </row>
    <row r="368" spans="9:21" s="1" customFormat="1" x14ac:dyDescent="0.25">
      <c r="I368" s="101"/>
      <c r="J368" s="102"/>
      <c r="K368" s="101"/>
      <c r="L368" s="101"/>
      <c r="M368" s="44"/>
      <c r="T368" s="46"/>
      <c r="U368" s="43"/>
    </row>
    <row r="369" spans="9:21" s="1" customFormat="1" x14ac:dyDescent="0.25">
      <c r="I369" s="44"/>
      <c r="J369" s="57"/>
      <c r="K369" s="44"/>
      <c r="L369" s="44"/>
      <c r="M369" s="44"/>
      <c r="T369" s="110"/>
      <c r="U369" s="43"/>
    </row>
    <row r="370" spans="9:21" s="1" customFormat="1" x14ac:dyDescent="0.25">
      <c r="I370" s="101"/>
      <c r="J370" s="102"/>
      <c r="K370" s="101"/>
      <c r="L370" s="101"/>
      <c r="M370" s="44"/>
      <c r="T370" s="47"/>
      <c r="U370" s="43"/>
    </row>
    <row r="371" spans="9:21" s="1" customFormat="1" x14ac:dyDescent="0.25">
      <c r="I371" s="44"/>
      <c r="J371" s="57"/>
      <c r="K371" s="44"/>
      <c r="L371" s="44"/>
      <c r="M371" s="44"/>
      <c r="T371" s="110"/>
      <c r="U371" s="43"/>
    </row>
    <row r="372" spans="9:21" s="1" customFormat="1" x14ac:dyDescent="0.25">
      <c r="I372" s="101"/>
      <c r="J372" s="102"/>
      <c r="K372" s="101"/>
      <c r="L372" s="101"/>
      <c r="M372" s="44"/>
      <c r="T372" s="47"/>
      <c r="U372" s="43"/>
    </row>
    <row r="373" spans="9:21" s="1" customFormat="1" x14ac:dyDescent="0.25">
      <c r="I373" s="44"/>
      <c r="J373" s="57"/>
      <c r="K373" s="44"/>
      <c r="L373" s="44"/>
      <c r="M373" s="44"/>
      <c r="T373" s="109"/>
      <c r="U373" s="43"/>
    </row>
    <row r="374" spans="9:21" s="1" customFormat="1" x14ac:dyDescent="0.25">
      <c r="I374" s="101"/>
      <c r="J374" s="102"/>
      <c r="K374" s="101"/>
      <c r="L374" s="101"/>
      <c r="M374" s="44"/>
      <c r="T374" s="49"/>
      <c r="U374" s="43"/>
    </row>
    <row r="375" spans="9:21" s="1" customFormat="1" x14ac:dyDescent="0.25">
      <c r="I375" s="44"/>
      <c r="J375" s="57"/>
      <c r="K375" s="44"/>
      <c r="L375" s="44"/>
      <c r="M375" s="44"/>
      <c r="T375" s="109"/>
      <c r="U375" s="43"/>
    </row>
    <row r="376" spans="9:21" s="1" customFormat="1" x14ac:dyDescent="0.25">
      <c r="I376" s="101"/>
      <c r="J376" s="102"/>
      <c r="K376" s="101"/>
      <c r="L376" s="101"/>
      <c r="M376" s="44"/>
      <c r="T376" s="49"/>
      <c r="U376" s="43"/>
    </row>
    <row r="377" spans="9:21" s="1" customFormat="1" x14ac:dyDescent="0.25">
      <c r="I377" s="44"/>
      <c r="J377" s="57"/>
      <c r="K377" s="44"/>
      <c r="L377" s="44"/>
      <c r="M377" s="44"/>
      <c r="T377" s="109"/>
      <c r="U377" s="43"/>
    </row>
    <row r="378" spans="9:21" s="1" customFormat="1" x14ac:dyDescent="0.25">
      <c r="I378" s="101"/>
      <c r="J378" s="102"/>
      <c r="K378" s="101"/>
      <c r="L378" s="101"/>
      <c r="M378" s="44"/>
      <c r="T378" s="49"/>
      <c r="U378" s="43"/>
    </row>
    <row r="379" spans="9:21" s="1" customFormat="1" x14ac:dyDescent="0.25">
      <c r="I379" s="44"/>
      <c r="J379" s="57"/>
      <c r="K379" s="44"/>
      <c r="L379" s="44"/>
      <c r="M379" s="44"/>
      <c r="T379" s="109"/>
      <c r="U379" s="43"/>
    </row>
    <row r="380" spans="9:21" s="1" customFormat="1" x14ac:dyDescent="0.25">
      <c r="I380" s="101"/>
      <c r="J380" s="102"/>
      <c r="K380" s="101"/>
      <c r="L380" s="101"/>
      <c r="M380" s="44"/>
      <c r="T380" s="49"/>
      <c r="U380" s="43"/>
    </row>
    <row r="381" spans="9:21" s="1" customFormat="1" x14ac:dyDescent="0.25">
      <c r="I381" s="44"/>
      <c r="J381" s="57"/>
      <c r="K381" s="44"/>
      <c r="L381" s="44"/>
      <c r="M381" s="44"/>
      <c r="T381" s="109"/>
      <c r="U381" s="43"/>
    </row>
    <row r="382" spans="9:21" s="1" customFormat="1" x14ac:dyDescent="0.25">
      <c r="I382" s="101"/>
      <c r="J382" s="102"/>
      <c r="K382" s="101"/>
      <c r="L382" s="101"/>
      <c r="M382" s="44"/>
      <c r="T382" s="49"/>
      <c r="U382" s="43"/>
    </row>
    <row r="383" spans="9:21" s="1" customFormat="1" x14ac:dyDescent="0.25">
      <c r="I383" s="44"/>
      <c r="J383" s="57"/>
      <c r="K383" s="44"/>
      <c r="L383" s="44"/>
      <c r="M383" s="44"/>
      <c r="T383" s="109"/>
      <c r="U383" s="43"/>
    </row>
    <row r="384" spans="9:21" s="1" customFormat="1" x14ac:dyDescent="0.25">
      <c r="I384" s="101"/>
      <c r="J384" s="102"/>
      <c r="K384" s="101"/>
      <c r="L384" s="101"/>
      <c r="M384" s="44"/>
      <c r="T384" s="46"/>
      <c r="U384" s="43"/>
    </row>
    <row r="385" spans="9:21" s="1" customFormat="1" x14ac:dyDescent="0.25">
      <c r="I385" s="44"/>
      <c r="J385" s="57"/>
      <c r="K385" s="44"/>
      <c r="L385" s="44"/>
      <c r="M385" s="44"/>
      <c r="T385" s="110"/>
      <c r="U385" s="43"/>
    </row>
    <row r="386" spans="9:21" s="1" customFormat="1" x14ac:dyDescent="0.25">
      <c r="I386" s="101"/>
      <c r="J386" s="102"/>
      <c r="K386" s="101"/>
      <c r="L386" s="101"/>
      <c r="M386" s="44"/>
      <c r="T386" s="47"/>
      <c r="U386" s="43"/>
    </row>
    <row r="387" spans="9:21" s="1" customFormat="1" x14ac:dyDescent="0.25">
      <c r="I387" s="44"/>
      <c r="J387" s="57"/>
      <c r="K387" s="44"/>
      <c r="L387" s="44"/>
      <c r="M387" s="44"/>
      <c r="T387" s="110"/>
      <c r="U387" s="43"/>
    </row>
    <row r="388" spans="9:21" s="1" customFormat="1" x14ac:dyDescent="0.25">
      <c r="I388" s="101"/>
      <c r="J388" s="102"/>
      <c r="K388" s="101"/>
      <c r="L388" s="101"/>
      <c r="M388" s="44"/>
      <c r="T388" s="47"/>
      <c r="U388" s="43"/>
    </row>
    <row r="389" spans="9:21" s="1" customFormat="1" x14ac:dyDescent="0.25">
      <c r="I389" s="44"/>
      <c r="J389" s="57"/>
      <c r="K389" s="44"/>
      <c r="L389" s="44"/>
      <c r="M389" s="44"/>
      <c r="T389" s="109"/>
      <c r="U389" s="43"/>
    </row>
    <row r="390" spans="9:21" s="1" customFormat="1" x14ac:dyDescent="0.25">
      <c r="I390" s="101"/>
      <c r="J390" s="102"/>
      <c r="K390" s="101"/>
      <c r="L390" s="101"/>
      <c r="M390" s="44"/>
      <c r="T390" s="49"/>
      <c r="U390" s="43"/>
    </row>
    <row r="391" spans="9:21" s="1" customFormat="1" x14ac:dyDescent="0.25">
      <c r="I391" s="44"/>
      <c r="J391" s="57"/>
      <c r="K391" s="44"/>
      <c r="L391" s="44"/>
      <c r="M391" s="44"/>
      <c r="T391" s="109"/>
      <c r="U391" s="43"/>
    </row>
    <row r="392" spans="9:21" s="1" customFormat="1" x14ac:dyDescent="0.25">
      <c r="I392" s="101"/>
      <c r="J392" s="102"/>
      <c r="K392" s="101"/>
      <c r="L392" s="101"/>
      <c r="M392" s="44"/>
      <c r="T392" s="49"/>
      <c r="U392" s="43"/>
    </row>
    <row r="393" spans="9:21" s="1" customFormat="1" x14ac:dyDescent="0.25">
      <c r="I393" s="44"/>
      <c r="J393" s="57"/>
      <c r="K393" s="44"/>
      <c r="L393" s="44"/>
      <c r="M393" s="44"/>
      <c r="T393" s="109"/>
      <c r="U393" s="43"/>
    </row>
    <row r="394" spans="9:21" s="1" customFormat="1" x14ac:dyDescent="0.25">
      <c r="I394" s="101"/>
      <c r="J394" s="102"/>
      <c r="K394" s="101"/>
      <c r="L394" s="101"/>
      <c r="M394" s="44"/>
      <c r="T394" s="49"/>
      <c r="U394" s="43"/>
    </row>
    <row r="395" spans="9:21" s="1" customFormat="1" x14ac:dyDescent="0.25">
      <c r="I395" s="44"/>
      <c r="J395" s="57"/>
      <c r="K395" s="44"/>
      <c r="L395" s="44"/>
      <c r="M395" s="44"/>
      <c r="T395" s="109"/>
      <c r="U395" s="43"/>
    </row>
    <row r="396" spans="9:21" s="1" customFormat="1" x14ac:dyDescent="0.25">
      <c r="I396" s="101"/>
      <c r="J396" s="102"/>
      <c r="K396" s="101"/>
      <c r="L396" s="101"/>
      <c r="M396" s="44"/>
      <c r="T396" s="49"/>
      <c r="U396" s="43"/>
    </row>
    <row r="397" spans="9:21" s="1" customFormat="1" x14ac:dyDescent="0.25">
      <c r="I397" s="44"/>
      <c r="J397" s="57"/>
      <c r="K397" s="44"/>
      <c r="L397" s="44"/>
      <c r="M397" s="44"/>
      <c r="T397" s="109"/>
      <c r="U397" s="43"/>
    </row>
    <row r="398" spans="9:21" s="1" customFormat="1" x14ac:dyDescent="0.25">
      <c r="I398" s="101"/>
      <c r="J398" s="102"/>
      <c r="K398" s="101"/>
      <c r="L398" s="101"/>
      <c r="M398" s="44"/>
      <c r="T398" s="49"/>
      <c r="U398" s="43"/>
    </row>
    <row r="399" spans="9:21" s="1" customFormat="1" x14ac:dyDescent="0.25">
      <c r="I399" s="44"/>
      <c r="J399" s="57"/>
      <c r="K399" s="44"/>
      <c r="L399" s="44"/>
      <c r="M399" s="44"/>
      <c r="T399" s="109"/>
      <c r="U399" s="43"/>
    </row>
    <row r="400" spans="9:21" s="1" customFormat="1" x14ac:dyDescent="0.25">
      <c r="I400" s="101"/>
      <c r="J400" s="102"/>
      <c r="K400" s="101"/>
      <c r="L400" s="101"/>
      <c r="M400" s="44"/>
      <c r="T400" s="46"/>
      <c r="U400" s="43"/>
    </row>
    <row r="401" spans="9:21" s="1" customFormat="1" x14ac:dyDescent="0.25">
      <c r="I401" s="44"/>
      <c r="J401" s="57"/>
      <c r="K401" s="44"/>
      <c r="L401" s="44"/>
      <c r="M401" s="44"/>
      <c r="T401" s="110"/>
      <c r="U401" s="43"/>
    </row>
    <row r="402" spans="9:21" s="1" customFormat="1" x14ac:dyDescent="0.25">
      <c r="I402" s="101"/>
      <c r="J402" s="102"/>
      <c r="K402" s="101"/>
      <c r="L402" s="101"/>
      <c r="M402" s="44"/>
      <c r="T402" s="47"/>
      <c r="U402" s="43"/>
    </row>
    <row r="403" spans="9:21" s="1" customFormat="1" x14ac:dyDescent="0.25">
      <c r="I403" s="44"/>
      <c r="J403" s="57"/>
      <c r="K403" s="44"/>
      <c r="L403" s="44"/>
      <c r="M403" s="44"/>
      <c r="T403" s="110"/>
      <c r="U403" s="43"/>
    </row>
    <row r="404" spans="9:21" s="1" customFormat="1" x14ac:dyDescent="0.25">
      <c r="I404" s="101"/>
      <c r="J404" s="102"/>
      <c r="K404" s="101"/>
      <c r="L404" s="101"/>
      <c r="M404" s="44"/>
      <c r="T404" s="47"/>
      <c r="U404" s="43"/>
    </row>
    <row r="405" spans="9:21" s="1" customFormat="1" x14ac:dyDescent="0.25">
      <c r="I405" s="44"/>
      <c r="J405" s="57"/>
      <c r="K405" s="44"/>
      <c r="L405" s="44"/>
      <c r="M405" s="44"/>
      <c r="T405" s="109"/>
      <c r="U405" s="43"/>
    </row>
    <row r="406" spans="9:21" s="1" customFormat="1" x14ac:dyDescent="0.25">
      <c r="I406" s="101"/>
      <c r="J406" s="102"/>
      <c r="K406" s="101"/>
      <c r="L406" s="101"/>
      <c r="M406" s="44"/>
      <c r="T406" s="49"/>
      <c r="U406" s="43"/>
    </row>
    <row r="407" spans="9:21" s="1" customFormat="1" x14ac:dyDescent="0.25">
      <c r="I407" s="44"/>
      <c r="J407" s="57"/>
      <c r="K407" s="44"/>
      <c r="L407" s="44"/>
      <c r="M407" s="44"/>
      <c r="T407" s="109"/>
      <c r="U407" s="43"/>
    </row>
    <row r="408" spans="9:21" s="1" customFormat="1" x14ac:dyDescent="0.25">
      <c r="I408" s="101"/>
      <c r="J408" s="102"/>
      <c r="K408" s="101"/>
      <c r="L408" s="101"/>
      <c r="M408" s="44"/>
      <c r="T408" s="49"/>
      <c r="U408" s="43"/>
    </row>
    <row r="409" spans="9:21" s="1" customFormat="1" x14ac:dyDescent="0.25">
      <c r="I409" s="44"/>
      <c r="J409" s="57"/>
      <c r="K409" s="44"/>
      <c r="L409" s="44"/>
      <c r="M409" s="44"/>
      <c r="T409" s="109"/>
      <c r="U409" s="43"/>
    </row>
    <row r="410" spans="9:21" s="1" customFormat="1" x14ac:dyDescent="0.25">
      <c r="I410" s="101"/>
      <c r="J410" s="102"/>
      <c r="K410" s="101"/>
      <c r="L410" s="101"/>
      <c r="M410" s="44"/>
      <c r="T410" s="49"/>
      <c r="U410" s="43"/>
    </row>
    <row r="411" spans="9:21" s="1" customFormat="1" x14ac:dyDescent="0.25">
      <c r="I411" s="44"/>
      <c r="J411" s="57"/>
      <c r="K411" s="44"/>
      <c r="L411" s="44"/>
      <c r="M411" s="44"/>
      <c r="T411" s="109"/>
      <c r="U411" s="43"/>
    </row>
    <row r="412" spans="9:21" s="1" customFormat="1" x14ac:dyDescent="0.25">
      <c r="I412" s="101"/>
      <c r="J412" s="102"/>
      <c r="K412" s="101"/>
      <c r="L412" s="101"/>
      <c r="M412" s="44"/>
      <c r="T412" s="49"/>
      <c r="U412" s="43"/>
    </row>
    <row r="413" spans="9:21" s="1" customFormat="1" x14ac:dyDescent="0.25">
      <c r="I413" s="44"/>
      <c r="J413" s="57"/>
      <c r="K413" s="44"/>
      <c r="L413" s="44"/>
      <c r="M413" s="44"/>
      <c r="T413" s="109"/>
      <c r="U413" s="43"/>
    </row>
    <row r="414" spans="9:21" s="1" customFormat="1" x14ac:dyDescent="0.25">
      <c r="I414" s="101"/>
      <c r="J414" s="102"/>
      <c r="K414" s="101"/>
      <c r="L414" s="101"/>
      <c r="M414" s="44"/>
      <c r="T414" s="49"/>
      <c r="U414" s="43"/>
    </row>
    <row r="415" spans="9:21" s="1" customFormat="1" x14ac:dyDescent="0.25">
      <c r="I415" s="44"/>
      <c r="J415" s="57"/>
      <c r="K415" s="44"/>
      <c r="L415" s="44"/>
      <c r="M415" s="44"/>
      <c r="T415" s="109"/>
      <c r="U415" s="43"/>
    </row>
    <row r="416" spans="9:21" s="1" customFormat="1" x14ac:dyDescent="0.25">
      <c r="I416" s="101"/>
      <c r="J416" s="102"/>
      <c r="K416" s="101"/>
      <c r="L416" s="101"/>
      <c r="M416" s="44"/>
      <c r="T416" s="46"/>
      <c r="U416" s="43"/>
    </row>
    <row r="417" spans="9:21" s="1" customFormat="1" x14ac:dyDescent="0.25">
      <c r="I417" s="44"/>
      <c r="J417" s="57"/>
      <c r="K417" s="44"/>
      <c r="L417" s="44"/>
      <c r="M417" s="44"/>
      <c r="T417" s="110"/>
      <c r="U417" s="43"/>
    </row>
    <row r="418" spans="9:21" s="1" customFormat="1" x14ac:dyDescent="0.25">
      <c r="I418" s="101"/>
      <c r="J418" s="102"/>
      <c r="K418" s="101"/>
      <c r="L418" s="101"/>
      <c r="M418" s="44"/>
      <c r="T418" s="47"/>
      <c r="U418" s="43"/>
    </row>
    <row r="419" spans="9:21" s="1" customFormat="1" x14ac:dyDescent="0.25">
      <c r="I419" s="44"/>
      <c r="J419" s="57"/>
      <c r="K419" s="44"/>
      <c r="L419" s="44"/>
      <c r="M419" s="44"/>
      <c r="T419" s="110"/>
      <c r="U419" s="43"/>
    </row>
    <row r="420" spans="9:21" s="1" customFormat="1" x14ac:dyDescent="0.25">
      <c r="I420" s="101"/>
      <c r="J420" s="102"/>
      <c r="K420" s="101"/>
      <c r="L420" s="101"/>
      <c r="M420" s="44"/>
      <c r="T420" s="47"/>
      <c r="U420" s="43"/>
    </row>
    <row r="421" spans="9:21" s="1" customFormat="1" x14ac:dyDescent="0.25">
      <c r="I421" s="44"/>
      <c r="J421" s="57"/>
      <c r="K421" s="44"/>
      <c r="L421" s="44"/>
      <c r="M421" s="44"/>
      <c r="T421" s="109"/>
      <c r="U421" s="43"/>
    </row>
    <row r="422" spans="9:21" s="1" customFormat="1" x14ac:dyDescent="0.25">
      <c r="I422" s="101"/>
      <c r="J422" s="102"/>
      <c r="K422" s="101"/>
      <c r="L422" s="101"/>
      <c r="M422" s="44"/>
      <c r="T422" s="49"/>
      <c r="U422" s="43"/>
    </row>
    <row r="423" spans="9:21" s="1" customFormat="1" x14ac:dyDescent="0.25">
      <c r="I423" s="44"/>
      <c r="J423" s="57"/>
      <c r="K423" s="44"/>
      <c r="L423" s="44"/>
      <c r="M423" s="44"/>
      <c r="T423" s="109"/>
      <c r="U423" s="43"/>
    </row>
    <row r="424" spans="9:21" s="1" customFormat="1" x14ac:dyDescent="0.25">
      <c r="I424" s="101"/>
      <c r="J424" s="102"/>
      <c r="K424" s="101"/>
      <c r="L424" s="101"/>
      <c r="M424" s="44"/>
      <c r="T424" s="49"/>
      <c r="U424" s="43"/>
    </row>
    <row r="425" spans="9:21" s="1" customFormat="1" x14ac:dyDescent="0.25">
      <c r="I425" s="44"/>
      <c r="J425" s="57"/>
      <c r="K425" s="44"/>
      <c r="L425" s="44"/>
      <c r="M425" s="44"/>
      <c r="T425" s="109"/>
      <c r="U425" s="43"/>
    </row>
    <row r="426" spans="9:21" s="1" customFormat="1" x14ac:dyDescent="0.25">
      <c r="I426" s="101"/>
      <c r="J426" s="102"/>
      <c r="K426" s="101"/>
      <c r="L426" s="101"/>
      <c r="M426" s="44"/>
      <c r="T426" s="49"/>
      <c r="U426" s="43"/>
    </row>
    <row r="427" spans="9:21" s="1" customFormat="1" x14ac:dyDescent="0.25">
      <c r="I427" s="44"/>
      <c r="J427" s="57"/>
      <c r="K427" s="44"/>
      <c r="L427" s="44"/>
      <c r="M427" s="44"/>
      <c r="T427" s="109"/>
      <c r="U427" s="43"/>
    </row>
    <row r="428" spans="9:21" s="1" customFormat="1" x14ac:dyDescent="0.25">
      <c r="I428" s="101"/>
      <c r="J428" s="102"/>
      <c r="K428" s="101"/>
      <c r="L428" s="101"/>
      <c r="M428" s="44"/>
      <c r="T428" s="49"/>
      <c r="U428" s="43"/>
    </row>
    <row r="429" spans="9:21" s="1" customFormat="1" x14ac:dyDescent="0.25">
      <c r="I429" s="44"/>
      <c r="J429" s="57"/>
      <c r="K429" s="44"/>
      <c r="L429" s="44"/>
      <c r="M429" s="44"/>
      <c r="T429" s="109"/>
      <c r="U429" s="43"/>
    </row>
    <row r="430" spans="9:21" s="1" customFormat="1" x14ac:dyDescent="0.25">
      <c r="I430" s="101"/>
      <c r="J430" s="102"/>
      <c r="K430" s="101"/>
      <c r="L430" s="101"/>
      <c r="M430" s="44"/>
      <c r="T430" s="49"/>
      <c r="U430" s="43"/>
    </row>
    <row r="431" spans="9:21" s="1" customFormat="1" x14ac:dyDescent="0.25">
      <c r="I431" s="44"/>
      <c r="J431" s="57"/>
      <c r="K431" s="44"/>
      <c r="L431" s="44"/>
      <c r="M431" s="44"/>
      <c r="T431" s="109"/>
      <c r="U431" s="43"/>
    </row>
    <row r="432" spans="9:21" s="1" customFormat="1" x14ac:dyDescent="0.25">
      <c r="I432" s="101"/>
      <c r="J432" s="102"/>
      <c r="K432" s="101"/>
      <c r="L432" s="101"/>
      <c r="M432" s="44"/>
      <c r="T432" s="46"/>
      <c r="U432" s="43"/>
    </row>
    <row r="433" spans="9:21" s="1" customFormat="1" x14ac:dyDescent="0.25">
      <c r="I433" s="44"/>
      <c r="J433" s="57"/>
      <c r="K433" s="44"/>
      <c r="L433" s="44"/>
      <c r="M433" s="44"/>
      <c r="T433" s="110"/>
      <c r="U433" s="43"/>
    </row>
    <row r="434" spans="9:21" s="1" customFormat="1" x14ac:dyDescent="0.25">
      <c r="I434" s="101"/>
      <c r="J434" s="102"/>
      <c r="K434" s="101"/>
      <c r="L434" s="101"/>
      <c r="M434" s="44"/>
      <c r="T434" s="47"/>
      <c r="U434" s="43"/>
    </row>
    <row r="435" spans="9:21" s="1" customFormat="1" x14ac:dyDescent="0.25">
      <c r="I435" s="44"/>
      <c r="J435" s="57"/>
      <c r="K435" s="44"/>
      <c r="L435" s="44"/>
      <c r="M435" s="44"/>
      <c r="T435" s="110"/>
      <c r="U435" s="43"/>
    </row>
    <row r="436" spans="9:21" s="1" customFormat="1" x14ac:dyDescent="0.25">
      <c r="I436" s="101"/>
      <c r="J436" s="102"/>
      <c r="K436" s="101"/>
      <c r="L436" s="101"/>
      <c r="M436" s="44"/>
      <c r="T436" s="47"/>
      <c r="U436" s="43"/>
    </row>
    <row r="437" spans="9:21" s="1" customFormat="1" x14ac:dyDescent="0.25">
      <c r="I437" s="44"/>
      <c r="J437" s="57"/>
      <c r="K437" s="44"/>
      <c r="L437" s="44"/>
      <c r="M437" s="44"/>
      <c r="T437" s="109"/>
      <c r="U437" s="43"/>
    </row>
    <row r="438" spans="9:21" s="1" customFormat="1" x14ac:dyDescent="0.25">
      <c r="I438" s="101"/>
      <c r="J438" s="102"/>
      <c r="K438" s="101"/>
      <c r="L438" s="101"/>
      <c r="M438" s="44"/>
      <c r="T438" s="49"/>
      <c r="U438" s="43"/>
    </row>
    <row r="439" spans="9:21" s="1" customFormat="1" x14ac:dyDescent="0.25">
      <c r="I439" s="44"/>
      <c r="J439" s="57"/>
      <c r="K439" s="44"/>
      <c r="L439" s="44"/>
      <c r="M439" s="44"/>
      <c r="T439" s="109"/>
      <c r="U439" s="43"/>
    </row>
    <row r="440" spans="9:21" s="1" customFormat="1" x14ac:dyDescent="0.25">
      <c r="I440" s="101"/>
      <c r="J440" s="102"/>
      <c r="K440" s="101"/>
      <c r="L440" s="101"/>
      <c r="M440" s="44"/>
      <c r="T440" s="49"/>
      <c r="U440" s="43"/>
    </row>
    <row r="441" spans="9:21" s="1" customFormat="1" x14ac:dyDescent="0.25">
      <c r="I441" s="44"/>
      <c r="J441" s="57"/>
      <c r="K441" s="44"/>
      <c r="L441" s="44"/>
      <c r="M441" s="44"/>
      <c r="T441" s="109"/>
      <c r="U441" s="43"/>
    </row>
    <row r="442" spans="9:21" s="1" customFormat="1" x14ac:dyDescent="0.25">
      <c r="I442" s="101"/>
      <c r="J442" s="102"/>
      <c r="K442" s="101"/>
      <c r="L442" s="101"/>
      <c r="M442" s="44"/>
      <c r="T442" s="49"/>
      <c r="U442" s="43"/>
    </row>
    <row r="443" spans="9:21" s="1" customFormat="1" x14ac:dyDescent="0.25">
      <c r="I443" s="44"/>
      <c r="J443" s="57"/>
      <c r="K443" s="44"/>
      <c r="L443" s="44"/>
      <c r="M443" s="44"/>
      <c r="T443" s="109"/>
      <c r="U443" s="43"/>
    </row>
    <row r="444" spans="9:21" s="1" customFormat="1" x14ac:dyDescent="0.25">
      <c r="I444" s="101"/>
      <c r="J444" s="102"/>
      <c r="K444" s="101"/>
      <c r="L444" s="101"/>
      <c r="M444" s="44"/>
      <c r="T444" s="49"/>
      <c r="U444" s="43"/>
    </row>
    <row r="445" spans="9:21" s="1" customFormat="1" x14ac:dyDescent="0.25">
      <c r="I445" s="44"/>
      <c r="J445" s="57"/>
      <c r="K445" s="44"/>
      <c r="L445" s="44"/>
      <c r="M445" s="44"/>
      <c r="T445" s="109"/>
      <c r="U445" s="43"/>
    </row>
    <row r="446" spans="9:21" s="1" customFormat="1" x14ac:dyDescent="0.25">
      <c r="I446" s="101"/>
      <c r="J446" s="102"/>
      <c r="K446" s="101"/>
      <c r="L446" s="101"/>
      <c r="M446" s="44"/>
      <c r="T446" s="49"/>
      <c r="U446" s="43"/>
    </row>
    <row r="447" spans="9:21" s="1" customFormat="1" x14ac:dyDescent="0.25">
      <c r="I447" s="44"/>
      <c r="J447" s="57"/>
      <c r="K447" s="44"/>
      <c r="L447" s="44"/>
      <c r="M447" s="44"/>
      <c r="T447" s="109"/>
      <c r="U447" s="43"/>
    </row>
    <row r="448" spans="9:21" s="1" customFormat="1" x14ac:dyDescent="0.25">
      <c r="I448" s="101"/>
      <c r="J448" s="102"/>
      <c r="K448" s="101"/>
      <c r="L448" s="101"/>
      <c r="M448" s="44"/>
      <c r="T448" s="46"/>
      <c r="U448" s="43"/>
    </row>
    <row r="449" spans="9:21" s="1" customFormat="1" x14ac:dyDescent="0.25">
      <c r="I449" s="44"/>
      <c r="J449" s="57"/>
      <c r="K449" s="44"/>
      <c r="L449" s="44"/>
      <c r="M449" s="44"/>
      <c r="T449" s="110"/>
      <c r="U449" s="43"/>
    </row>
    <row r="450" spans="9:21" s="1" customFormat="1" x14ac:dyDescent="0.25">
      <c r="I450" s="101"/>
      <c r="J450" s="102"/>
      <c r="K450" s="101"/>
      <c r="L450" s="101"/>
      <c r="M450" s="44"/>
      <c r="T450" s="47"/>
      <c r="U450" s="43"/>
    </row>
    <row r="451" spans="9:21" s="1" customFormat="1" x14ac:dyDescent="0.25">
      <c r="I451" s="44"/>
      <c r="J451" s="57"/>
      <c r="K451" s="44"/>
      <c r="L451" s="44"/>
      <c r="M451" s="44"/>
      <c r="T451" s="110"/>
      <c r="U451" s="43"/>
    </row>
    <row r="452" spans="9:21" s="1" customFormat="1" x14ac:dyDescent="0.25">
      <c r="I452" s="101"/>
      <c r="J452" s="102"/>
      <c r="K452" s="101"/>
      <c r="L452" s="101"/>
      <c r="M452" s="44"/>
      <c r="T452" s="47"/>
      <c r="U452" s="43"/>
    </row>
    <row r="453" spans="9:21" s="1" customFormat="1" x14ac:dyDescent="0.25">
      <c r="I453" s="44"/>
      <c r="J453" s="57"/>
      <c r="K453" s="44"/>
      <c r="L453" s="44"/>
      <c r="M453" s="44"/>
      <c r="T453" s="109"/>
      <c r="U453" s="43"/>
    </row>
    <row r="454" spans="9:21" s="1" customFormat="1" x14ac:dyDescent="0.25">
      <c r="I454" s="101"/>
      <c r="J454" s="102"/>
      <c r="K454" s="101"/>
      <c r="L454" s="101"/>
      <c r="M454" s="44"/>
      <c r="T454" s="49"/>
      <c r="U454" s="43"/>
    </row>
    <row r="455" spans="9:21" s="1" customFormat="1" x14ac:dyDescent="0.25">
      <c r="I455" s="44"/>
      <c r="J455" s="57"/>
      <c r="K455" s="44"/>
      <c r="L455" s="44"/>
      <c r="M455" s="44"/>
      <c r="T455" s="109"/>
      <c r="U455" s="43"/>
    </row>
    <row r="456" spans="9:21" s="1" customFormat="1" x14ac:dyDescent="0.25">
      <c r="I456" s="101"/>
      <c r="J456" s="102"/>
      <c r="K456" s="101"/>
      <c r="L456" s="101"/>
      <c r="M456" s="44"/>
      <c r="T456" s="49"/>
      <c r="U456" s="43"/>
    </row>
    <row r="457" spans="9:21" s="1" customFormat="1" x14ac:dyDescent="0.25">
      <c r="I457" s="44"/>
      <c r="J457" s="57"/>
      <c r="K457" s="44"/>
      <c r="L457" s="44"/>
      <c r="M457" s="44"/>
      <c r="T457" s="109"/>
      <c r="U457" s="43"/>
    </row>
    <row r="458" spans="9:21" s="1" customFormat="1" x14ac:dyDescent="0.25">
      <c r="I458" s="101"/>
      <c r="J458" s="102"/>
      <c r="K458" s="101"/>
      <c r="L458" s="101"/>
      <c r="M458" s="44"/>
      <c r="T458" s="49"/>
      <c r="U458" s="43"/>
    </row>
    <row r="459" spans="9:21" s="1" customFormat="1" x14ac:dyDescent="0.25">
      <c r="I459" s="44"/>
      <c r="J459" s="57"/>
      <c r="K459" s="44"/>
      <c r="L459" s="44"/>
      <c r="M459" s="44"/>
      <c r="T459" s="109"/>
      <c r="U459" s="43"/>
    </row>
    <row r="460" spans="9:21" s="1" customFormat="1" x14ac:dyDescent="0.25">
      <c r="I460" s="101"/>
      <c r="J460" s="102"/>
      <c r="K460" s="101"/>
      <c r="L460" s="101"/>
      <c r="M460" s="44"/>
      <c r="T460" s="49"/>
      <c r="U460" s="43"/>
    </row>
    <row r="461" spans="9:21" s="1" customFormat="1" x14ac:dyDescent="0.25">
      <c r="I461" s="44"/>
      <c r="J461" s="57"/>
      <c r="K461" s="44"/>
      <c r="L461" s="44"/>
      <c r="M461" s="44"/>
      <c r="T461" s="109"/>
      <c r="U461" s="43"/>
    </row>
    <row r="462" spans="9:21" s="1" customFormat="1" x14ac:dyDescent="0.25">
      <c r="I462" s="101"/>
      <c r="J462" s="102"/>
      <c r="K462" s="101"/>
      <c r="L462" s="101"/>
      <c r="M462" s="44"/>
      <c r="T462" s="49"/>
      <c r="U462" s="43"/>
    </row>
    <row r="463" spans="9:21" s="1" customFormat="1" x14ac:dyDescent="0.25">
      <c r="I463" s="44"/>
      <c r="J463" s="57"/>
      <c r="K463" s="44"/>
      <c r="L463" s="44"/>
      <c r="M463" s="44"/>
      <c r="T463" s="109"/>
      <c r="U463" s="43"/>
    </row>
    <row r="464" spans="9:21" s="1" customFormat="1" x14ac:dyDescent="0.25">
      <c r="I464" s="101"/>
      <c r="J464" s="102"/>
      <c r="K464" s="101"/>
      <c r="L464" s="101"/>
      <c r="M464" s="44"/>
      <c r="T464" s="46"/>
      <c r="U464" s="43"/>
    </row>
    <row r="465" spans="9:21" s="1" customFormat="1" x14ac:dyDescent="0.25">
      <c r="I465" s="44"/>
      <c r="J465" s="57"/>
      <c r="K465" s="44"/>
      <c r="L465" s="44"/>
      <c r="M465" s="44"/>
      <c r="T465" s="110"/>
      <c r="U465" s="43"/>
    </row>
    <row r="466" spans="9:21" s="1" customFormat="1" x14ac:dyDescent="0.25">
      <c r="I466" s="101"/>
      <c r="J466" s="102"/>
      <c r="K466" s="101"/>
      <c r="L466" s="101"/>
      <c r="M466" s="44"/>
      <c r="T466" s="47"/>
      <c r="U466" s="43"/>
    </row>
    <row r="467" spans="9:21" s="1" customFormat="1" x14ac:dyDescent="0.25">
      <c r="I467" s="44"/>
      <c r="J467" s="57"/>
      <c r="K467" s="44"/>
      <c r="L467" s="44"/>
      <c r="M467" s="44"/>
      <c r="T467" s="110"/>
      <c r="U467" s="43"/>
    </row>
    <row r="468" spans="9:21" s="1" customFormat="1" x14ac:dyDescent="0.25">
      <c r="I468" s="101"/>
      <c r="J468" s="102"/>
      <c r="K468" s="101"/>
      <c r="L468" s="101"/>
      <c r="M468" s="44"/>
      <c r="T468" s="47"/>
      <c r="U468" s="43"/>
    </row>
    <row r="469" spans="9:21" s="1" customFormat="1" x14ac:dyDescent="0.25">
      <c r="I469" s="44"/>
      <c r="J469" s="57"/>
      <c r="K469" s="44"/>
      <c r="L469" s="44"/>
      <c r="M469" s="44"/>
      <c r="T469" s="109"/>
      <c r="U469" s="43"/>
    </row>
    <row r="470" spans="9:21" s="1" customFormat="1" x14ac:dyDescent="0.25">
      <c r="I470" s="101"/>
      <c r="J470" s="102"/>
      <c r="K470" s="101"/>
      <c r="L470" s="101"/>
      <c r="M470" s="44"/>
      <c r="T470" s="49"/>
      <c r="U470" s="43"/>
    </row>
    <row r="471" spans="9:21" s="1" customFormat="1" x14ac:dyDescent="0.25">
      <c r="I471" s="44"/>
      <c r="J471" s="57"/>
      <c r="K471" s="44"/>
      <c r="L471" s="44"/>
      <c r="M471" s="44"/>
      <c r="T471" s="109"/>
      <c r="U471" s="43"/>
    </row>
    <row r="472" spans="9:21" s="1" customFormat="1" x14ac:dyDescent="0.25">
      <c r="I472" s="101"/>
      <c r="J472" s="102"/>
      <c r="K472" s="101"/>
      <c r="L472" s="101"/>
      <c r="M472" s="44"/>
      <c r="T472" s="49"/>
      <c r="U472" s="43"/>
    </row>
    <row r="473" spans="9:21" s="1" customFormat="1" x14ac:dyDescent="0.25">
      <c r="I473" s="44"/>
      <c r="J473" s="57"/>
      <c r="K473" s="44"/>
      <c r="L473" s="44"/>
      <c r="M473" s="44"/>
      <c r="T473" s="109"/>
      <c r="U473" s="43"/>
    </row>
    <row r="474" spans="9:21" s="1" customFormat="1" x14ac:dyDescent="0.25">
      <c r="I474" s="101"/>
      <c r="J474" s="102"/>
      <c r="K474" s="101"/>
      <c r="L474" s="101"/>
      <c r="M474" s="44"/>
      <c r="T474" s="49"/>
      <c r="U474" s="43"/>
    </row>
    <row r="475" spans="9:21" s="1" customFormat="1" x14ac:dyDescent="0.25">
      <c r="I475" s="44"/>
      <c r="J475" s="57"/>
      <c r="K475" s="44"/>
      <c r="L475" s="44"/>
      <c r="M475" s="44"/>
      <c r="T475" s="109"/>
      <c r="U475" s="43"/>
    </row>
    <row r="476" spans="9:21" s="1" customFormat="1" x14ac:dyDescent="0.25">
      <c r="I476" s="101"/>
      <c r="J476" s="102"/>
      <c r="K476" s="101"/>
      <c r="L476" s="101"/>
      <c r="M476" s="44"/>
      <c r="T476" s="49"/>
      <c r="U476" s="43"/>
    </row>
    <row r="477" spans="9:21" s="1" customFormat="1" x14ac:dyDescent="0.25">
      <c r="I477" s="44"/>
      <c r="J477" s="57"/>
      <c r="K477" s="44"/>
      <c r="L477" s="44"/>
      <c r="M477" s="44"/>
      <c r="T477" s="109"/>
      <c r="U477" s="43"/>
    </row>
    <row r="478" spans="9:21" s="1" customFormat="1" x14ac:dyDescent="0.25">
      <c r="I478" s="101"/>
      <c r="J478" s="102"/>
      <c r="K478" s="101"/>
      <c r="L478" s="101"/>
      <c r="M478" s="44"/>
      <c r="T478" s="49"/>
      <c r="U478" s="43"/>
    </row>
    <row r="479" spans="9:21" s="1" customFormat="1" x14ac:dyDescent="0.25">
      <c r="I479" s="44"/>
      <c r="J479" s="57"/>
      <c r="K479" s="44"/>
      <c r="L479" s="44"/>
      <c r="M479" s="44"/>
      <c r="T479" s="109"/>
      <c r="U479" s="43"/>
    </row>
    <row r="480" spans="9:21" s="1" customFormat="1" x14ac:dyDescent="0.25">
      <c r="I480" s="101"/>
      <c r="J480" s="102"/>
      <c r="K480" s="101"/>
      <c r="L480" s="101"/>
      <c r="M480" s="44"/>
      <c r="T480" s="46"/>
      <c r="U480" s="43"/>
    </row>
    <row r="481" spans="9:21" s="1" customFormat="1" x14ac:dyDescent="0.25">
      <c r="I481" s="44"/>
      <c r="J481" s="57"/>
      <c r="K481" s="44"/>
      <c r="L481" s="44"/>
      <c r="M481" s="44"/>
      <c r="T481" s="110"/>
      <c r="U481" s="43"/>
    </row>
    <row r="482" spans="9:21" s="1" customFormat="1" x14ac:dyDescent="0.25">
      <c r="I482" s="101"/>
      <c r="J482" s="102"/>
      <c r="K482" s="101"/>
      <c r="L482" s="101"/>
      <c r="M482" s="44"/>
      <c r="T482" s="47"/>
      <c r="U482" s="43"/>
    </row>
    <row r="483" spans="9:21" s="1" customFormat="1" x14ac:dyDescent="0.25">
      <c r="I483" s="44"/>
      <c r="J483" s="57"/>
      <c r="K483" s="44"/>
      <c r="L483" s="44"/>
      <c r="M483" s="44"/>
      <c r="T483" s="110"/>
      <c r="U483" s="43"/>
    </row>
    <row r="484" spans="9:21" s="1" customFormat="1" x14ac:dyDescent="0.25">
      <c r="I484" s="101"/>
      <c r="J484" s="102"/>
      <c r="K484" s="101"/>
      <c r="L484" s="101"/>
      <c r="M484" s="44"/>
      <c r="T484" s="47"/>
      <c r="U484" s="43"/>
    </row>
    <row r="485" spans="9:21" s="1" customFormat="1" x14ac:dyDescent="0.25">
      <c r="I485" s="44"/>
      <c r="J485" s="57"/>
      <c r="K485" s="44"/>
      <c r="L485" s="44"/>
      <c r="M485" s="44"/>
      <c r="T485" s="109"/>
      <c r="U485" s="43"/>
    </row>
    <row r="486" spans="9:21" s="1" customFormat="1" x14ac:dyDescent="0.25">
      <c r="I486" s="101"/>
      <c r="J486" s="102"/>
      <c r="K486" s="101"/>
      <c r="L486" s="101"/>
      <c r="M486" s="44"/>
      <c r="T486" s="49"/>
      <c r="U486" s="43"/>
    </row>
    <row r="487" spans="9:21" s="1" customFormat="1" x14ac:dyDescent="0.25">
      <c r="I487" s="44"/>
      <c r="J487" s="57"/>
      <c r="K487" s="44"/>
      <c r="L487" s="44"/>
      <c r="M487" s="44"/>
      <c r="T487" s="109"/>
      <c r="U487" s="43"/>
    </row>
    <row r="488" spans="9:21" s="1" customFormat="1" x14ac:dyDescent="0.25">
      <c r="I488" s="101"/>
      <c r="J488" s="102"/>
      <c r="K488" s="101"/>
      <c r="L488" s="101"/>
      <c r="M488" s="44"/>
      <c r="T488" s="49"/>
      <c r="U488" s="43"/>
    </row>
    <row r="489" spans="9:21" s="1" customFormat="1" x14ac:dyDescent="0.25">
      <c r="I489" s="44"/>
      <c r="J489" s="57"/>
      <c r="K489" s="44"/>
      <c r="L489" s="44"/>
      <c r="M489" s="44"/>
      <c r="T489" s="109"/>
      <c r="U489" s="43"/>
    </row>
    <row r="490" spans="9:21" s="1" customFormat="1" x14ac:dyDescent="0.25">
      <c r="I490" s="101"/>
      <c r="J490" s="102"/>
      <c r="K490" s="101"/>
      <c r="L490" s="101"/>
      <c r="M490" s="44"/>
      <c r="T490" s="49"/>
      <c r="U490" s="43"/>
    </row>
    <row r="491" spans="9:21" s="1" customFormat="1" x14ac:dyDescent="0.25">
      <c r="I491" s="44"/>
      <c r="J491" s="57"/>
      <c r="K491" s="44"/>
      <c r="L491" s="44"/>
      <c r="M491" s="44"/>
      <c r="T491" s="109"/>
      <c r="U491" s="43"/>
    </row>
    <row r="492" spans="9:21" s="1" customFormat="1" x14ac:dyDescent="0.25">
      <c r="I492" s="101"/>
      <c r="J492" s="102"/>
      <c r="K492" s="101"/>
      <c r="L492" s="101"/>
      <c r="M492" s="44"/>
      <c r="T492" s="49"/>
      <c r="U492" s="43"/>
    </row>
    <row r="493" spans="9:21" s="1" customFormat="1" x14ac:dyDescent="0.25">
      <c r="I493" s="44"/>
      <c r="J493" s="57"/>
      <c r="K493" s="44"/>
      <c r="L493" s="44"/>
      <c r="M493" s="44"/>
      <c r="T493" s="109"/>
      <c r="U493" s="43"/>
    </row>
    <row r="494" spans="9:21" s="1" customFormat="1" x14ac:dyDescent="0.25">
      <c r="I494" s="101"/>
      <c r="J494" s="102"/>
      <c r="K494" s="101"/>
      <c r="L494" s="101"/>
      <c r="M494" s="44"/>
      <c r="T494" s="49"/>
      <c r="U494" s="43"/>
    </row>
    <row r="495" spans="9:21" s="1" customFormat="1" x14ac:dyDescent="0.25">
      <c r="I495" s="44"/>
      <c r="J495" s="57"/>
      <c r="K495" s="44"/>
      <c r="L495" s="44"/>
      <c r="M495" s="44"/>
      <c r="T495" s="109"/>
      <c r="U495" s="43"/>
    </row>
    <row r="496" spans="9:21" s="1" customFormat="1" x14ac:dyDescent="0.25">
      <c r="I496" s="101"/>
      <c r="J496" s="102"/>
      <c r="K496" s="101"/>
      <c r="L496" s="101"/>
      <c r="M496" s="44"/>
      <c r="T496" s="46"/>
      <c r="U496" s="43"/>
    </row>
    <row r="497" spans="9:21" s="1" customFormat="1" x14ac:dyDescent="0.25">
      <c r="I497" s="44"/>
      <c r="J497" s="57"/>
      <c r="K497" s="44"/>
      <c r="L497" s="44"/>
      <c r="M497" s="44"/>
      <c r="T497" s="110"/>
      <c r="U497" s="43"/>
    </row>
    <row r="498" spans="9:21" s="1" customFormat="1" x14ac:dyDescent="0.25">
      <c r="I498" s="101"/>
      <c r="J498" s="102"/>
      <c r="K498" s="101"/>
      <c r="L498" s="101"/>
      <c r="M498" s="44"/>
      <c r="T498" s="47"/>
      <c r="U498" s="43"/>
    </row>
    <row r="499" spans="9:21" s="1" customFormat="1" x14ac:dyDescent="0.25">
      <c r="I499" s="44"/>
      <c r="J499" s="57"/>
      <c r="K499" s="44"/>
      <c r="L499" s="44"/>
      <c r="M499" s="44"/>
      <c r="T499" s="110"/>
      <c r="U499" s="43"/>
    </row>
    <row r="500" spans="9:21" s="1" customFormat="1" x14ac:dyDescent="0.25">
      <c r="I500" s="101"/>
      <c r="J500" s="102"/>
      <c r="K500" s="101"/>
      <c r="L500" s="101"/>
      <c r="M500" s="44"/>
      <c r="T500" s="47"/>
      <c r="U500" s="43"/>
    </row>
    <row r="501" spans="9:21" s="1" customFormat="1" x14ac:dyDescent="0.25">
      <c r="I501" s="44"/>
      <c r="J501" s="57"/>
      <c r="K501" s="44"/>
      <c r="L501" s="44"/>
      <c r="M501" s="44"/>
      <c r="T501" s="109"/>
      <c r="U501" s="43"/>
    </row>
    <row r="502" spans="9:21" s="1" customFormat="1" x14ac:dyDescent="0.25">
      <c r="I502" s="101"/>
      <c r="J502" s="102"/>
      <c r="K502" s="101"/>
      <c r="L502" s="101"/>
      <c r="M502" s="44"/>
      <c r="T502" s="49"/>
      <c r="U502" s="43"/>
    </row>
    <row r="503" spans="9:21" s="1" customFormat="1" x14ac:dyDescent="0.25">
      <c r="I503" s="44"/>
      <c r="J503" s="57"/>
      <c r="K503" s="44"/>
      <c r="L503" s="44"/>
      <c r="M503" s="44"/>
      <c r="T503" s="109"/>
      <c r="U503" s="43"/>
    </row>
    <row r="504" spans="9:21" s="1" customFormat="1" x14ac:dyDescent="0.25">
      <c r="I504" s="101"/>
      <c r="J504" s="102"/>
      <c r="K504" s="101"/>
      <c r="L504" s="101"/>
      <c r="M504" s="44"/>
      <c r="T504" s="49"/>
      <c r="U504" s="43"/>
    </row>
    <row r="505" spans="9:21" s="1" customFormat="1" x14ac:dyDescent="0.25">
      <c r="I505" s="44"/>
      <c r="J505" s="57"/>
      <c r="K505" s="44"/>
      <c r="L505" s="44"/>
      <c r="M505" s="44"/>
      <c r="T505" s="109"/>
      <c r="U505" s="43"/>
    </row>
    <row r="506" spans="9:21" s="1" customFormat="1" x14ac:dyDescent="0.25">
      <c r="I506" s="101"/>
      <c r="J506" s="102"/>
      <c r="K506" s="101"/>
      <c r="L506" s="101"/>
      <c r="M506" s="44"/>
      <c r="T506" s="49"/>
      <c r="U506" s="43"/>
    </row>
    <row r="507" spans="9:21" s="1" customFormat="1" x14ac:dyDescent="0.25">
      <c r="I507" s="44"/>
      <c r="J507" s="57"/>
      <c r="K507" s="44"/>
      <c r="L507" s="44"/>
      <c r="M507" s="44"/>
      <c r="T507" s="109"/>
      <c r="U507" s="43"/>
    </row>
    <row r="508" spans="9:21" s="1" customFormat="1" x14ac:dyDescent="0.25">
      <c r="I508" s="101"/>
      <c r="J508" s="102"/>
      <c r="K508" s="101"/>
      <c r="L508" s="101"/>
      <c r="M508" s="44"/>
      <c r="T508" s="49"/>
      <c r="U508" s="43"/>
    </row>
    <row r="509" spans="9:21" s="1" customFormat="1" x14ac:dyDescent="0.25">
      <c r="I509" s="44"/>
      <c r="J509" s="57"/>
      <c r="K509" s="44"/>
      <c r="L509" s="44"/>
      <c r="M509" s="44"/>
      <c r="T509" s="109"/>
      <c r="U509" s="43"/>
    </row>
    <row r="510" spans="9:21" s="1" customFormat="1" x14ac:dyDescent="0.25">
      <c r="I510" s="101"/>
      <c r="J510" s="102"/>
      <c r="K510" s="101"/>
      <c r="L510" s="101"/>
      <c r="M510" s="44"/>
      <c r="T510" s="49"/>
      <c r="U510" s="43"/>
    </row>
    <row r="511" spans="9:21" s="1" customFormat="1" x14ac:dyDescent="0.25">
      <c r="I511" s="44"/>
      <c r="J511" s="57"/>
      <c r="K511" s="44"/>
      <c r="L511" s="44"/>
      <c r="M511" s="44"/>
      <c r="T511" s="109"/>
      <c r="U511" s="43"/>
    </row>
    <row r="512" spans="9:21" s="1" customFormat="1" x14ac:dyDescent="0.25">
      <c r="I512" s="101"/>
      <c r="J512" s="102"/>
      <c r="K512" s="101"/>
      <c r="L512" s="101"/>
      <c r="M512" s="44"/>
      <c r="T512" s="46"/>
      <c r="U512" s="43"/>
    </row>
    <row r="513" spans="9:21" s="1" customFormat="1" x14ac:dyDescent="0.25">
      <c r="I513" s="44"/>
      <c r="J513" s="57"/>
      <c r="K513" s="44"/>
      <c r="L513" s="44"/>
      <c r="M513" s="44"/>
      <c r="T513" s="110"/>
      <c r="U513" s="43"/>
    </row>
    <row r="514" spans="9:21" s="1" customFormat="1" x14ac:dyDescent="0.25">
      <c r="I514" s="101"/>
      <c r="J514" s="102"/>
      <c r="K514" s="101"/>
      <c r="L514" s="101"/>
      <c r="M514" s="44"/>
      <c r="T514" s="47"/>
      <c r="U514" s="43"/>
    </row>
    <row r="515" spans="9:21" s="1" customFormat="1" x14ac:dyDescent="0.25">
      <c r="I515" s="44"/>
      <c r="J515" s="57"/>
      <c r="K515" s="44"/>
      <c r="L515" s="44"/>
      <c r="M515" s="44"/>
      <c r="T515" s="110"/>
      <c r="U515" s="43"/>
    </row>
    <row r="516" spans="9:21" s="1" customFormat="1" x14ac:dyDescent="0.25">
      <c r="I516" s="101"/>
      <c r="J516" s="102"/>
      <c r="K516" s="101"/>
      <c r="L516" s="101"/>
      <c r="M516" s="44"/>
      <c r="T516" s="47"/>
      <c r="U516" s="43"/>
    </row>
    <row r="517" spans="9:21" s="1" customFormat="1" x14ac:dyDescent="0.25">
      <c r="I517" s="44"/>
      <c r="J517" s="57"/>
      <c r="K517" s="44"/>
      <c r="L517" s="44"/>
      <c r="M517" s="44"/>
      <c r="T517" s="109"/>
      <c r="U517" s="43"/>
    </row>
    <row r="518" spans="9:21" s="1" customFormat="1" x14ac:dyDescent="0.25">
      <c r="I518" s="101"/>
      <c r="J518" s="102"/>
      <c r="K518" s="101"/>
      <c r="L518" s="101"/>
      <c r="M518" s="44"/>
      <c r="T518" s="49"/>
      <c r="U518" s="43"/>
    </row>
    <row r="519" spans="9:21" s="1" customFormat="1" x14ac:dyDescent="0.25">
      <c r="I519" s="44"/>
      <c r="J519" s="57"/>
      <c r="K519" s="44"/>
      <c r="L519" s="44"/>
      <c r="M519" s="44"/>
      <c r="T519" s="109"/>
      <c r="U519" s="43"/>
    </row>
    <row r="520" spans="9:21" s="1" customFormat="1" x14ac:dyDescent="0.25">
      <c r="I520" s="101"/>
      <c r="J520" s="102"/>
      <c r="K520" s="101"/>
      <c r="L520" s="101"/>
      <c r="M520" s="44"/>
      <c r="T520" s="49"/>
      <c r="U520" s="43"/>
    </row>
    <row r="521" spans="9:21" s="1" customFormat="1" x14ac:dyDescent="0.25">
      <c r="I521" s="44"/>
      <c r="J521" s="57"/>
      <c r="K521" s="44"/>
      <c r="L521" s="44"/>
      <c r="M521" s="44"/>
      <c r="T521" s="109"/>
      <c r="U521" s="43"/>
    </row>
    <row r="522" spans="9:21" s="1" customFormat="1" x14ac:dyDescent="0.25">
      <c r="I522" s="101"/>
      <c r="J522" s="102"/>
      <c r="K522" s="101"/>
      <c r="L522" s="101"/>
      <c r="M522" s="44"/>
      <c r="T522" s="49"/>
      <c r="U522" s="43"/>
    </row>
    <row r="523" spans="9:21" s="1" customFormat="1" x14ac:dyDescent="0.25">
      <c r="I523" s="44"/>
      <c r="J523" s="57"/>
      <c r="K523" s="44"/>
      <c r="L523" s="44"/>
      <c r="M523" s="44"/>
      <c r="T523" s="109"/>
      <c r="U523" s="43"/>
    </row>
    <row r="524" spans="9:21" s="1" customFormat="1" x14ac:dyDescent="0.25">
      <c r="I524" s="101"/>
      <c r="J524" s="102"/>
      <c r="K524" s="101"/>
      <c r="L524" s="101"/>
      <c r="M524" s="44"/>
      <c r="T524" s="49"/>
      <c r="U524" s="43"/>
    </row>
    <row r="525" spans="9:21" s="1" customFormat="1" x14ac:dyDescent="0.25">
      <c r="I525" s="44"/>
      <c r="J525" s="57"/>
      <c r="K525" s="44"/>
      <c r="L525" s="44"/>
      <c r="M525" s="44"/>
      <c r="T525" s="109"/>
      <c r="U525" s="43"/>
    </row>
    <row r="526" spans="9:21" s="1" customFormat="1" x14ac:dyDescent="0.25">
      <c r="I526" s="101"/>
      <c r="J526" s="102"/>
      <c r="K526" s="101"/>
      <c r="L526" s="101"/>
      <c r="M526" s="44"/>
      <c r="T526" s="49"/>
      <c r="U526" s="43"/>
    </row>
    <row r="527" spans="9:21" s="1" customFormat="1" x14ac:dyDescent="0.25">
      <c r="I527" s="44"/>
      <c r="J527" s="57"/>
      <c r="K527" s="44"/>
      <c r="L527" s="44"/>
      <c r="M527" s="44"/>
      <c r="T527" s="109"/>
      <c r="U527" s="43"/>
    </row>
    <row r="528" spans="9:21" s="1" customFormat="1" x14ac:dyDescent="0.25">
      <c r="I528" s="101"/>
      <c r="J528" s="102"/>
      <c r="K528" s="101"/>
      <c r="L528" s="101"/>
      <c r="M528" s="44"/>
      <c r="T528" s="46"/>
      <c r="U528" s="43"/>
    </row>
    <row r="529" spans="9:21" s="1" customFormat="1" x14ac:dyDescent="0.25">
      <c r="I529" s="44"/>
      <c r="J529" s="57"/>
      <c r="K529" s="44"/>
      <c r="L529" s="44"/>
      <c r="M529" s="44"/>
      <c r="T529" s="110"/>
      <c r="U529" s="43"/>
    </row>
    <row r="530" spans="9:21" s="1" customFormat="1" x14ac:dyDescent="0.25">
      <c r="I530" s="101"/>
      <c r="J530" s="102"/>
      <c r="K530" s="101"/>
      <c r="L530" s="101"/>
      <c r="M530" s="44"/>
      <c r="T530" s="47"/>
      <c r="U530" s="43"/>
    </row>
    <row r="531" spans="9:21" s="1" customFormat="1" x14ac:dyDescent="0.25">
      <c r="I531" s="44"/>
      <c r="J531" s="57"/>
      <c r="K531" s="44"/>
      <c r="L531" s="44"/>
      <c r="M531" s="44"/>
      <c r="T531" s="110"/>
      <c r="U531" s="43"/>
    </row>
    <row r="532" spans="9:21" s="1" customFormat="1" x14ac:dyDescent="0.25">
      <c r="I532" s="101"/>
      <c r="J532" s="102"/>
      <c r="K532" s="101"/>
      <c r="L532" s="101"/>
      <c r="M532" s="44"/>
      <c r="T532" s="47"/>
      <c r="U532" s="43"/>
    </row>
    <row r="533" spans="9:21" s="1" customFormat="1" x14ac:dyDescent="0.25">
      <c r="I533" s="44"/>
      <c r="J533" s="57"/>
      <c r="K533" s="44"/>
      <c r="L533" s="44"/>
      <c r="M533" s="44"/>
      <c r="T533" s="109"/>
      <c r="U533" s="43"/>
    </row>
    <row r="534" spans="9:21" s="1" customFormat="1" x14ac:dyDescent="0.25">
      <c r="I534" s="101"/>
      <c r="J534" s="102"/>
      <c r="K534" s="101"/>
      <c r="L534" s="101"/>
      <c r="M534" s="44"/>
      <c r="T534" s="49"/>
      <c r="U534" s="43"/>
    </row>
    <row r="535" spans="9:21" s="1" customFormat="1" x14ac:dyDescent="0.25">
      <c r="I535" s="44"/>
      <c r="J535" s="57"/>
      <c r="K535" s="44"/>
      <c r="L535" s="44"/>
      <c r="M535" s="44"/>
      <c r="T535" s="109"/>
      <c r="U535" s="43"/>
    </row>
    <row r="536" spans="9:21" s="1" customFormat="1" x14ac:dyDescent="0.25">
      <c r="I536" s="101"/>
      <c r="J536" s="102"/>
      <c r="K536" s="101"/>
      <c r="L536" s="101"/>
      <c r="M536" s="44"/>
      <c r="T536" s="49"/>
      <c r="U536" s="43"/>
    </row>
    <row r="537" spans="9:21" s="1" customFormat="1" x14ac:dyDescent="0.25">
      <c r="I537" s="44"/>
      <c r="J537" s="57"/>
      <c r="K537" s="44"/>
      <c r="L537" s="44"/>
      <c r="M537" s="44"/>
      <c r="T537" s="109"/>
      <c r="U537" s="43"/>
    </row>
    <row r="538" spans="9:21" s="1" customFormat="1" x14ac:dyDescent="0.25">
      <c r="I538" s="101"/>
      <c r="J538" s="102"/>
      <c r="K538" s="101"/>
      <c r="L538" s="101"/>
      <c r="M538" s="44"/>
      <c r="T538" s="49"/>
      <c r="U538" s="43"/>
    </row>
    <row r="539" spans="9:21" s="1" customFormat="1" x14ac:dyDescent="0.25">
      <c r="I539" s="44"/>
      <c r="J539" s="57"/>
      <c r="K539" s="44"/>
      <c r="L539" s="44"/>
      <c r="M539" s="44"/>
      <c r="T539" s="109"/>
      <c r="U539" s="43"/>
    </row>
    <row r="540" spans="9:21" s="1" customFormat="1" x14ac:dyDescent="0.25">
      <c r="I540" s="101"/>
      <c r="J540" s="102"/>
      <c r="K540" s="101"/>
      <c r="L540" s="101"/>
      <c r="M540" s="44"/>
      <c r="T540" s="49"/>
      <c r="U540" s="43"/>
    </row>
    <row r="541" spans="9:21" s="1" customFormat="1" x14ac:dyDescent="0.25">
      <c r="I541" s="44"/>
      <c r="J541" s="57"/>
      <c r="K541" s="44"/>
      <c r="L541" s="44"/>
      <c r="M541" s="44"/>
      <c r="T541" s="109"/>
      <c r="U541" s="43"/>
    </row>
    <row r="542" spans="9:21" s="1" customFormat="1" x14ac:dyDescent="0.25">
      <c r="I542" s="101"/>
      <c r="J542" s="102"/>
      <c r="K542" s="101"/>
      <c r="L542" s="101"/>
      <c r="M542" s="44"/>
      <c r="T542" s="49"/>
      <c r="U542" s="43"/>
    </row>
    <row r="543" spans="9:21" s="1" customFormat="1" x14ac:dyDescent="0.25">
      <c r="I543" s="44"/>
      <c r="J543" s="57"/>
      <c r="K543" s="44"/>
      <c r="L543" s="44"/>
      <c r="M543" s="44"/>
      <c r="T543" s="109"/>
      <c r="U543" s="43"/>
    </row>
    <row r="544" spans="9:21" s="1" customFormat="1" x14ac:dyDescent="0.25">
      <c r="I544" s="101"/>
      <c r="J544" s="102"/>
      <c r="K544" s="101"/>
      <c r="L544" s="101"/>
      <c r="M544" s="44"/>
      <c r="T544" s="46"/>
      <c r="U544" s="43"/>
    </row>
    <row r="545" spans="9:21" s="1" customFormat="1" x14ac:dyDescent="0.25">
      <c r="I545" s="44"/>
      <c r="J545" s="57"/>
      <c r="K545" s="44"/>
      <c r="L545" s="44"/>
      <c r="M545" s="44"/>
      <c r="T545" s="110"/>
      <c r="U545" s="43"/>
    </row>
    <row r="546" spans="9:21" s="1" customFormat="1" x14ac:dyDescent="0.25">
      <c r="I546" s="101"/>
      <c r="J546" s="102"/>
      <c r="K546" s="101"/>
      <c r="L546" s="101"/>
      <c r="M546" s="44"/>
      <c r="T546" s="47"/>
      <c r="U546" s="43"/>
    </row>
    <row r="547" spans="9:21" s="1" customFormat="1" x14ac:dyDescent="0.25">
      <c r="I547" s="44"/>
      <c r="J547" s="57"/>
      <c r="K547" s="44"/>
      <c r="L547" s="44"/>
      <c r="M547" s="44"/>
      <c r="T547" s="110"/>
      <c r="U547" s="43"/>
    </row>
    <row r="548" spans="9:21" s="1" customFormat="1" x14ac:dyDescent="0.25">
      <c r="I548" s="101"/>
      <c r="J548" s="102"/>
      <c r="K548" s="101"/>
      <c r="L548" s="101"/>
      <c r="M548" s="44"/>
      <c r="T548" s="47"/>
      <c r="U548" s="43"/>
    </row>
    <row r="549" spans="9:21" s="1" customFormat="1" x14ac:dyDescent="0.25">
      <c r="I549" s="44"/>
      <c r="J549" s="57"/>
      <c r="K549" s="44"/>
      <c r="L549" s="44"/>
      <c r="M549" s="44"/>
      <c r="T549" s="109"/>
      <c r="U549" s="43"/>
    </row>
    <row r="550" spans="9:21" s="1" customFormat="1" x14ac:dyDescent="0.25">
      <c r="I550" s="101"/>
      <c r="J550" s="102"/>
      <c r="K550" s="101"/>
      <c r="L550" s="101"/>
      <c r="M550" s="44"/>
      <c r="T550" s="49"/>
      <c r="U550" s="43"/>
    </row>
    <row r="551" spans="9:21" s="1" customFormat="1" x14ac:dyDescent="0.25">
      <c r="I551" s="44"/>
      <c r="J551" s="57"/>
      <c r="K551" s="44"/>
      <c r="L551" s="44"/>
      <c r="M551" s="44"/>
      <c r="T551" s="109"/>
      <c r="U551" s="43"/>
    </row>
    <row r="552" spans="9:21" s="1" customFormat="1" x14ac:dyDescent="0.25">
      <c r="I552" s="101"/>
      <c r="J552" s="102"/>
      <c r="K552" s="101"/>
      <c r="L552" s="101"/>
      <c r="M552" s="44"/>
      <c r="T552" s="49"/>
      <c r="U552" s="43"/>
    </row>
    <row r="553" spans="9:21" s="1" customFormat="1" x14ac:dyDescent="0.25">
      <c r="I553" s="44"/>
      <c r="J553" s="57"/>
      <c r="K553" s="44"/>
      <c r="L553" s="44"/>
      <c r="M553" s="44"/>
      <c r="T553" s="109"/>
      <c r="U553" s="43"/>
    </row>
    <row r="554" spans="9:21" s="1" customFormat="1" x14ac:dyDescent="0.25">
      <c r="I554" s="101"/>
      <c r="J554" s="102"/>
      <c r="K554" s="101"/>
      <c r="L554" s="101"/>
      <c r="M554" s="44"/>
      <c r="T554" s="49"/>
      <c r="U554" s="43"/>
    </row>
    <row r="555" spans="9:21" s="1" customFormat="1" x14ac:dyDescent="0.25">
      <c r="I555" s="44"/>
      <c r="J555" s="57"/>
      <c r="K555" s="44"/>
      <c r="L555" s="44"/>
      <c r="M555" s="44"/>
      <c r="T555" s="109"/>
      <c r="U555" s="43"/>
    </row>
    <row r="556" spans="9:21" s="1" customFormat="1" x14ac:dyDescent="0.25">
      <c r="I556" s="101"/>
      <c r="J556" s="102"/>
      <c r="K556" s="101"/>
      <c r="L556" s="101"/>
      <c r="M556" s="44"/>
      <c r="T556" s="49"/>
      <c r="U556" s="43"/>
    </row>
    <row r="557" spans="9:21" s="1" customFormat="1" x14ac:dyDescent="0.25">
      <c r="I557" s="44"/>
      <c r="J557" s="57"/>
      <c r="K557" s="44"/>
      <c r="L557" s="44"/>
      <c r="M557" s="44"/>
      <c r="T557" s="109"/>
      <c r="U557" s="43"/>
    </row>
    <row r="558" spans="9:21" s="1" customFormat="1" x14ac:dyDescent="0.25">
      <c r="I558" s="101"/>
      <c r="J558" s="102"/>
      <c r="K558" s="101"/>
      <c r="L558" s="101"/>
      <c r="M558" s="44"/>
      <c r="T558" s="49"/>
      <c r="U558" s="43"/>
    </row>
    <row r="559" spans="9:21" s="1" customFormat="1" x14ac:dyDescent="0.25">
      <c r="I559" s="44"/>
      <c r="J559" s="57"/>
      <c r="K559" s="44"/>
      <c r="L559" s="44"/>
      <c r="M559" s="44"/>
      <c r="T559" s="109"/>
      <c r="U559" s="43"/>
    </row>
    <row r="560" spans="9:21" s="1" customFormat="1" x14ac:dyDescent="0.25">
      <c r="I560" s="101"/>
      <c r="J560" s="102"/>
      <c r="K560" s="101"/>
      <c r="L560" s="101"/>
      <c r="M560" s="44"/>
      <c r="T560" s="46"/>
      <c r="U560" s="43"/>
    </row>
    <row r="561" spans="9:21" s="1" customFormat="1" x14ac:dyDescent="0.25">
      <c r="I561" s="44"/>
      <c r="J561" s="57"/>
      <c r="K561" s="44"/>
      <c r="L561" s="44"/>
      <c r="M561" s="44"/>
      <c r="T561" s="110"/>
      <c r="U561" s="43"/>
    </row>
    <row r="562" spans="9:21" s="1" customFormat="1" x14ac:dyDescent="0.25">
      <c r="I562" s="101"/>
      <c r="J562" s="102"/>
      <c r="K562" s="101"/>
      <c r="L562" s="101"/>
      <c r="M562" s="44"/>
      <c r="T562" s="47"/>
      <c r="U562" s="43"/>
    </row>
    <row r="563" spans="9:21" s="1" customFormat="1" x14ac:dyDescent="0.25">
      <c r="I563" s="44"/>
      <c r="J563" s="57"/>
      <c r="K563" s="44"/>
      <c r="L563" s="44"/>
      <c r="M563" s="44"/>
      <c r="T563" s="110"/>
      <c r="U563" s="43"/>
    </row>
    <row r="564" spans="9:21" s="1" customFormat="1" x14ac:dyDescent="0.25">
      <c r="I564" s="101"/>
      <c r="J564" s="102"/>
      <c r="K564" s="101"/>
      <c r="L564" s="101"/>
      <c r="M564" s="44"/>
      <c r="T564" s="47"/>
      <c r="U564" s="43"/>
    </row>
    <row r="565" spans="9:21" s="1" customFormat="1" x14ac:dyDescent="0.25">
      <c r="I565" s="44"/>
      <c r="J565" s="57"/>
      <c r="K565" s="44"/>
      <c r="L565" s="44"/>
      <c r="M565" s="44"/>
      <c r="T565" s="109"/>
      <c r="U565" s="43"/>
    </row>
    <row r="566" spans="9:21" s="1" customFormat="1" x14ac:dyDescent="0.25">
      <c r="I566" s="101"/>
      <c r="J566" s="102"/>
      <c r="K566" s="101"/>
      <c r="L566" s="101"/>
      <c r="M566" s="44"/>
      <c r="T566" s="49"/>
      <c r="U566" s="43"/>
    </row>
    <row r="567" spans="9:21" s="1" customFormat="1" x14ac:dyDescent="0.25">
      <c r="I567" s="44"/>
      <c r="J567" s="57"/>
      <c r="K567" s="44"/>
      <c r="L567" s="44"/>
      <c r="M567" s="44"/>
      <c r="T567" s="109"/>
      <c r="U567" s="43"/>
    </row>
    <row r="568" spans="9:21" s="1" customFormat="1" x14ac:dyDescent="0.25">
      <c r="I568" s="101"/>
      <c r="J568" s="102"/>
      <c r="K568" s="101"/>
      <c r="L568" s="101"/>
      <c r="M568" s="44"/>
      <c r="T568" s="49"/>
      <c r="U568" s="43"/>
    </row>
    <row r="569" spans="9:21" s="1" customFormat="1" x14ac:dyDescent="0.25">
      <c r="I569" s="44"/>
      <c r="J569" s="57"/>
      <c r="K569" s="44"/>
      <c r="L569" s="44"/>
      <c r="M569" s="44"/>
      <c r="T569" s="109"/>
      <c r="U569" s="43"/>
    </row>
    <row r="570" spans="9:21" s="1" customFormat="1" x14ac:dyDescent="0.25">
      <c r="I570" s="101"/>
      <c r="J570" s="102"/>
      <c r="K570" s="101"/>
      <c r="L570" s="101"/>
      <c r="M570" s="44"/>
      <c r="T570" s="49"/>
      <c r="U570" s="43"/>
    </row>
    <row r="571" spans="9:21" s="1" customFormat="1" x14ac:dyDescent="0.25">
      <c r="I571" s="44"/>
      <c r="J571" s="57"/>
      <c r="K571" s="44"/>
      <c r="L571" s="44"/>
      <c r="M571" s="44"/>
      <c r="T571" s="109"/>
      <c r="U571" s="43"/>
    </row>
    <row r="572" spans="9:21" s="1" customFormat="1" x14ac:dyDescent="0.25">
      <c r="I572" s="101"/>
      <c r="J572" s="102"/>
      <c r="K572" s="101"/>
      <c r="L572" s="101"/>
      <c r="M572" s="44"/>
      <c r="T572" s="49"/>
      <c r="U572" s="43"/>
    </row>
    <row r="573" spans="9:21" s="1" customFormat="1" x14ac:dyDescent="0.25">
      <c r="I573" s="44"/>
      <c r="J573" s="57"/>
      <c r="K573" s="44"/>
      <c r="L573" s="44"/>
      <c r="M573" s="44"/>
      <c r="T573" s="109"/>
      <c r="U573" s="43"/>
    </row>
    <row r="574" spans="9:21" s="1" customFormat="1" x14ac:dyDescent="0.25">
      <c r="I574" s="101"/>
      <c r="J574" s="102"/>
      <c r="K574" s="101"/>
      <c r="L574" s="101"/>
      <c r="M574" s="44"/>
      <c r="T574" s="49"/>
      <c r="U574" s="43"/>
    </row>
    <row r="575" spans="9:21" s="1" customFormat="1" x14ac:dyDescent="0.25">
      <c r="I575" s="44"/>
      <c r="J575" s="57"/>
      <c r="K575" s="44"/>
      <c r="L575" s="44"/>
      <c r="M575" s="44"/>
      <c r="T575" s="109"/>
      <c r="U575" s="43"/>
    </row>
    <row r="576" spans="9:21" s="1" customFormat="1" x14ac:dyDescent="0.25">
      <c r="I576" s="101"/>
      <c r="J576" s="102"/>
      <c r="K576" s="101"/>
      <c r="L576" s="101"/>
      <c r="M576" s="44"/>
      <c r="T576" s="46"/>
      <c r="U576" s="43"/>
    </row>
    <row r="577" spans="9:21" s="1" customFormat="1" x14ac:dyDescent="0.25">
      <c r="I577" s="44"/>
      <c r="J577" s="57"/>
      <c r="K577" s="44"/>
      <c r="L577" s="44"/>
      <c r="M577" s="44"/>
      <c r="T577" s="110"/>
      <c r="U577" s="43"/>
    </row>
    <row r="578" spans="9:21" s="1" customFormat="1" x14ac:dyDescent="0.25">
      <c r="I578" s="101"/>
      <c r="J578" s="102"/>
      <c r="K578" s="101"/>
      <c r="L578" s="101"/>
      <c r="M578" s="44"/>
      <c r="T578" s="47"/>
      <c r="U578" s="43"/>
    </row>
    <row r="579" spans="9:21" s="1" customFormat="1" x14ac:dyDescent="0.25">
      <c r="I579" s="44"/>
      <c r="J579" s="57"/>
      <c r="K579" s="44"/>
      <c r="L579" s="44"/>
      <c r="M579" s="44"/>
      <c r="T579" s="110"/>
      <c r="U579" s="43"/>
    </row>
    <row r="580" spans="9:21" s="1" customFormat="1" x14ac:dyDescent="0.25">
      <c r="I580" s="101"/>
      <c r="J580" s="102"/>
      <c r="K580" s="101"/>
      <c r="L580" s="101"/>
      <c r="M580" s="44"/>
      <c r="T580" s="47"/>
      <c r="U580" s="43"/>
    </row>
    <row r="581" spans="9:21" s="1" customFormat="1" x14ac:dyDescent="0.25">
      <c r="I581" s="44"/>
      <c r="J581" s="57"/>
      <c r="K581" s="44"/>
      <c r="L581" s="44"/>
      <c r="M581" s="44"/>
      <c r="T581" s="47"/>
      <c r="U581" s="43"/>
    </row>
    <row r="582" spans="9:21" s="1" customFormat="1" x14ac:dyDescent="0.25">
      <c r="I582" s="101"/>
      <c r="J582" s="102"/>
      <c r="K582" s="101"/>
      <c r="L582" s="101"/>
      <c r="M582" s="44"/>
      <c r="T582" s="47"/>
      <c r="U582" s="43"/>
    </row>
    <row r="583" spans="9:21" s="1" customFormat="1" x14ac:dyDescent="0.25">
      <c r="I583" s="44"/>
      <c r="J583" s="57"/>
      <c r="K583" s="44"/>
      <c r="L583" s="44"/>
      <c r="M583" s="44"/>
      <c r="T583" s="47"/>
      <c r="U583" s="43"/>
    </row>
    <row r="584" spans="9:21" s="1" customFormat="1" x14ac:dyDescent="0.25">
      <c r="I584" s="101"/>
      <c r="J584" s="102"/>
      <c r="K584" s="101"/>
      <c r="L584" s="101"/>
      <c r="M584" s="44"/>
      <c r="T584" s="47"/>
      <c r="U584" s="43"/>
    </row>
    <row r="585" spans="9:21" s="1" customFormat="1" x14ac:dyDescent="0.25">
      <c r="I585" s="44"/>
      <c r="J585" s="57"/>
      <c r="K585" s="44"/>
      <c r="L585" s="44"/>
      <c r="M585" s="44"/>
      <c r="T585" s="47"/>
      <c r="U585" s="43"/>
    </row>
    <row r="586" spans="9:21" s="1" customFormat="1" x14ac:dyDescent="0.25">
      <c r="I586" s="101"/>
      <c r="J586" s="102"/>
      <c r="K586" s="101"/>
      <c r="L586" s="101"/>
      <c r="M586" s="44"/>
      <c r="T586" s="47"/>
      <c r="U586" s="43"/>
    </row>
    <row r="587" spans="9:21" s="1" customFormat="1" x14ac:dyDescent="0.25">
      <c r="I587" s="44"/>
      <c r="J587" s="57"/>
      <c r="K587" s="44"/>
      <c r="L587" s="44"/>
      <c r="M587" s="44"/>
      <c r="T587" s="47"/>
      <c r="U587" s="43"/>
    </row>
    <row r="588" spans="9:21" s="1" customFormat="1" x14ac:dyDescent="0.25">
      <c r="I588" s="101"/>
      <c r="J588" s="102"/>
      <c r="K588" s="101"/>
      <c r="L588" s="101"/>
      <c r="M588" s="44"/>
      <c r="T588" s="47"/>
      <c r="U588" s="43"/>
    </row>
    <row r="589" spans="9:21" s="1" customFormat="1" x14ac:dyDescent="0.25">
      <c r="I589" s="44"/>
      <c r="J589" s="57"/>
      <c r="K589" s="44"/>
      <c r="L589" s="44"/>
      <c r="M589" s="44"/>
      <c r="T589" s="47"/>
      <c r="U589" s="43"/>
    </row>
    <row r="590" spans="9:21" s="1" customFormat="1" x14ac:dyDescent="0.25">
      <c r="I590" s="101"/>
      <c r="J590" s="102"/>
      <c r="K590" s="101"/>
      <c r="L590" s="101"/>
      <c r="M590" s="44"/>
      <c r="T590" s="47"/>
      <c r="U590" s="43"/>
    </row>
    <row r="591" spans="9:21" s="1" customFormat="1" x14ac:dyDescent="0.25">
      <c r="I591" s="44"/>
      <c r="J591" s="57"/>
      <c r="K591" s="44"/>
      <c r="L591" s="44"/>
      <c r="M591" s="44"/>
      <c r="T591" s="47"/>
      <c r="U591" s="43"/>
    </row>
    <row r="592" spans="9:21" s="1" customFormat="1" x14ac:dyDescent="0.25">
      <c r="I592" s="101"/>
      <c r="J592" s="102"/>
      <c r="K592" s="101"/>
      <c r="L592" s="101"/>
      <c r="M592" s="44"/>
      <c r="T592" s="47"/>
      <c r="U592" s="43"/>
    </row>
    <row r="593" spans="9:21" s="1" customFormat="1" x14ac:dyDescent="0.25">
      <c r="I593" s="44"/>
      <c r="J593" s="57"/>
      <c r="K593" s="44"/>
      <c r="L593" s="44"/>
      <c r="M593" s="44"/>
      <c r="T593" s="47"/>
      <c r="U593" s="43"/>
    </row>
    <row r="594" spans="9:21" s="1" customFormat="1" x14ac:dyDescent="0.25">
      <c r="I594" s="101"/>
      <c r="J594" s="102"/>
      <c r="K594" s="101"/>
      <c r="L594" s="101"/>
      <c r="M594" s="44"/>
      <c r="T594" s="47"/>
      <c r="U594" s="43"/>
    </row>
    <row r="595" spans="9:21" s="1" customFormat="1" x14ac:dyDescent="0.25">
      <c r="I595" s="44"/>
      <c r="J595" s="57"/>
      <c r="K595" s="44"/>
      <c r="L595" s="44"/>
      <c r="M595" s="44"/>
      <c r="T595" s="47"/>
      <c r="U595" s="43"/>
    </row>
    <row r="596" spans="9:21" s="1" customFormat="1" x14ac:dyDescent="0.25">
      <c r="I596" s="101"/>
      <c r="J596" s="102"/>
      <c r="K596" s="101"/>
      <c r="L596" s="101"/>
      <c r="M596" s="44"/>
      <c r="T596" s="47"/>
      <c r="U596" s="43"/>
    </row>
    <row r="597" spans="9:21" s="1" customFormat="1" x14ac:dyDescent="0.25">
      <c r="I597" s="44"/>
      <c r="J597" s="57"/>
      <c r="K597" s="44"/>
      <c r="L597" s="44"/>
      <c r="M597" s="44"/>
      <c r="T597" s="47"/>
      <c r="U597" s="43"/>
    </row>
    <row r="598" spans="9:21" s="1" customFormat="1" x14ac:dyDescent="0.25">
      <c r="I598" s="101"/>
      <c r="J598" s="102"/>
      <c r="K598" s="101"/>
      <c r="L598" s="101"/>
      <c r="M598" s="44"/>
      <c r="T598" s="47"/>
      <c r="U598" s="43"/>
    </row>
    <row r="599" spans="9:21" s="1" customFormat="1" x14ac:dyDescent="0.25">
      <c r="I599" s="44"/>
      <c r="J599" s="57"/>
      <c r="K599" s="44"/>
      <c r="L599" s="44"/>
      <c r="M599" s="44"/>
      <c r="T599" s="47"/>
      <c r="U599" s="43"/>
    </row>
    <row r="600" spans="9:21" s="1" customFormat="1" x14ac:dyDescent="0.25">
      <c r="I600" s="101"/>
      <c r="J600" s="102"/>
      <c r="K600" s="101"/>
      <c r="L600" s="101"/>
      <c r="M600" s="44"/>
      <c r="T600" s="47"/>
      <c r="U600" s="43"/>
    </row>
    <row r="601" spans="9:21" s="1" customFormat="1" x14ac:dyDescent="0.25">
      <c r="I601" s="44"/>
      <c r="J601" s="57"/>
      <c r="K601" s="44"/>
      <c r="L601" s="44"/>
      <c r="M601" s="44"/>
      <c r="T601" s="47"/>
      <c r="U601" s="43"/>
    </row>
    <row r="602" spans="9:21" s="1" customFormat="1" x14ac:dyDescent="0.25">
      <c r="I602" s="101"/>
      <c r="J602" s="102"/>
      <c r="K602" s="101"/>
      <c r="L602" s="101"/>
      <c r="M602" s="44"/>
      <c r="T602" s="47"/>
      <c r="U602" s="43"/>
    </row>
    <row r="603" spans="9:21" s="1" customFormat="1" x14ac:dyDescent="0.25">
      <c r="I603" s="44"/>
      <c r="J603" s="57"/>
      <c r="K603" s="44"/>
      <c r="L603" s="44"/>
      <c r="M603" s="44"/>
      <c r="T603" s="47"/>
      <c r="U603" s="43"/>
    </row>
    <row r="604" spans="9:21" s="1" customFormat="1" x14ac:dyDescent="0.25">
      <c r="I604" s="101"/>
      <c r="J604" s="102"/>
      <c r="K604" s="101"/>
      <c r="L604" s="101"/>
      <c r="M604" s="44"/>
      <c r="T604" s="47"/>
      <c r="U604" s="43"/>
    </row>
    <row r="605" spans="9:21" s="1" customFormat="1" x14ac:dyDescent="0.25">
      <c r="I605" s="44"/>
      <c r="J605" s="57"/>
      <c r="K605" s="44"/>
      <c r="L605" s="44"/>
      <c r="M605" s="44"/>
      <c r="T605" s="47"/>
      <c r="U605" s="43"/>
    </row>
    <row r="606" spans="9:21" s="1" customFormat="1" x14ac:dyDescent="0.25">
      <c r="I606" s="101"/>
      <c r="J606" s="102"/>
      <c r="K606" s="101"/>
      <c r="L606" s="101"/>
      <c r="M606" s="44"/>
      <c r="T606" s="47"/>
      <c r="U606" s="43"/>
    </row>
    <row r="607" spans="9:21" s="1" customFormat="1" x14ac:dyDescent="0.25">
      <c r="I607" s="44"/>
      <c r="J607" s="57"/>
      <c r="K607" s="44"/>
      <c r="L607" s="44"/>
      <c r="M607" s="44"/>
      <c r="T607" s="47"/>
      <c r="U607" s="43"/>
    </row>
    <row r="608" spans="9:21" s="1" customFormat="1" x14ac:dyDescent="0.25">
      <c r="I608" s="101"/>
      <c r="J608" s="102"/>
      <c r="K608" s="101"/>
      <c r="L608" s="101"/>
      <c r="M608" s="44"/>
      <c r="T608" s="47"/>
      <c r="U608" s="43"/>
    </row>
    <row r="609" spans="9:21" s="1" customFormat="1" x14ac:dyDescent="0.25">
      <c r="I609" s="44"/>
      <c r="J609" s="57"/>
      <c r="K609" s="44"/>
      <c r="L609" s="44"/>
      <c r="M609" s="44"/>
      <c r="T609" s="47"/>
      <c r="U609" s="43"/>
    </row>
    <row r="610" spans="9:21" s="1" customFormat="1" x14ac:dyDescent="0.25">
      <c r="I610" s="101"/>
      <c r="J610" s="102"/>
      <c r="K610" s="101"/>
      <c r="L610" s="101"/>
      <c r="M610" s="44"/>
      <c r="T610" s="47"/>
      <c r="U610" s="43"/>
    </row>
    <row r="611" spans="9:21" s="1" customFormat="1" x14ac:dyDescent="0.25">
      <c r="I611" s="44"/>
      <c r="J611" s="57"/>
      <c r="K611" s="44"/>
      <c r="L611" s="44"/>
      <c r="M611" s="44"/>
      <c r="T611" s="47"/>
      <c r="U611" s="43"/>
    </row>
    <row r="612" spans="9:21" s="1" customFormat="1" x14ac:dyDescent="0.25">
      <c r="I612" s="101"/>
      <c r="J612" s="102"/>
      <c r="K612" s="101"/>
      <c r="L612" s="101"/>
      <c r="M612" s="44"/>
      <c r="T612" s="47"/>
      <c r="U612" s="43"/>
    </row>
    <row r="613" spans="9:21" s="1" customFormat="1" x14ac:dyDescent="0.25">
      <c r="I613" s="44"/>
      <c r="J613" s="57"/>
      <c r="K613" s="44"/>
      <c r="L613" s="44"/>
      <c r="M613" s="44"/>
      <c r="T613" s="47"/>
      <c r="U613" s="43"/>
    </row>
    <row r="614" spans="9:21" s="1" customFormat="1" x14ac:dyDescent="0.25">
      <c r="I614" s="101"/>
      <c r="J614" s="102"/>
      <c r="K614" s="101"/>
      <c r="L614" s="101"/>
      <c r="M614" s="44"/>
      <c r="T614" s="47"/>
      <c r="U614" s="43"/>
    </row>
    <row r="615" spans="9:21" s="1" customFormat="1" x14ac:dyDescent="0.25">
      <c r="I615" s="44"/>
      <c r="J615" s="57"/>
      <c r="K615" s="44"/>
      <c r="L615" s="44"/>
      <c r="M615" s="44"/>
      <c r="T615" s="47"/>
      <c r="U615" s="43"/>
    </row>
    <row r="616" spans="9:21" s="1" customFormat="1" x14ac:dyDescent="0.25">
      <c r="I616" s="101"/>
      <c r="J616" s="102"/>
      <c r="K616" s="101"/>
      <c r="L616" s="101"/>
      <c r="M616" s="44"/>
      <c r="T616" s="47"/>
      <c r="U616" s="43"/>
    </row>
    <row r="617" spans="9:21" s="1" customFormat="1" x14ac:dyDescent="0.25">
      <c r="I617" s="44"/>
      <c r="J617" s="57"/>
      <c r="K617" s="44"/>
      <c r="L617" s="44"/>
      <c r="M617" s="44"/>
      <c r="T617" s="47"/>
      <c r="U617" s="43"/>
    </row>
    <row r="618" spans="9:21" s="1" customFormat="1" x14ac:dyDescent="0.25">
      <c r="I618" s="101"/>
      <c r="J618" s="102"/>
      <c r="K618" s="101"/>
      <c r="L618" s="101"/>
      <c r="M618" s="44"/>
      <c r="T618" s="47"/>
      <c r="U618" s="43"/>
    </row>
    <row r="619" spans="9:21" s="1" customFormat="1" x14ac:dyDescent="0.25">
      <c r="I619" s="44"/>
      <c r="J619" s="57"/>
      <c r="K619" s="44"/>
      <c r="L619" s="44"/>
      <c r="M619" s="44"/>
      <c r="T619" s="47"/>
      <c r="U619" s="43"/>
    </row>
    <row r="620" spans="9:21" s="1" customFormat="1" x14ac:dyDescent="0.25">
      <c r="I620" s="101"/>
      <c r="J620" s="102"/>
      <c r="K620" s="101"/>
      <c r="L620" s="101"/>
      <c r="M620" s="44"/>
      <c r="T620" s="47"/>
      <c r="U620" s="43"/>
    </row>
    <row r="621" spans="9:21" s="1" customFormat="1" x14ac:dyDescent="0.25">
      <c r="I621" s="44"/>
      <c r="J621" s="57"/>
      <c r="K621" s="44"/>
      <c r="L621" s="44"/>
      <c r="M621" s="44"/>
      <c r="T621" s="47"/>
      <c r="U621" s="43"/>
    </row>
    <row r="622" spans="9:21" s="1" customFormat="1" x14ac:dyDescent="0.25">
      <c r="I622" s="101"/>
      <c r="J622" s="102"/>
      <c r="K622" s="101"/>
      <c r="L622" s="101"/>
      <c r="M622" s="44"/>
      <c r="T622" s="47"/>
      <c r="U622" s="43"/>
    </row>
    <row r="623" spans="9:21" s="1" customFormat="1" x14ac:dyDescent="0.25">
      <c r="I623" s="44"/>
      <c r="J623" s="57"/>
      <c r="K623" s="44"/>
      <c r="L623" s="44"/>
      <c r="M623" s="44"/>
      <c r="T623" s="47"/>
      <c r="U623" s="43"/>
    </row>
    <row r="624" spans="9:21" s="1" customFormat="1" x14ac:dyDescent="0.25">
      <c r="I624" s="101"/>
      <c r="J624" s="102"/>
      <c r="K624" s="101"/>
      <c r="L624" s="101"/>
      <c r="M624" s="44"/>
      <c r="T624" s="47"/>
      <c r="U624" s="43"/>
    </row>
    <row r="625" spans="9:21" s="1" customFormat="1" x14ac:dyDescent="0.25">
      <c r="I625" s="44"/>
      <c r="J625" s="57"/>
      <c r="K625" s="44"/>
      <c r="L625" s="44"/>
      <c r="M625" s="44"/>
      <c r="T625" s="47"/>
      <c r="U625" s="43"/>
    </row>
    <row r="626" spans="9:21" s="1" customFormat="1" x14ac:dyDescent="0.25">
      <c r="I626" s="101"/>
      <c r="J626" s="102"/>
      <c r="K626" s="101"/>
      <c r="L626" s="101"/>
      <c r="M626" s="44"/>
      <c r="T626" s="47"/>
      <c r="U626" s="43"/>
    </row>
    <row r="627" spans="9:21" s="1" customFormat="1" x14ac:dyDescent="0.25">
      <c r="I627" s="44"/>
      <c r="J627" s="57"/>
      <c r="K627" s="44"/>
      <c r="L627" s="44"/>
      <c r="M627" s="44"/>
      <c r="T627" s="47"/>
      <c r="U627" s="43"/>
    </row>
    <row r="628" spans="9:21" s="1" customFormat="1" x14ac:dyDescent="0.25">
      <c r="I628" s="101"/>
      <c r="J628" s="102"/>
      <c r="K628" s="101"/>
      <c r="L628" s="101"/>
      <c r="M628" s="44"/>
      <c r="T628" s="47"/>
      <c r="U628" s="43"/>
    </row>
    <row r="629" spans="9:21" s="1" customFormat="1" x14ac:dyDescent="0.25">
      <c r="I629" s="44"/>
      <c r="J629" s="57"/>
      <c r="K629" s="44"/>
      <c r="L629" s="44"/>
      <c r="M629" s="44"/>
      <c r="T629" s="47"/>
      <c r="U629" s="43"/>
    </row>
    <row r="630" spans="9:21" s="1" customFormat="1" x14ac:dyDescent="0.25">
      <c r="I630" s="101"/>
      <c r="J630" s="102"/>
      <c r="K630" s="101"/>
      <c r="L630" s="101"/>
      <c r="M630" s="44"/>
      <c r="T630" s="47"/>
      <c r="U630" s="43"/>
    </row>
    <row r="631" spans="9:21" s="1" customFormat="1" x14ac:dyDescent="0.25">
      <c r="I631" s="44"/>
      <c r="J631" s="57"/>
      <c r="K631" s="44"/>
      <c r="L631" s="44"/>
      <c r="M631" s="44"/>
      <c r="T631" s="47"/>
      <c r="U631" s="43"/>
    </row>
    <row r="632" spans="9:21" s="1" customFormat="1" x14ac:dyDescent="0.25">
      <c r="I632" s="101"/>
      <c r="J632" s="102"/>
      <c r="K632" s="101"/>
      <c r="L632" s="101"/>
      <c r="M632" s="44"/>
      <c r="T632" s="47"/>
      <c r="U632" s="43"/>
    </row>
    <row r="633" spans="9:21" s="1" customFormat="1" x14ac:dyDescent="0.25">
      <c r="I633" s="44"/>
      <c r="J633" s="57"/>
      <c r="K633" s="44"/>
      <c r="L633" s="44"/>
      <c r="M633" s="44"/>
      <c r="T633" s="47"/>
      <c r="U633" s="43"/>
    </row>
    <row r="634" spans="9:21" s="1" customFormat="1" x14ac:dyDescent="0.25">
      <c r="I634" s="101"/>
      <c r="J634" s="102"/>
      <c r="K634" s="101"/>
      <c r="L634" s="101"/>
      <c r="M634" s="44"/>
      <c r="T634" s="47"/>
      <c r="U634" s="43"/>
    </row>
    <row r="635" spans="9:21" s="1" customFormat="1" x14ac:dyDescent="0.25">
      <c r="I635" s="44"/>
      <c r="J635" s="57"/>
      <c r="K635" s="44"/>
      <c r="L635" s="44"/>
      <c r="M635" s="44"/>
      <c r="T635" s="47"/>
      <c r="U635" s="43"/>
    </row>
    <row r="636" spans="9:21" s="1" customFormat="1" x14ac:dyDescent="0.25">
      <c r="I636" s="101"/>
      <c r="J636" s="102"/>
      <c r="K636" s="101"/>
      <c r="L636" s="101"/>
      <c r="M636" s="44"/>
      <c r="T636" s="47"/>
      <c r="U636" s="43"/>
    </row>
    <row r="637" spans="9:21" s="1" customFormat="1" x14ac:dyDescent="0.25">
      <c r="I637" s="44"/>
      <c r="J637" s="57"/>
      <c r="K637" s="44"/>
      <c r="L637" s="44"/>
      <c r="M637" s="44"/>
      <c r="T637" s="47"/>
      <c r="U637" s="43"/>
    </row>
    <row r="638" spans="9:21" s="1" customFormat="1" x14ac:dyDescent="0.25">
      <c r="I638" s="101"/>
      <c r="J638" s="102"/>
      <c r="K638" s="101"/>
      <c r="L638" s="101"/>
      <c r="M638" s="44"/>
      <c r="T638" s="47"/>
      <c r="U638" s="43"/>
    </row>
    <row r="639" spans="9:21" s="1" customFormat="1" x14ac:dyDescent="0.25">
      <c r="I639" s="44"/>
      <c r="J639" s="57"/>
      <c r="K639" s="44"/>
      <c r="L639" s="44"/>
      <c r="M639" s="44"/>
      <c r="T639" s="47"/>
      <c r="U639" s="43"/>
    </row>
    <row r="640" spans="9:21" s="1" customFormat="1" x14ac:dyDescent="0.25">
      <c r="I640" s="101"/>
      <c r="J640" s="102"/>
      <c r="K640" s="101"/>
      <c r="L640" s="101"/>
      <c r="M640" s="44"/>
      <c r="T640" s="47"/>
      <c r="U640" s="43"/>
    </row>
    <row r="641" spans="9:21" s="1" customFormat="1" x14ac:dyDescent="0.25">
      <c r="I641" s="44"/>
      <c r="J641" s="57"/>
      <c r="K641" s="44"/>
      <c r="L641" s="44"/>
      <c r="M641" s="44"/>
      <c r="T641" s="47"/>
      <c r="U641" s="43"/>
    </row>
    <row r="642" spans="9:21" s="1" customFormat="1" x14ac:dyDescent="0.25">
      <c r="I642" s="101"/>
      <c r="J642" s="102"/>
      <c r="K642" s="101"/>
      <c r="L642" s="101"/>
      <c r="M642" s="44"/>
      <c r="T642" s="47"/>
      <c r="U642" s="43"/>
    </row>
    <row r="643" spans="9:21" s="1" customFormat="1" x14ac:dyDescent="0.25">
      <c r="I643" s="44"/>
      <c r="J643" s="57"/>
      <c r="K643" s="44"/>
      <c r="L643" s="44"/>
      <c r="M643" s="44"/>
      <c r="T643" s="47"/>
      <c r="U643" s="43"/>
    </row>
    <row r="644" spans="9:21" s="1" customFormat="1" x14ac:dyDescent="0.25">
      <c r="I644" s="101"/>
      <c r="J644" s="102"/>
      <c r="K644" s="101"/>
      <c r="L644" s="101"/>
      <c r="M644" s="44"/>
      <c r="T644" s="47"/>
      <c r="U644" s="43"/>
    </row>
    <row r="645" spans="9:21" s="1" customFormat="1" x14ac:dyDescent="0.25">
      <c r="I645" s="44"/>
      <c r="J645" s="57"/>
      <c r="K645" s="44"/>
      <c r="L645" s="44"/>
      <c r="M645" s="44"/>
      <c r="T645" s="47"/>
      <c r="U645" s="43"/>
    </row>
    <row r="646" spans="9:21" s="1" customFormat="1" x14ac:dyDescent="0.25">
      <c r="I646" s="101"/>
      <c r="J646" s="102"/>
      <c r="K646" s="101"/>
      <c r="L646" s="101"/>
      <c r="M646" s="44"/>
      <c r="T646" s="47"/>
      <c r="U646" s="43"/>
    </row>
    <row r="647" spans="9:21" s="1" customFormat="1" x14ac:dyDescent="0.25">
      <c r="I647" s="44"/>
      <c r="J647" s="57"/>
      <c r="K647" s="44"/>
      <c r="L647" s="44"/>
      <c r="M647" s="44"/>
      <c r="T647" s="47"/>
      <c r="U647" s="43"/>
    </row>
    <row r="648" spans="9:21" s="1" customFormat="1" x14ac:dyDescent="0.25">
      <c r="I648" s="101"/>
      <c r="J648" s="102"/>
      <c r="K648" s="101"/>
      <c r="L648" s="101"/>
      <c r="M648" s="44"/>
      <c r="T648" s="47"/>
      <c r="U648" s="43"/>
    </row>
    <row r="649" spans="9:21" s="1" customFormat="1" x14ac:dyDescent="0.25">
      <c r="I649" s="44"/>
      <c r="J649" s="57"/>
      <c r="K649" s="44"/>
      <c r="L649" s="44"/>
      <c r="M649" s="44"/>
      <c r="T649" s="47"/>
      <c r="U649" s="43"/>
    </row>
    <row r="650" spans="9:21" s="1" customFormat="1" x14ac:dyDescent="0.25">
      <c r="I650" s="101"/>
      <c r="J650" s="102"/>
      <c r="K650" s="101"/>
      <c r="L650" s="101"/>
      <c r="M650" s="44"/>
      <c r="T650" s="47"/>
      <c r="U650" s="43"/>
    </row>
    <row r="651" spans="9:21" s="1" customFormat="1" x14ac:dyDescent="0.25">
      <c r="I651" s="44"/>
      <c r="J651" s="57"/>
      <c r="K651" s="44"/>
      <c r="L651" s="44"/>
      <c r="M651" s="44"/>
      <c r="T651" s="47"/>
      <c r="U651" s="43"/>
    </row>
    <row r="652" spans="9:21" s="1" customFormat="1" x14ac:dyDescent="0.25">
      <c r="I652" s="101"/>
      <c r="J652" s="102"/>
      <c r="K652" s="101"/>
      <c r="L652" s="101"/>
      <c r="M652" s="44"/>
      <c r="T652" s="47"/>
      <c r="U652" s="43"/>
    </row>
    <row r="653" spans="9:21" s="1" customFormat="1" x14ac:dyDescent="0.25">
      <c r="I653" s="44"/>
      <c r="J653" s="57"/>
      <c r="K653" s="44"/>
      <c r="L653" s="44"/>
      <c r="M653" s="44"/>
      <c r="T653" s="47"/>
      <c r="U653" s="43"/>
    </row>
    <row r="654" spans="9:21" s="1" customFormat="1" x14ac:dyDescent="0.25">
      <c r="I654" s="101"/>
      <c r="J654" s="102"/>
      <c r="K654" s="101"/>
      <c r="L654" s="101"/>
      <c r="M654" s="44"/>
      <c r="T654" s="47"/>
      <c r="U654" s="43"/>
    </row>
    <row r="655" spans="9:21" s="1" customFormat="1" x14ac:dyDescent="0.25">
      <c r="I655" s="44"/>
      <c r="J655" s="57"/>
      <c r="K655" s="44"/>
      <c r="L655" s="44"/>
      <c r="M655" s="44"/>
      <c r="T655" s="47"/>
      <c r="U655" s="43"/>
    </row>
    <row r="656" spans="9:21" s="1" customFormat="1" x14ac:dyDescent="0.25">
      <c r="I656" s="101"/>
      <c r="J656" s="102"/>
      <c r="K656" s="101"/>
      <c r="L656" s="101"/>
      <c r="M656" s="44"/>
      <c r="T656" s="47"/>
      <c r="U656" s="43"/>
    </row>
    <row r="657" spans="9:21" s="1" customFormat="1" x14ac:dyDescent="0.25">
      <c r="I657" s="44"/>
      <c r="J657" s="57"/>
      <c r="K657" s="44"/>
      <c r="L657" s="44"/>
      <c r="M657" s="44"/>
      <c r="T657" s="47"/>
      <c r="U657" s="43"/>
    </row>
    <row r="658" spans="9:21" s="1" customFormat="1" x14ac:dyDescent="0.25">
      <c r="I658" s="101"/>
      <c r="J658" s="102"/>
      <c r="K658" s="101"/>
      <c r="L658" s="101"/>
      <c r="M658" s="44"/>
      <c r="T658" s="47"/>
      <c r="U658" s="43"/>
    </row>
    <row r="659" spans="9:21" s="1" customFormat="1" x14ac:dyDescent="0.25">
      <c r="I659" s="44"/>
      <c r="J659" s="57"/>
      <c r="K659" s="44"/>
      <c r="L659" s="44"/>
      <c r="M659" s="44"/>
      <c r="T659" s="47"/>
      <c r="U659" s="43"/>
    </row>
    <row r="660" spans="9:21" s="1" customFormat="1" x14ac:dyDescent="0.25">
      <c r="I660" s="101"/>
      <c r="J660" s="102"/>
      <c r="K660" s="101"/>
      <c r="L660" s="101"/>
      <c r="M660" s="44"/>
      <c r="T660" s="47"/>
      <c r="U660" s="43"/>
    </row>
    <row r="661" spans="9:21" s="1" customFormat="1" x14ac:dyDescent="0.25">
      <c r="I661" s="44"/>
      <c r="J661" s="57"/>
      <c r="K661" s="44"/>
      <c r="L661" s="44"/>
      <c r="M661" s="44"/>
      <c r="T661" s="47"/>
      <c r="U661" s="43"/>
    </row>
    <row r="662" spans="9:21" s="1" customFormat="1" x14ac:dyDescent="0.25">
      <c r="I662" s="101"/>
      <c r="J662" s="102"/>
      <c r="K662" s="101"/>
      <c r="L662" s="101"/>
      <c r="M662" s="44"/>
      <c r="T662" s="47"/>
      <c r="U662" s="43"/>
    </row>
    <row r="663" spans="9:21" s="1" customFormat="1" x14ac:dyDescent="0.25">
      <c r="I663" s="44"/>
      <c r="J663" s="57"/>
      <c r="K663" s="44"/>
      <c r="L663" s="44"/>
      <c r="M663" s="44"/>
      <c r="T663" s="47"/>
      <c r="U663" s="43"/>
    </row>
    <row r="664" spans="9:21" s="1" customFormat="1" x14ac:dyDescent="0.25">
      <c r="I664" s="101"/>
      <c r="J664" s="102"/>
      <c r="K664" s="101"/>
      <c r="L664" s="101"/>
      <c r="M664" s="44"/>
      <c r="T664" s="47"/>
      <c r="U664" s="43"/>
    </row>
    <row r="665" spans="9:21" s="1" customFormat="1" x14ac:dyDescent="0.25">
      <c r="I665" s="44"/>
      <c r="J665" s="57"/>
      <c r="K665" s="44"/>
      <c r="L665" s="44"/>
      <c r="M665" s="44"/>
      <c r="T665" s="47"/>
      <c r="U665" s="43"/>
    </row>
    <row r="666" spans="9:21" s="1" customFormat="1" x14ac:dyDescent="0.25">
      <c r="I666" s="101"/>
      <c r="J666" s="102"/>
      <c r="K666" s="101"/>
      <c r="L666" s="101"/>
      <c r="M666" s="44"/>
      <c r="T666" s="47"/>
      <c r="U666" s="43"/>
    </row>
    <row r="667" spans="9:21" s="1" customFormat="1" x14ac:dyDescent="0.25">
      <c r="I667" s="44"/>
      <c r="J667" s="57"/>
      <c r="K667" s="44"/>
      <c r="L667" s="44"/>
      <c r="M667" s="44"/>
      <c r="T667" s="47"/>
      <c r="U667" s="43"/>
    </row>
    <row r="668" spans="9:21" s="1" customFormat="1" x14ac:dyDescent="0.25">
      <c r="I668" s="101"/>
      <c r="J668" s="102"/>
      <c r="K668" s="101"/>
      <c r="L668" s="101"/>
      <c r="M668" s="44"/>
      <c r="T668" s="47"/>
      <c r="U668" s="43"/>
    </row>
    <row r="669" spans="9:21" s="1" customFormat="1" x14ac:dyDescent="0.25">
      <c r="I669" s="44"/>
      <c r="J669" s="57"/>
      <c r="K669" s="44"/>
      <c r="L669" s="44"/>
      <c r="M669" s="44"/>
      <c r="T669" s="47"/>
      <c r="U669" s="43"/>
    </row>
    <row r="670" spans="9:21" s="1" customFormat="1" x14ac:dyDescent="0.25">
      <c r="I670" s="101"/>
      <c r="J670" s="102"/>
      <c r="K670" s="101"/>
      <c r="L670" s="101"/>
      <c r="M670" s="44"/>
      <c r="T670" s="47"/>
      <c r="U670" s="43"/>
    </row>
    <row r="671" spans="9:21" s="1" customFormat="1" x14ac:dyDescent="0.25">
      <c r="I671" s="44"/>
      <c r="J671" s="57"/>
      <c r="K671" s="44"/>
      <c r="L671" s="44"/>
      <c r="M671" s="44"/>
      <c r="T671" s="47"/>
      <c r="U671" s="43"/>
    </row>
    <row r="672" spans="9:21" s="1" customFormat="1" x14ac:dyDescent="0.25">
      <c r="I672" s="101"/>
      <c r="J672" s="102"/>
      <c r="K672" s="101"/>
      <c r="L672" s="101"/>
      <c r="M672" s="44"/>
      <c r="T672" s="47"/>
      <c r="U672" s="43"/>
    </row>
    <row r="673" spans="9:21" s="1" customFormat="1" x14ac:dyDescent="0.25">
      <c r="I673" s="44"/>
      <c r="J673" s="57"/>
      <c r="K673" s="44"/>
      <c r="L673" s="44"/>
      <c r="M673" s="44"/>
      <c r="T673" s="47"/>
      <c r="U673" s="43"/>
    </row>
    <row r="674" spans="9:21" s="1" customFormat="1" x14ac:dyDescent="0.25">
      <c r="I674" s="101"/>
      <c r="J674" s="102"/>
      <c r="K674" s="101"/>
      <c r="L674" s="101"/>
      <c r="M674" s="44"/>
      <c r="T674" s="47"/>
      <c r="U674" s="43"/>
    </row>
    <row r="675" spans="9:21" s="1" customFormat="1" x14ac:dyDescent="0.25">
      <c r="I675" s="44"/>
      <c r="J675" s="57"/>
      <c r="K675" s="44"/>
      <c r="L675" s="44"/>
      <c r="M675" s="44"/>
      <c r="T675" s="47"/>
      <c r="U675" s="43"/>
    </row>
    <row r="676" spans="9:21" s="1" customFormat="1" x14ac:dyDescent="0.25">
      <c r="I676" s="101"/>
      <c r="J676" s="102"/>
      <c r="K676" s="101"/>
      <c r="L676" s="101"/>
      <c r="M676" s="44"/>
      <c r="T676" s="47"/>
      <c r="U676" s="43"/>
    </row>
    <row r="677" spans="9:21" s="1" customFormat="1" x14ac:dyDescent="0.25">
      <c r="I677" s="44"/>
      <c r="J677" s="57"/>
      <c r="K677" s="44"/>
      <c r="L677" s="44"/>
      <c r="M677" s="44"/>
      <c r="T677" s="47"/>
      <c r="U677" s="43"/>
    </row>
    <row r="678" spans="9:21" s="1" customFormat="1" x14ac:dyDescent="0.25">
      <c r="I678" s="101"/>
      <c r="J678" s="102"/>
      <c r="K678" s="101"/>
      <c r="L678" s="101"/>
      <c r="M678" s="44"/>
      <c r="T678" s="47"/>
      <c r="U678" s="43"/>
    </row>
    <row r="679" spans="9:21" s="1" customFormat="1" x14ac:dyDescent="0.25">
      <c r="I679" s="44"/>
      <c r="J679" s="57"/>
      <c r="K679" s="44"/>
      <c r="L679" s="44"/>
      <c r="M679" s="44"/>
      <c r="T679" s="47"/>
      <c r="U679" s="43"/>
    </row>
    <row r="680" spans="9:21" s="1" customFormat="1" x14ac:dyDescent="0.25">
      <c r="I680" s="101"/>
      <c r="J680" s="102"/>
      <c r="K680" s="101"/>
      <c r="L680" s="101"/>
      <c r="M680" s="44"/>
      <c r="T680" s="47"/>
      <c r="U680" s="43"/>
    </row>
    <row r="681" spans="9:21" s="1" customFormat="1" x14ac:dyDescent="0.25">
      <c r="I681" s="44"/>
      <c r="J681" s="57"/>
      <c r="K681" s="44"/>
      <c r="L681" s="44"/>
      <c r="M681" s="44"/>
      <c r="T681" s="47"/>
      <c r="U681" s="43"/>
    </row>
    <row r="682" spans="9:21" s="1" customFormat="1" x14ac:dyDescent="0.25">
      <c r="I682" s="101"/>
      <c r="J682" s="102"/>
      <c r="K682" s="101"/>
      <c r="L682" s="101"/>
      <c r="M682" s="44"/>
      <c r="T682" s="47"/>
      <c r="U682" s="43"/>
    </row>
    <row r="683" spans="9:21" s="1" customFormat="1" x14ac:dyDescent="0.25">
      <c r="I683" s="44"/>
      <c r="J683" s="57"/>
      <c r="K683" s="44"/>
      <c r="L683" s="44"/>
      <c r="M683" s="44"/>
      <c r="T683" s="47"/>
      <c r="U683" s="43"/>
    </row>
    <row r="684" spans="9:21" s="1" customFormat="1" x14ac:dyDescent="0.25">
      <c r="I684" s="101"/>
      <c r="J684" s="102"/>
      <c r="K684" s="101"/>
      <c r="L684" s="101"/>
      <c r="M684" s="44"/>
      <c r="T684" s="47"/>
      <c r="U684" s="43"/>
    </row>
    <row r="685" spans="9:21" s="1" customFormat="1" x14ac:dyDescent="0.25">
      <c r="I685" s="44"/>
      <c r="J685" s="57"/>
      <c r="K685" s="44"/>
      <c r="L685" s="44"/>
      <c r="M685" s="44"/>
      <c r="T685" s="47"/>
      <c r="U685" s="43"/>
    </row>
    <row r="686" spans="9:21" s="1" customFormat="1" x14ac:dyDescent="0.25">
      <c r="I686" s="101"/>
      <c r="J686" s="102"/>
      <c r="K686" s="101"/>
      <c r="L686" s="101"/>
      <c r="M686" s="44"/>
      <c r="T686" s="47"/>
      <c r="U686" s="43"/>
    </row>
    <row r="687" spans="9:21" s="1" customFormat="1" x14ac:dyDescent="0.25">
      <c r="I687" s="44"/>
      <c r="J687" s="57"/>
      <c r="K687" s="44"/>
      <c r="L687" s="44"/>
      <c r="M687" s="44"/>
      <c r="T687" s="47"/>
      <c r="U687" s="43"/>
    </row>
    <row r="688" spans="9:21" s="1" customFormat="1" x14ac:dyDescent="0.25">
      <c r="I688" s="101"/>
      <c r="J688" s="102"/>
      <c r="K688" s="101"/>
      <c r="L688" s="101"/>
      <c r="M688" s="44"/>
      <c r="T688" s="47"/>
      <c r="U688" s="43"/>
    </row>
    <row r="689" spans="9:21" s="1" customFormat="1" x14ac:dyDescent="0.25">
      <c r="I689" s="44"/>
      <c r="J689" s="57"/>
      <c r="K689" s="44"/>
      <c r="L689" s="44"/>
      <c r="M689" s="44"/>
      <c r="T689" s="47"/>
      <c r="U689" s="43"/>
    </row>
    <row r="690" spans="9:21" s="1" customFormat="1" x14ac:dyDescent="0.25">
      <c r="I690" s="101"/>
      <c r="J690" s="102"/>
      <c r="K690" s="101"/>
      <c r="L690" s="101"/>
      <c r="M690" s="44"/>
      <c r="T690" s="47"/>
      <c r="U690" s="43"/>
    </row>
    <row r="691" spans="9:21" s="1" customFormat="1" x14ac:dyDescent="0.25">
      <c r="I691" s="44"/>
      <c r="J691" s="57"/>
      <c r="K691" s="44"/>
      <c r="L691" s="44"/>
      <c r="M691" s="44"/>
      <c r="T691" s="47"/>
      <c r="U691" s="43"/>
    </row>
    <row r="692" spans="9:21" s="1" customFormat="1" x14ac:dyDescent="0.25">
      <c r="I692" s="101"/>
      <c r="J692" s="102"/>
      <c r="K692" s="101"/>
      <c r="L692" s="101"/>
      <c r="M692" s="44"/>
      <c r="T692" s="47"/>
      <c r="U692" s="43"/>
    </row>
    <row r="693" spans="9:21" s="1" customFormat="1" x14ac:dyDescent="0.25">
      <c r="I693" s="44"/>
      <c r="J693" s="57"/>
      <c r="K693" s="44"/>
      <c r="L693" s="44"/>
      <c r="M693" s="44"/>
      <c r="T693" s="47"/>
      <c r="U693" s="43"/>
    </row>
    <row r="694" spans="9:21" s="1" customFormat="1" x14ac:dyDescent="0.25">
      <c r="I694" s="101"/>
      <c r="J694" s="102"/>
      <c r="K694" s="101"/>
      <c r="L694" s="101"/>
      <c r="M694" s="44"/>
      <c r="T694" s="47"/>
      <c r="U694" s="43"/>
    </row>
    <row r="695" spans="9:21" s="1" customFormat="1" x14ac:dyDescent="0.25">
      <c r="I695" s="44"/>
      <c r="J695" s="57"/>
      <c r="K695" s="44"/>
      <c r="L695" s="44"/>
      <c r="M695" s="44"/>
      <c r="T695" s="47"/>
      <c r="U695" s="43"/>
    </row>
    <row r="696" spans="9:21" s="1" customFormat="1" x14ac:dyDescent="0.25">
      <c r="I696" s="101"/>
      <c r="J696" s="102"/>
      <c r="K696" s="101"/>
      <c r="L696" s="101"/>
      <c r="M696" s="44"/>
      <c r="T696" s="47"/>
      <c r="U696" s="43"/>
    </row>
    <row r="697" spans="9:21" s="1" customFormat="1" x14ac:dyDescent="0.25">
      <c r="I697" s="44"/>
      <c r="J697" s="57"/>
      <c r="K697" s="44"/>
      <c r="L697" s="44"/>
      <c r="M697" s="44"/>
      <c r="T697" s="47"/>
      <c r="U697" s="43"/>
    </row>
    <row r="698" spans="9:21" s="1" customFormat="1" x14ac:dyDescent="0.25">
      <c r="I698" s="101"/>
      <c r="J698" s="102"/>
      <c r="K698" s="101"/>
      <c r="L698" s="101"/>
      <c r="M698" s="44"/>
      <c r="T698" s="47"/>
      <c r="U698" s="43"/>
    </row>
    <row r="699" spans="9:21" s="1" customFormat="1" x14ac:dyDescent="0.25">
      <c r="I699" s="44"/>
      <c r="J699" s="57"/>
      <c r="K699" s="44"/>
      <c r="L699" s="44"/>
      <c r="M699" s="44"/>
      <c r="T699" s="47"/>
      <c r="U699" s="43"/>
    </row>
    <row r="700" spans="9:21" s="1" customFormat="1" x14ac:dyDescent="0.25">
      <c r="I700" s="101"/>
      <c r="J700" s="102"/>
      <c r="K700" s="101"/>
      <c r="L700" s="101"/>
      <c r="M700" s="44"/>
      <c r="T700" s="47"/>
      <c r="U700" s="43"/>
    </row>
    <row r="701" spans="9:21" s="1" customFormat="1" x14ac:dyDescent="0.25">
      <c r="I701" s="44"/>
      <c r="J701" s="57"/>
      <c r="K701" s="44"/>
      <c r="L701" s="44"/>
      <c r="M701" s="44"/>
      <c r="T701" s="47"/>
      <c r="U701" s="43"/>
    </row>
    <row r="702" spans="9:21" s="1" customFormat="1" x14ac:dyDescent="0.25">
      <c r="I702" s="101"/>
      <c r="J702" s="102"/>
      <c r="K702" s="101"/>
      <c r="L702" s="101"/>
      <c r="M702" s="44"/>
      <c r="T702" s="47"/>
      <c r="U702" s="43"/>
    </row>
    <row r="703" spans="9:21" s="1" customFormat="1" x14ac:dyDescent="0.25">
      <c r="I703" s="44"/>
      <c r="J703" s="57"/>
      <c r="K703" s="44"/>
      <c r="L703" s="44"/>
      <c r="M703" s="44"/>
      <c r="T703" s="47"/>
      <c r="U703" s="43"/>
    </row>
    <row r="704" spans="9:21" s="1" customFormat="1" x14ac:dyDescent="0.25">
      <c r="I704" s="101"/>
      <c r="J704" s="102"/>
      <c r="K704" s="101"/>
      <c r="L704" s="101"/>
      <c r="M704" s="44"/>
      <c r="T704" s="47"/>
      <c r="U704" s="43"/>
    </row>
    <row r="705" spans="9:21" s="1" customFormat="1" x14ac:dyDescent="0.25">
      <c r="I705" s="44"/>
      <c r="J705" s="57"/>
      <c r="K705" s="44"/>
      <c r="L705" s="44"/>
      <c r="M705" s="44"/>
      <c r="T705" s="47"/>
      <c r="U705" s="43"/>
    </row>
    <row r="706" spans="9:21" s="1" customFormat="1" x14ac:dyDescent="0.25">
      <c r="I706" s="101"/>
      <c r="J706" s="102"/>
      <c r="K706" s="101"/>
      <c r="L706" s="101"/>
      <c r="M706" s="44"/>
      <c r="T706" s="47"/>
      <c r="U706" s="43"/>
    </row>
    <row r="707" spans="9:21" s="1" customFormat="1" x14ac:dyDescent="0.25">
      <c r="I707" s="44"/>
      <c r="J707" s="57"/>
      <c r="K707" s="44"/>
      <c r="L707" s="44"/>
      <c r="M707" s="44"/>
      <c r="T707" s="47"/>
      <c r="U707" s="43"/>
    </row>
    <row r="708" spans="9:21" s="1" customFormat="1" x14ac:dyDescent="0.25">
      <c r="I708" s="101"/>
      <c r="J708" s="102"/>
      <c r="K708" s="101"/>
      <c r="L708" s="101"/>
      <c r="M708" s="44"/>
      <c r="T708" s="47"/>
      <c r="U708" s="43"/>
    </row>
    <row r="709" spans="9:21" s="1" customFormat="1" x14ac:dyDescent="0.25">
      <c r="I709" s="44"/>
      <c r="J709" s="57"/>
      <c r="K709" s="44"/>
      <c r="L709" s="44"/>
      <c r="M709" s="44"/>
      <c r="T709" s="47"/>
      <c r="U709" s="43"/>
    </row>
    <row r="710" spans="9:21" s="1" customFormat="1" x14ac:dyDescent="0.25">
      <c r="I710" s="101"/>
      <c r="J710" s="102"/>
      <c r="K710" s="101"/>
      <c r="L710" s="101"/>
      <c r="M710" s="44"/>
      <c r="T710" s="47"/>
      <c r="U710" s="43"/>
    </row>
    <row r="711" spans="9:21" s="1" customFormat="1" x14ac:dyDescent="0.25">
      <c r="I711" s="44"/>
      <c r="J711" s="57"/>
      <c r="K711" s="44"/>
      <c r="L711" s="44"/>
      <c r="M711" s="44"/>
      <c r="T711" s="47"/>
      <c r="U711" s="43"/>
    </row>
    <row r="712" spans="9:21" s="1" customFormat="1" x14ac:dyDescent="0.25">
      <c r="I712" s="101"/>
      <c r="J712" s="102"/>
      <c r="K712" s="101"/>
      <c r="L712" s="101"/>
      <c r="M712" s="44"/>
      <c r="T712" s="47"/>
      <c r="U712" s="43"/>
    </row>
    <row r="713" spans="9:21" s="1" customFormat="1" x14ac:dyDescent="0.25">
      <c r="I713" s="44"/>
      <c r="J713" s="57"/>
      <c r="K713" s="44"/>
      <c r="L713" s="44"/>
      <c r="M713" s="44"/>
      <c r="T713" s="47"/>
      <c r="U713" s="43"/>
    </row>
    <row r="714" spans="9:21" s="1" customFormat="1" x14ac:dyDescent="0.25">
      <c r="I714" s="101"/>
      <c r="J714" s="102"/>
      <c r="K714" s="101"/>
      <c r="L714" s="101"/>
      <c r="M714" s="44"/>
      <c r="T714" s="47"/>
      <c r="U714" s="43"/>
    </row>
    <row r="715" spans="9:21" s="1" customFormat="1" x14ac:dyDescent="0.25">
      <c r="I715" s="44"/>
      <c r="J715" s="57"/>
      <c r="K715" s="44"/>
      <c r="L715" s="44"/>
      <c r="M715" s="44"/>
      <c r="T715" s="47"/>
      <c r="U715" s="43"/>
    </row>
    <row r="716" spans="9:21" s="1" customFormat="1" x14ac:dyDescent="0.25">
      <c r="I716" s="101"/>
      <c r="J716" s="102"/>
      <c r="K716" s="101"/>
      <c r="L716" s="101"/>
      <c r="M716" s="44"/>
      <c r="T716" s="47"/>
      <c r="U716" s="43"/>
    </row>
    <row r="717" spans="9:21" s="1" customFormat="1" x14ac:dyDescent="0.25">
      <c r="I717" s="44"/>
      <c r="J717" s="57"/>
      <c r="K717" s="44"/>
      <c r="L717" s="44"/>
      <c r="M717" s="44"/>
      <c r="T717" s="47"/>
      <c r="U717" s="43"/>
    </row>
    <row r="718" spans="9:21" s="1" customFormat="1" x14ac:dyDescent="0.25">
      <c r="I718" s="101"/>
      <c r="J718" s="102"/>
      <c r="K718" s="101"/>
      <c r="L718" s="101"/>
      <c r="M718" s="44"/>
      <c r="T718" s="47"/>
      <c r="U718" s="43"/>
    </row>
    <row r="719" spans="9:21" s="1" customFormat="1" x14ac:dyDescent="0.25">
      <c r="I719" s="44"/>
      <c r="J719" s="57"/>
      <c r="K719" s="44"/>
      <c r="L719" s="44"/>
      <c r="M719" s="44"/>
      <c r="T719" s="47"/>
      <c r="U719" s="43"/>
    </row>
    <row r="720" spans="9:21" s="1" customFormat="1" x14ac:dyDescent="0.25">
      <c r="I720" s="101"/>
      <c r="J720" s="102"/>
      <c r="K720" s="101"/>
      <c r="L720" s="101"/>
      <c r="M720" s="44"/>
      <c r="T720" s="47"/>
      <c r="U720" s="43"/>
    </row>
    <row r="721" spans="9:21" s="1" customFormat="1" x14ac:dyDescent="0.25">
      <c r="I721" s="44"/>
      <c r="J721" s="57"/>
      <c r="K721" s="44"/>
      <c r="L721" s="44"/>
      <c r="M721" s="44"/>
      <c r="T721" s="47"/>
      <c r="U721" s="43"/>
    </row>
    <row r="722" spans="9:21" s="1" customFormat="1" x14ac:dyDescent="0.25">
      <c r="I722" s="101"/>
      <c r="J722" s="102"/>
      <c r="K722" s="101"/>
      <c r="L722" s="101"/>
      <c r="M722" s="44"/>
      <c r="T722" s="47"/>
      <c r="U722" s="43"/>
    </row>
    <row r="723" spans="9:21" s="1" customFormat="1" x14ac:dyDescent="0.25">
      <c r="I723" s="44"/>
      <c r="J723" s="57"/>
      <c r="K723" s="44"/>
      <c r="L723" s="44"/>
      <c r="M723" s="44"/>
      <c r="T723" s="47"/>
      <c r="U723" s="43"/>
    </row>
    <row r="724" spans="9:21" s="1" customFormat="1" x14ac:dyDescent="0.25">
      <c r="I724" s="101"/>
      <c r="J724" s="102"/>
      <c r="K724" s="101"/>
      <c r="L724" s="101"/>
      <c r="M724" s="44"/>
      <c r="T724" s="47"/>
      <c r="U724" s="43"/>
    </row>
    <row r="725" spans="9:21" s="1" customFormat="1" x14ac:dyDescent="0.25">
      <c r="I725" s="44"/>
      <c r="J725" s="57"/>
      <c r="K725" s="44"/>
      <c r="L725" s="44"/>
      <c r="M725" s="44"/>
      <c r="T725" s="47"/>
      <c r="U725" s="43"/>
    </row>
    <row r="726" spans="9:21" s="1" customFormat="1" x14ac:dyDescent="0.25">
      <c r="I726" s="101"/>
      <c r="J726" s="102"/>
      <c r="K726" s="101"/>
      <c r="L726" s="101"/>
      <c r="M726" s="44"/>
      <c r="T726" s="47"/>
      <c r="U726" s="43"/>
    </row>
    <row r="727" spans="9:21" s="1" customFormat="1" x14ac:dyDescent="0.25">
      <c r="I727" s="44"/>
      <c r="J727" s="57"/>
      <c r="K727" s="44"/>
      <c r="L727" s="44"/>
      <c r="M727" s="44"/>
      <c r="T727" s="47"/>
      <c r="U727" s="43"/>
    </row>
    <row r="728" spans="9:21" s="1" customFormat="1" x14ac:dyDescent="0.25">
      <c r="I728" s="101"/>
      <c r="J728" s="102"/>
      <c r="K728" s="101"/>
      <c r="L728" s="101"/>
      <c r="M728" s="44"/>
      <c r="T728" s="47"/>
      <c r="U728" s="43"/>
    </row>
    <row r="729" spans="9:21" s="1" customFormat="1" x14ac:dyDescent="0.25">
      <c r="I729" s="44"/>
      <c r="J729" s="57"/>
      <c r="K729" s="44"/>
      <c r="L729" s="44"/>
      <c r="M729" s="44"/>
      <c r="T729" s="47"/>
      <c r="U729" s="43"/>
    </row>
    <row r="730" spans="9:21" s="1" customFormat="1" x14ac:dyDescent="0.25">
      <c r="I730" s="101"/>
      <c r="J730" s="102"/>
      <c r="K730" s="101"/>
      <c r="L730" s="101"/>
      <c r="M730" s="44"/>
      <c r="T730" s="47"/>
      <c r="U730" s="43"/>
    </row>
    <row r="731" spans="9:21" s="1" customFormat="1" x14ac:dyDescent="0.25">
      <c r="I731" s="44"/>
      <c r="J731" s="57"/>
      <c r="K731" s="44"/>
      <c r="L731" s="44"/>
      <c r="M731" s="44"/>
      <c r="T731" s="47"/>
      <c r="U731" s="43"/>
    </row>
    <row r="732" spans="9:21" s="1" customFormat="1" x14ac:dyDescent="0.25">
      <c r="I732" s="101"/>
      <c r="J732" s="102"/>
      <c r="K732" s="101"/>
      <c r="L732" s="101"/>
      <c r="M732" s="44"/>
      <c r="T732" s="47"/>
      <c r="U732" s="43"/>
    </row>
    <row r="733" spans="9:21" s="1" customFormat="1" x14ac:dyDescent="0.25">
      <c r="I733" s="44"/>
      <c r="J733" s="57"/>
      <c r="K733" s="44"/>
      <c r="L733" s="44"/>
      <c r="M733" s="44"/>
      <c r="T733" s="47"/>
      <c r="U733" s="43"/>
    </row>
    <row r="734" spans="9:21" s="1" customFormat="1" x14ac:dyDescent="0.25">
      <c r="I734" s="101"/>
      <c r="J734" s="102"/>
      <c r="K734" s="101"/>
      <c r="L734" s="101"/>
      <c r="M734" s="44"/>
      <c r="T734" s="47"/>
      <c r="U734" s="43"/>
    </row>
    <row r="735" spans="9:21" s="1" customFormat="1" x14ac:dyDescent="0.25">
      <c r="I735" s="44"/>
      <c r="J735" s="57"/>
      <c r="K735" s="44"/>
      <c r="L735" s="44"/>
      <c r="M735" s="44"/>
      <c r="T735" s="47"/>
      <c r="U735" s="43"/>
    </row>
    <row r="736" spans="9:21" s="1" customFormat="1" x14ac:dyDescent="0.25">
      <c r="I736" s="101"/>
      <c r="J736" s="102"/>
      <c r="K736" s="101"/>
      <c r="L736" s="101"/>
      <c r="M736" s="44"/>
      <c r="T736" s="47"/>
      <c r="U736" s="43"/>
    </row>
    <row r="737" spans="9:21" s="1" customFormat="1" x14ac:dyDescent="0.25">
      <c r="I737" s="44"/>
      <c r="J737" s="57"/>
      <c r="K737" s="44"/>
      <c r="L737" s="44"/>
      <c r="M737" s="44"/>
      <c r="T737" s="47"/>
      <c r="U737" s="43"/>
    </row>
    <row r="738" spans="9:21" s="1" customFormat="1" x14ac:dyDescent="0.25">
      <c r="I738" s="101"/>
      <c r="J738" s="102"/>
      <c r="K738" s="101"/>
      <c r="L738" s="101"/>
      <c r="M738" s="44"/>
      <c r="T738" s="47"/>
      <c r="U738" s="43"/>
    </row>
    <row r="739" spans="9:21" s="1" customFormat="1" x14ac:dyDescent="0.25">
      <c r="I739" s="44"/>
      <c r="J739" s="57"/>
      <c r="K739" s="44"/>
      <c r="L739" s="44"/>
      <c r="M739" s="44"/>
      <c r="T739" s="47"/>
      <c r="U739" s="43"/>
    </row>
    <row r="740" spans="9:21" s="1" customFormat="1" x14ac:dyDescent="0.25">
      <c r="I740" s="101"/>
      <c r="J740" s="102"/>
      <c r="K740" s="101"/>
      <c r="L740" s="101"/>
      <c r="M740" s="44"/>
      <c r="T740" s="47"/>
      <c r="U740" s="43"/>
    </row>
    <row r="741" spans="9:21" s="1" customFormat="1" x14ac:dyDescent="0.25">
      <c r="I741" s="44"/>
      <c r="J741" s="57"/>
      <c r="K741" s="44"/>
      <c r="L741" s="44"/>
      <c r="M741" s="44"/>
      <c r="T741" s="47"/>
      <c r="U741" s="43"/>
    </row>
    <row r="742" spans="9:21" s="1" customFormat="1" x14ac:dyDescent="0.25">
      <c r="I742" s="101"/>
      <c r="J742" s="102"/>
      <c r="K742" s="101"/>
      <c r="L742" s="101"/>
      <c r="M742" s="44"/>
      <c r="T742" s="47"/>
      <c r="U742" s="43"/>
    </row>
    <row r="743" spans="9:21" s="1" customFormat="1" x14ac:dyDescent="0.25">
      <c r="I743" s="44"/>
      <c r="J743" s="57"/>
      <c r="K743" s="44"/>
      <c r="L743" s="44"/>
      <c r="M743" s="44"/>
      <c r="T743" s="47"/>
      <c r="U743" s="43"/>
    </row>
    <row r="744" spans="9:21" s="1" customFormat="1" x14ac:dyDescent="0.25">
      <c r="I744" s="101"/>
      <c r="J744" s="102"/>
      <c r="K744" s="101"/>
      <c r="L744" s="101"/>
      <c r="M744" s="44"/>
      <c r="T744" s="47"/>
      <c r="U744" s="43"/>
    </row>
    <row r="745" spans="9:21" s="1" customFormat="1" x14ac:dyDescent="0.25">
      <c r="I745" s="44"/>
      <c r="J745" s="57"/>
      <c r="K745" s="44"/>
      <c r="L745" s="44"/>
      <c r="M745" s="44"/>
      <c r="T745" s="47"/>
      <c r="U745" s="43"/>
    </row>
    <row r="746" spans="9:21" s="1" customFormat="1" x14ac:dyDescent="0.25">
      <c r="I746" s="101"/>
      <c r="J746" s="102"/>
      <c r="K746" s="101"/>
      <c r="L746" s="101"/>
      <c r="M746" s="44"/>
      <c r="T746" s="47"/>
      <c r="U746" s="43"/>
    </row>
    <row r="747" spans="9:21" s="1" customFormat="1" x14ac:dyDescent="0.25">
      <c r="I747" s="44"/>
      <c r="J747" s="57"/>
      <c r="K747" s="44"/>
      <c r="L747" s="44"/>
      <c r="M747" s="44"/>
      <c r="T747" s="47"/>
      <c r="U747" s="43"/>
    </row>
    <row r="748" spans="9:21" s="1" customFormat="1" x14ac:dyDescent="0.25">
      <c r="I748" s="101"/>
      <c r="J748" s="102"/>
      <c r="K748" s="101"/>
      <c r="L748" s="101"/>
      <c r="M748" s="44"/>
      <c r="T748" s="47"/>
      <c r="U748" s="43"/>
    </row>
    <row r="749" spans="9:21" s="1" customFormat="1" x14ac:dyDescent="0.25">
      <c r="I749" s="44"/>
      <c r="J749" s="57"/>
      <c r="K749" s="44"/>
      <c r="L749" s="44"/>
      <c r="M749" s="44"/>
      <c r="T749" s="47"/>
      <c r="U749" s="43"/>
    </row>
    <row r="750" spans="9:21" s="1" customFormat="1" x14ac:dyDescent="0.25">
      <c r="I750" s="101"/>
      <c r="J750" s="102"/>
      <c r="K750" s="101"/>
      <c r="L750" s="101"/>
      <c r="M750" s="44"/>
      <c r="T750" s="47"/>
      <c r="U750" s="43"/>
    </row>
    <row r="751" spans="9:21" s="1" customFormat="1" x14ac:dyDescent="0.25">
      <c r="I751" s="44"/>
      <c r="J751" s="57"/>
      <c r="K751" s="44"/>
      <c r="L751" s="44"/>
      <c r="M751" s="44"/>
      <c r="T751" s="47"/>
      <c r="U751" s="43"/>
    </row>
    <row r="752" spans="9:21" s="1" customFormat="1" x14ac:dyDescent="0.25">
      <c r="I752" s="101"/>
      <c r="J752" s="102"/>
      <c r="K752" s="101"/>
      <c r="L752" s="101"/>
      <c r="M752" s="44"/>
      <c r="T752" s="47"/>
      <c r="U752" s="43"/>
    </row>
    <row r="753" spans="9:21" s="1" customFormat="1" x14ac:dyDescent="0.25">
      <c r="I753" s="44"/>
      <c r="J753" s="57"/>
      <c r="K753" s="44"/>
      <c r="L753" s="44"/>
      <c r="M753" s="44"/>
      <c r="T753" s="47"/>
      <c r="U753" s="43"/>
    </row>
    <row r="754" spans="9:21" s="1" customFormat="1" x14ac:dyDescent="0.25">
      <c r="I754" s="101"/>
      <c r="J754" s="102"/>
      <c r="K754" s="101"/>
      <c r="L754" s="101"/>
      <c r="M754" s="44"/>
      <c r="T754" s="47"/>
      <c r="U754" s="43"/>
    </row>
    <row r="755" spans="9:21" s="1" customFormat="1" x14ac:dyDescent="0.25">
      <c r="I755" s="44"/>
      <c r="J755" s="57"/>
      <c r="K755" s="44"/>
      <c r="L755" s="44"/>
      <c r="M755" s="44"/>
      <c r="T755" s="47"/>
      <c r="U755" s="43"/>
    </row>
    <row r="756" spans="9:21" s="1" customFormat="1" x14ac:dyDescent="0.25">
      <c r="I756" s="101"/>
      <c r="J756" s="102"/>
      <c r="K756" s="101"/>
      <c r="L756" s="101"/>
      <c r="M756" s="44"/>
      <c r="T756" s="47"/>
      <c r="U756" s="43"/>
    </row>
    <row r="757" spans="9:21" s="1" customFormat="1" x14ac:dyDescent="0.25">
      <c r="I757" s="44"/>
      <c r="J757" s="57"/>
      <c r="K757" s="44"/>
      <c r="L757" s="44"/>
      <c r="M757" s="44"/>
      <c r="T757" s="47"/>
      <c r="U757" s="43"/>
    </row>
    <row r="758" spans="9:21" s="1" customFormat="1" x14ac:dyDescent="0.25">
      <c r="I758" s="101"/>
      <c r="J758" s="102"/>
      <c r="K758" s="101"/>
      <c r="L758" s="101"/>
      <c r="M758" s="44"/>
      <c r="T758" s="47"/>
      <c r="U758" s="43"/>
    </row>
    <row r="759" spans="9:21" s="1" customFormat="1" x14ac:dyDescent="0.25">
      <c r="I759" s="44"/>
      <c r="J759" s="57"/>
      <c r="K759" s="44"/>
      <c r="L759" s="44"/>
      <c r="M759" s="44"/>
      <c r="T759" s="47"/>
      <c r="U759" s="43"/>
    </row>
    <row r="760" spans="9:21" s="1" customFormat="1" x14ac:dyDescent="0.25">
      <c r="I760" s="101"/>
      <c r="J760" s="102"/>
      <c r="K760" s="101"/>
      <c r="L760" s="101"/>
      <c r="M760" s="44"/>
      <c r="T760" s="47"/>
      <c r="U760" s="43"/>
    </row>
    <row r="761" spans="9:21" s="1" customFormat="1" x14ac:dyDescent="0.25">
      <c r="I761" s="44"/>
      <c r="J761" s="57"/>
      <c r="K761" s="44"/>
      <c r="L761" s="44"/>
      <c r="M761" s="44"/>
      <c r="T761" s="47"/>
      <c r="U761" s="43"/>
    </row>
    <row r="762" spans="9:21" s="1" customFormat="1" x14ac:dyDescent="0.25">
      <c r="I762" s="101"/>
      <c r="J762" s="102"/>
      <c r="K762" s="101"/>
      <c r="L762" s="101"/>
      <c r="M762" s="44"/>
      <c r="T762" s="47"/>
      <c r="U762" s="43"/>
    </row>
    <row r="763" spans="9:21" s="1" customFormat="1" x14ac:dyDescent="0.25">
      <c r="I763" s="44"/>
      <c r="J763" s="57"/>
      <c r="K763" s="44"/>
      <c r="L763" s="44"/>
      <c r="M763" s="44"/>
      <c r="T763" s="47"/>
      <c r="U763" s="43"/>
    </row>
    <row r="764" spans="9:21" s="1" customFormat="1" x14ac:dyDescent="0.25">
      <c r="I764" s="101"/>
      <c r="J764" s="102"/>
      <c r="K764" s="101"/>
      <c r="L764" s="101"/>
      <c r="M764" s="44"/>
      <c r="T764" s="47"/>
      <c r="U764" s="43"/>
    </row>
    <row r="765" spans="9:21" s="1" customFormat="1" x14ac:dyDescent="0.25">
      <c r="I765" s="44"/>
      <c r="J765" s="57"/>
      <c r="K765" s="44"/>
      <c r="L765" s="44"/>
      <c r="M765" s="44"/>
      <c r="T765" s="47"/>
      <c r="U765" s="43"/>
    </row>
    <row r="766" spans="9:21" s="1" customFormat="1" x14ac:dyDescent="0.25">
      <c r="I766" s="101"/>
      <c r="J766" s="102"/>
      <c r="K766" s="101"/>
      <c r="L766" s="101"/>
      <c r="M766" s="44"/>
      <c r="T766" s="47"/>
      <c r="U766" s="43"/>
    </row>
    <row r="767" spans="9:21" s="1" customFormat="1" x14ac:dyDescent="0.25">
      <c r="I767" s="44"/>
      <c r="J767" s="57"/>
      <c r="K767" s="44"/>
      <c r="L767" s="44"/>
      <c r="M767" s="44"/>
      <c r="T767" s="47"/>
      <c r="U767" s="43"/>
    </row>
    <row r="768" spans="9:21" s="1" customFormat="1" x14ac:dyDescent="0.25">
      <c r="I768" s="101"/>
      <c r="J768" s="102"/>
      <c r="K768" s="101"/>
      <c r="L768" s="101"/>
      <c r="M768" s="44"/>
      <c r="T768" s="47"/>
      <c r="U768" s="43"/>
    </row>
    <row r="769" spans="9:21" s="1" customFormat="1" x14ac:dyDescent="0.25">
      <c r="I769" s="44"/>
      <c r="J769" s="57"/>
      <c r="K769" s="44"/>
      <c r="L769" s="44"/>
      <c r="M769" s="44"/>
      <c r="T769" s="47"/>
      <c r="U769" s="43"/>
    </row>
    <row r="770" spans="9:21" s="1" customFormat="1" x14ac:dyDescent="0.25">
      <c r="I770" s="101"/>
      <c r="J770" s="102"/>
      <c r="K770" s="101"/>
      <c r="L770" s="101"/>
      <c r="M770" s="44"/>
      <c r="T770" s="47"/>
      <c r="U770" s="43"/>
    </row>
    <row r="771" spans="9:21" s="1" customFormat="1" x14ac:dyDescent="0.25">
      <c r="I771" s="44"/>
      <c r="J771" s="57"/>
      <c r="K771" s="44"/>
      <c r="L771" s="44"/>
      <c r="M771" s="44"/>
      <c r="T771" s="47"/>
      <c r="U771" s="43"/>
    </row>
    <row r="772" spans="9:21" s="1" customFormat="1" x14ac:dyDescent="0.25">
      <c r="I772" s="101"/>
      <c r="J772" s="102"/>
      <c r="K772" s="101"/>
      <c r="L772" s="101"/>
      <c r="M772" s="44"/>
      <c r="T772" s="47"/>
      <c r="U772" s="43"/>
    </row>
    <row r="773" spans="9:21" s="1" customFormat="1" x14ac:dyDescent="0.25">
      <c r="I773" s="44"/>
      <c r="J773" s="57"/>
      <c r="K773" s="44"/>
      <c r="L773" s="44"/>
      <c r="M773" s="44"/>
      <c r="T773" s="47"/>
      <c r="U773" s="43"/>
    </row>
    <row r="774" spans="9:21" s="1" customFormat="1" x14ac:dyDescent="0.25">
      <c r="I774" s="101"/>
      <c r="J774" s="102"/>
      <c r="K774" s="101"/>
      <c r="L774" s="101"/>
      <c r="M774" s="44"/>
      <c r="T774" s="47"/>
      <c r="U774" s="43"/>
    </row>
    <row r="775" spans="9:21" s="1" customFormat="1" x14ac:dyDescent="0.25">
      <c r="I775" s="44"/>
      <c r="J775" s="57"/>
      <c r="K775" s="44"/>
      <c r="L775" s="44"/>
      <c r="M775" s="44"/>
      <c r="T775" s="47"/>
      <c r="U775" s="43"/>
    </row>
    <row r="776" spans="9:21" s="1" customFormat="1" x14ac:dyDescent="0.25">
      <c r="I776" s="101"/>
      <c r="J776" s="102"/>
      <c r="K776" s="101"/>
      <c r="L776" s="101"/>
      <c r="M776" s="44"/>
      <c r="T776" s="47"/>
      <c r="U776" s="43"/>
    </row>
    <row r="777" spans="9:21" s="1" customFormat="1" x14ac:dyDescent="0.25">
      <c r="I777" s="44"/>
      <c r="J777" s="57"/>
      <c r="K777" s="44"/>
      <c r="L777" s="44"/>
      <c r="M777" s="44"/>
      <c r="T777" s="47"/>
      <c r="U777" s="43"/>
    </row>
    <row r="778" spans="9:21" s="1" customFormat="1" x14ac:dyDescent="0.25">
      <c r="I778" s="101"/>
      <c r="J778" s="102"/>
      <c r="K778" s="101"/>
      <c r="L778" s="101"/>
      <c r="M778" s="44"/>
      <c r="T778" s="47"/>
      <c r="U778" s="43"/>
    </row>
    <row r="779" spans="9:21" s="1" customFormat="1" x14ac:dyDescent="0.25">
      <c r="I779" s="44"/>
      <c r="J779" s="57"/>
      <c r="K779" s="44"/>
      <c r="L779" s="44"/>
      <c r="M779" s="44"/>
      <c r="T779" s="47"/>
      <c r="U779" s="43"/>
    </row>
    <row r="780" spans="9:21" s="1" customFormat="1" x14ac:dyDescent="0.25">
      <c r="I780" s="101"/>
      <c r="J780" s="102"/>
      <c r="K780" s="101"/>
      <c r="L780" s="101"/>
      <c r="M780" s="44"/>
      <c r="T780" s="47"/>
      <c r="U780" s="43"/>
    </row>
    <row r="781" spans="9:21" s="1" customFormat="1" x14ac:dyDescent="0.25">
      <c r="I781" s="44"/>
      <c r="J781" s="57"/>
      <c r="K781" s="44"/>
      <c r="L781" s="44"/>
      <c r="M781" s="44"/>
      <c r="T781" s="47"/>
      <c r="U781" s="43"/>
    </row>
    <row r="782" spans="9:21" s="1" customFormat="1" x14ac:dyDescent="0.25">
      <c r="I782" s="101"/>
      <c r="J782" s="102"/>
      <c r="K782" s="101"/>
      <c r="L782" s="101"/>
      <c r="M782" s="44"/>
      <c r="T782" s="47"/>
      <c r="U782" s="43"/>
    </row>
    <row r="783" spans="9:21" s="1" customFormat="1" x14ac:dyDescent="0.25">
      <c r="I783" s="44"/>
      <c r="J783" s="57"/>
      <c r="K783" s="44"/>
      <c r="L783" s="44"/>
      <c r="M783" s="44"/>
      <c r="T783" s="47"/>
      <c r="U783" s="43"/>
    </row>
    <row r="784" spans="9:21" s="1" customFormat="1" x14ac:dyDescent="0.25">
      <c r="I784" s="101"/>
      <c r="J784" s="102"/>
      <c r="K784" s="101"/>
      <c r="L784" s="101"/>
      <c r="M784" s="44"/>
      <c r="T784" s="47"/>
      <c r="U784" s="43"/>
    </row>
    <row r="785" spans="9:21" s="1" customFormat="1" x14ac:dyDescent="0.25">
      <c r="I785" s="44"/>
      <c r="J785" s="57"/>
      <c r="K785" s="44"/>
      <c r="L785" s="44"/>
      <c r="M785" s="44"/>
      <c r="T785" s="47"/>
      <c r="U785" s="43"/>
    </row>
    <row r="786" spans="9:21" s="1" customFormat="1" x14ac:dyDescent="0.25">
      <c r="I786" s="101"/>
      <c r="J786" s="102"/>
      <c r="K786" s="101"/>
      <c r="L786" s="101"/>
      <c r="M786" s="44"/>
      <c r="T786" s="47"/>
      <c r="U786" s="43"/>
    </row>
    <row r="787" spans="9:21" s="1" customFormat="1" x14ac:dyDescent="0.25">
      <c r="I787" s="44"/>
      <c r="J787" s="57"/>
      <c r="K787" s="44"/>
      <c r="L787" s="44"/>
      <c r="M787" s="44"/>
      <c r="T787" s="47"/>
      <c r="U787" s="43"/>
    </row>
    <row r="788" spans="9:21" s="1" customFormat="1" x14ac:dyDescent="0.25">
      <c r="I788" s="101"/>
      <c r="J788" s="102"/>
      <c r="K788" s="101"/>
      <c r="L788" s="101"/>
      <c r="M788" s="44"/>
      <c r="T788" s="47"/>
      <c r="U788" s="43"/>
    </row>
    <row r="789" spans="9:21" s="1" customFormat="1" x14ac:dyDescent="0.25">
      <c r="I789" s="44"/>
      <c r="J789" s="57"/>
      <c r="K789" s="44"/>
      <c r="L789" s="44"/>
      <c r="M789" s="44"/>
      <c r="T789" s="47"/>
      <c r="U789" s="43"/>
    </row>
    <row r="790" spans="9:21" s="1" customFormat="1" x14ac:dyDescent="0.25">
      <c r="I790" s="101"/>
      <c r="J790" s="102"/>
      <c r="K790" s="101"/>
      <c r="L790" s="101"/>
      <c r="M790" s="44"/>
      <c r="T790" s="47"/>
      <c r="U790" s="43"/>
    </row>
    <row r="791" spans="9:21" s="1" customFormat="1" x14ac:dyDescent="0.25">
      <c r="I791" s="44"/>
      <c r="J791" s="57"/>
      <c r="K791" s="44"/>
      <c r="L791" s="44"/>
      <c r="M791" s="44"/>
      <c r="T791" s="47"/>
      <c r="U791" s="43"/>
    </row>
    <row r="792" spans="9:21" s="1" customFormat="1" x14ac:dyDescent="0.25">
      <c r="I792" s="101"/>
      <c r="J792" s="102"/>
      <c r="K792" s="101"/>
      <c r="L792" s="101"/>
      <c r="M792" s="44"/>
      <c r="T792" s="47"/>
      <c r="U792" s="43"/>
    </row>
    <row r="793" spans="9:21" s="1" customFormat="1" x14ac:dyDescent="0.25">
      <c r="I793" s="44"/>
      <c r="J793" s="57"/>
      <c r="K793" s="44"/>
      <c r="L793" s="44"/>
      <c r="M793" s="44"/>
      <c r="T793" s="47"/>
      <c r="U793" s="43"/>
    </row>
    <row r="794" spans="9:21" s="1" customFormat="1" x14ac:dyDescent="0.25">
      <c r="I794" s="101"/>
      <c r="J794" s="102"/>
      <c r="K794" s="101"/>
      <c r="L794" s="101"/>
      <c r="M794" s="44"/>
      <c r="T794" s="47"/>
      <c r="U794" s="43"/>
    </row>
    <row r="795" spans="9:21" s="1" customFormat="1" x14ac:dyDescent="0.25">
      <c r="I795" s="44"/>
      <c r="J795" s="57"/>
      <c r="K795" s="44"/>
      <c r="L795" s="44"/>
      <c r="M795" s="44"/>
      <c r="T795" s="47"/>
      <c r="U795" s="43"/>
    </row>
    <row r="796" spans="9:21" s="1" customFormat="1" x14ac:dyDescent="0.25">
      <c r="I796" s="101"/>
      <c r="J796" s="102"/>
      <c r="K796" s="101"/>
      <c r="L796" s="101"/>
      <c r="M796" s="44"/>
      <c r="T796" s="47"/>
      <c r="U796" s="43"/>
    </row>
    <row r="797" spans="9:21" s="1" customFormat="1" x14ac:dyDescent="0.25">
      <c r="I797" s="44"/>
      <c r="J797" s="57"/>
      <c r="K797" s="44"/>
      <c r="L797" s="44"/>
      <c r="M797" s="44"/>
      <c r="T797" s="47"/>
      <c r="U797" s="43"/>
    </row>
    <row r="798" spans="9:21" s="1" customFormat="1" x14ac:dyDescent="0.25">
      <c r="I798" s="101"/>
      <c r="J798" s="102"/>
      <c r="K798" s="101"/>
      <c r="L798" s="101"/>
      <c r="M798" s="44"/>
      <c r="T798" s="47"/>
      <c r="U798" s="43"/>
    </row>
    <row r="799" spans="9:21" s="1" customFormat="1" x14ac:dyDescent="0.25">
      <c r="I799" s="44"/>
      <c r="J799" s="57"/>
      <c r="K799" s="44"/>
      <c r="L799" s="44"/>
      <c r="M799" s="44"/>
      <c r="T799" s="47"/>
      <c r="U799" s="43"/>
    </row>
    <row r="800" spans="9:21" s="1" customFormat="1" x14ac:dyDescent="0.25">
      <c r="I800" s="101"/>
      <c r="J800" s="102"/>
      <c r="K800" s="101"/>
      <c r="L800" s="101"/>
      <c r="M800" s="44"/>
      <c r="T800" s="47"/>
      <c r="U800" s="43"/>
    </row>
    <row r="801" spans="9:21" s="1" customFormat="1" x14ac:dyDescent="0.25">
      <c r="I801" s="44"/>
      <c r="J801" s="57"/>
      <c r="K801" s="44"/>
      <c r="L801" s="44"/>
      <c r="M801" s="44"/>
      <c r="T801" s="47"/>
      <c r="U801" s="43"/>
    </row>
    <row r="802" spans="9:21" s="1" customFormat="1" x14ac:dyDescent="0.25">
      <c r="I802" s="101"/>
      <c r="J802" s="102"/>
      <c r="K802" s="101"/>
      <c r="L802" s="101"/>
      <c r="M802" s="44"/>
      <c r="T802" s="47"/>
      <c r="U802" s="43"/>
    </row>
    <row r="803" spans="9:21" s="1" customFormat="1" x14ac:dyDescent="0.25">
      <c r="I803" s="44"/>
      <c r="J803" s="57"/>
      <c r="K803" s="44"/>
      <c r="L803" s="44"/>
      <c r="M803" s="44"/>
      <c r="T803" s="47"/>
      <c r="U803" s="43"/>
    </row>
    <row r="804" spans="9:21" s="1" customFormat="1" x14ac:dyDescent="0.25">
      <c r="I804" s="101"/>
      <c r="J804" s="102"/>
      <c r="K804" s="101"/>
      <c r="L804" s="101"/>
      <c r="M804" s="44"/>
      <c r="T804" s="47"/>
      <c r="U804" s="43"/>
    </row>
    <row r="805" spans="9:21" s="1" customFormat="1" x14ac:dyDescent="0.25">
      <c r="I805" s="44"/>
      <c r="J805" s="57"/>
      <c r="K805" s="44"/>
      <c r="L805" s="44"/>
      <c r="M805" s="44"/>
      <c r="T805" s="47"/>
      <c r="U805" s="43"/>
    </row>
    <row r="806" spans="9:21" s="1" customFormat="1" x14ac:dyDescent="0.25">
      <c r="I806" s="101"/>
      <c r="J806" s="102"/>
      <c r="K806" s="101"/>
      <c r="L806" s="101"/>
      <c r="M806" s="44"/>
      <c r="T806" s="47"/>
      <c r="U806" s="43"/>
    </row>
    <row r="807" spans="9:21" s="1" customFormat="1" x14ac:dyDescent="0.25">
      <c r="I807" s="44"/>
      <c r="J807" s="57"/>
      <c r="K807" s="44"/>
      <c r="L807" s="44"/>
      <c r="M807" s="44"/>
      <c r="T807" s="47"/>
      <c r="U807" s="43"/>
    </row>
    <row r="808" spans="9:21" s="1" customFormat="1" x14ac:dyDescent="0.25">
      <c r="I808" s="101"/>
      <c r="J808" s="102"/>
      <c r="K808" s="101"/>
      <c r="L808" s="101"/>
      <c r="M808" s="44"/>
      <c r="T808" s="47"/>
      <c r="U808" s="43"/>
    </row>
    <row r="809" spans="9:21" s="1" customFormat="1" x14ac:dyDescent="0.25">
      <c r="I809" s="44"/>
      <c r="J809" s="57"/>
      <c r="K809" s="44"/>
      <c r="L809" s="44"/>
      <c r="M809" s="44"/>
      <c r="T809" s="47"/>
      <c r="U809" s="43"/>
    </row>
    <row r="810" spans="9:21" s="1" customFormat="1" x14ac:dyDescent="0.25">
      <c r="I810" s="101"/>
      <c r="J810" s="102"/>
      <c r="K810" s="101"/>
      <c r="L810" s="101"/>
      <c r="M810" s="44"/>
      <c r="T810" s="47"/>
      <c r="U810" s="43"/>
    </row>
    <row r="811" spans="9:21" s="1" customFormat="1" x14ac:dyDescent="0.25">
      <c r="I811" s="44"/>
      <c r="J811" s="57"/>
      <c r="K811" s="44"/>
      <c r="L811" s="44"/>
      <c r="M811" s="44"/>
      <c r="T811" s="47"/>
      <c r="U811" s="43"/>
    </row>
    <row r="812" spans="9:21" s="1" customFormat="1" x14ac:dyDescent="0.25">
      <c r="I812" s="101"/>
      <c r="J812" s="102"/>
      <c r="K812" s="101"/>
      <c r="L812" s="101"/>
      <c r="M812" s="44"/>
      <c r="T812" s="47"/>
      <c r="U812" s="43"/>
    </row>
    <row r="813" spans="9:21" s="1" customFormat="1" x14ac:dyDescent="0.25">
      <c r="I813" s="44"/>
      <c r="J813" s="57"/>
      <c r="K813" s="44"/>
      <c r="L813" s="44"/>
      <c r="M813" s="44"/>
      <c r="T813" s="47"/>
      <c r="U813" s="43"/>
    </row>
    <row r="814" spans="9:21" s="1" customFormat="1" x14ac:dyDescent="0.25">
      <c r="I814" s="101"/>
      <c r="J814" s="102"/>
      <c r="K814" s="101"/>
      <c r="L814" s="101"/>
      <c r="M814" s="44"/>
      <c r="T814" s="47"/>
      <c r="U814" s="43"/>
    </row>
    <row r="815" spans="9:21" s="1" customFormat="1" x14ac:dyDescent="0.25">
      <c r="I815" s="44"/>
      <c r="J815" s="57"/>
      <c r="K815" s="44"/>
      <c r="L815" s="44"/>
      <c r="M815" s="44"/>
      <c r="T815" s="47"/>
      <c r="U815" s="43"/>
    </row>
    <row r="816" spans="9:21" s="1" customFormat="1" x14ac:dyDescent="0.25">
      <c r="I816" s="101"/>
      <c r="J816" s="102"/>
      <c r="K816" s="101"/>
      <c r="L816" s="101"/>
      <c r="M816" s="44"/>
      <c r="T816" s="47"/>
      <c r="U816" s="43"/>
    </row>
    <row r="817" spans="9:21" s="1" customFormat="1" x14ac:dyDescent="0.25">
      <c r="I817" s="44"/>
      <c r="J817" s="57"/>
      <c r="K817" s="44"/>
      <c r="L817" s="44"/>
      <c r="M817" s="44"/>
      <c r="T817" s="47"/>
      <c r="U817" s="43"/>
    </row>
    <row r="818" spans="9:21" s="1" customFormat="1" x14ac:dyDescent="0.25">
      <c r="I818" s="101"/>
      <c r="J818" s="102"/>
      <c r="K818" s="101"/>
      <c r="L818" s="101"/>
      <c r="M818" s="44"/>
      <c r="T818" s="47"/>
      <c r="U818" s="43"/>
    </row>
    <row r="819" spans="9:21" s="1" customFormat="1" x14ac:dyDescent="0.25">
      <c r="I819" s="44"/>
      <c r="J819" s="57"/>
      <c r="K819" s="44"/>
      <c r="L819" s="44"/>
      <c r="M819" s="44"/>
      <c r="T819" s="47"/>
      <c r="U819" s="43"/>
    </row>
    <row r="820" spans="9:21" s="1" customFormat="1" x14ac:dyDescent="0.25">
      <c r="I820" s="101"/>
      <c r="J820" s="102"/>
      <c r="K820" s="101"/>
      <c r="L820" s="101"/>
      <c r="M820" s="44"/>
      <c r="T820" s="47"/>
      <c r="U820" s="43"/>
    </row>
    <row r="821" spans="9:21" s="1" customFormat="1" x14ac:dyDescent="0.25">
      <c r="I821" s="44"/>
      <c r="J821" s="57"/>
      <c r="K821" s="44"/>
      <c r="L821" s="44"/>
      <c r="M821" s="44"/>
      <c r="T821" s="47"/>
      <c r="U821" s="43"/>
    </row>
    <row r="822" spans="9:21" s="1" customFormat="1" x14ac:dyDescent="0.25">
      <c r="I822" s="101"/>
      <c r="J822" s="102"/>
      <c r="K822" s="101"/>
      <c r="L822" s="101"/>
      <c r="M822" s="44"/>
      <c r="T822" s="47"/>
      <c r="U822" s="43"/>
    </row>
    <row r="823" spans="9:21" s="1" customFormat="1" x14ac:dyDescent="0.25">
      <c r="I823" s="44"/>
      <c r="J823" s="57"/>
      <c r="K823" s="44"/>
      <c r="L823" s="44"/>
      <c r="M823" s="44"/>
      <c r="T823" s="47"/>
      <c r="U823" s="43"/>
    </row>
    <row r="824" spans="9:21" s="1" customFormat="1" x14ac:dyDescent="0.25">
      <c r="I824" s="101"/>
      <c r="J824" s="102"/>
      <c r="K824" s="101"/>
      <c r="L824" s="101"/>
      <c r="M824" s="44"/>
      <c r="T824" s="47"/>
      <c r="U824" s="43"/>
    </row>
    <row r="825" spans="9:21" s="1" customFormat="1" x14ac:dyDescent="0.25">
      <c r="I825" s="44"/>
      <c r="J825" s="57"/>
      <c r="K825" s="44"/>
      <c r="L825" s="44"/>
      <c r="M825" s="44"/>
      <c r="T825" s="47"/>
      <c r="U825" s="43"/>
    </row>
    <row r="826" spans="9:21" s="1" customFormat="1" x14ac:dyDescent="0.25">
      <c r="I826" s="101"/>
      <c r="J826" s="102"/>
      <c r="K826" s="101"/>
      <c r="L826" s="101"/>
      <c r="M826" s="44"/>
      <c r="T826" s="47"/>
      <c r="U826" s="43"/>
    </row>
    <row r="827" spans="9:21" s="1" customFormat="1" x14ac:dyDescent="0.25">
      <c r="I827" s="44"/>
      <c r="J827" s="57"/>
      <c r="K827" s="44"/>
      <c r="L827" s="44"/>
      <c r="M827" s="44"/>
      <c r="T827" s="47"/>
      <c r="U827" s="43"/>
    </row>
    <row r="828" spans="9:21" s="1" customFormat="1" x14ac:dyDescent="0.25">
      <c r="I828" s="101"/>
      <c r="J828" s="102"/>
      <c r="K828" s="101"/>
      <c r="L828" s="101"/>
      <c r="M828" s="44"/>
      <c r="T828" s="47"/>
      <c r="U828" s="43"/>
    </row>
    <row r="829" spans="9:21" s="1" customFormat="1" x14ac:dyDescent="0.25">
      <c r="I829" s="44"/>
      <c r="J829" s="57"/>
      <c r="K829" s="44"/>
      <c r="L829" s="44"/>
      <c r="M829" s="44"/>
      <c r="T829" s="47"/>
      <c r="U829" s="43"/>
    </row>
    <row r="830" spans="9:21" s="1" customFormat="1" x14ac:dyDescent="0.25">
      <c r="I830" s="101"/>
      <c r="J830" s="102"/>
      <c r="K830" s="101"/>
      <c r="L830" s="101"/>
      <c r="M830" s="44"/>
      <c r="T830" s="47"/>
      <c r="U830" s="43"/>
    </row>
    <row r="831" spans="9:21" s="1" customFormat="1" x14ac:dyDescent="0.25">
      <c r="I831" s="44"/>
      <c r="J831" s="57"/>
      <c r="K831" s="44"/>
      <c r="L831" s="44"/>
      <c r="M831" s="44"/>
      <c r="T831" s="47"/>
      <c r="U831" s="43"/>
    </row>
    <row r="832" spans="9:21" s="1" customFormat="1" x14ac:dyDescent="0.25">
      <c r="I832" s="101"/>
      <c r="J832" s="102"/>
      <c r="K832" s="101"/>
      <c r="L832" s="101"/>
      <c r="M832" s="44"/>
      <c r="T832" s="47"/>
      <c r="U832" s="43"/>
    </row>
    <row r="833" spans="9:21" s="1" customFormat="1" x14ac:dyDescent="0.25">
      <c r="I833" s="44"/>
      <c r="J833" s="57"/>
      <c r="K833" s="44"/>
      <c r="L833" s="44"/>
      <c r="M833" s="44"/>
      <c r="T833" s="47"/>
      <c r="U833" s="43"/>
    </row>
    <row r="834" spans="9:21" s="1" customFormat="1" x14ac:dyDescent="0.25">
      <c r="I834" s="101"/>
      <c r="J834" s="102"/>
      <c r="K834" s="101"/>
      <c r="L834" s="101"/>
      <c r="M834" s="44"/>
      <c r="T834" s="47"/>
      <c r="U834" s="43"/>
    </row>
    <row r="835" spans="9:21" s="1" customFormat="1" x14ac:dyDescent="0.25">
      <c r="I835" s="44"/>
      <c r="J835" s="57"/>
      <c r="K835" s="44"/>
      <c r="L835" s="44"/>
      <c r="M835" s="44"/>
      <c r="T835" s="47"/>
      <c r="U835" s="43"/>
    </row>
    <row r="836" spans="9:21" s="1" customFormat="1" x14ac:dyDescent="0.25">
      <c r="I836" s="101"/>
      <c r="J836" s="102"/>
      <c r="K836" s="101"/>
      <c r="L836" s="101"/>
      <c r="M836" s="44"/>
      <c r="T836" s="47"/>
      <c r="U836" s="43"/>
    </row>
    <row r="837" spans="9:21" s="1" customFormat="1" x14ac:dyDescent="0.25">
      <c r="I837" s="44"/>
      <c r="J837" s="57"/>
      <c r="K837" s="44"/>
      <c r="L837" s="44"/>
      <c r="M837" s="44"/>
      <c r="T837" s="47"/>
      <c r="U837" s="43"/>
    </row>
    <row r="838" spans="9:21" s="1" customFormat="1" x14ac:dyDescent="0.25">
      <c r="I838" s="101"/>
      <c r="J838" s="102"/>
      <c r="K838" s="101"/>
      <c r="L838" s="101"/>
      <c r="M838" s="44"/>
      <c r="T838" s="47"/>
      <c r="U838" s="43"/>
    </row>
    <row r="839" spans="9:21" s="1" customFormat="1" x14ac:dyDescent="0.25">
      <c r="I839" s="44"/>
      <c r="J839" s="57"/>
      <c r="K839" s="44"/>
      <c r="L839" s="44"/>
      <c r="M839" s="44"/>
      <c r="T839" s="47"/>
      <c r="U839" s="43"/>
    </row>
    <row r="840" spans="9:21" s="1" customFormat="1" x14ac:dyDescent="0.25">
      <c r="I840" s="101"/>
      <c r="J840" s="102"/>
      <c r="K840" s="101"/>
      <c r="L840" s="101"/>
      <c r="M840" s="44"/>
      <c r="T840" s="47"/>
      <c r="U840" s="43"/>
    </row>
    <row r="841" spans="9:21" s="1" customFormat="1" x14ac:dyDescent="0.25">
      <c r="I841" s="44"/>
      <c r="J841" s="57"/>
      <c r="K841" s="44"/>
      <c r="L841" s="44"/>
      <c r="M841" s="44"/>
      <c r="T841" s="47"/>
      <c r="U841" s="43"/>
    </row>
    <row r="842" spans="9:21" s="1" customFormat="1" x14ac:dyDescent="0.25">
      <c r="I842" s="101"/>
      <c r="J842" s="102"/>
      <c r="K842" s="101"/>
      <c r="L842" s="101"/>
      <c r="M842" s="44"/>
      <c r="T842" s="47"/>
      <c r="U842" s="43"/>
    </row>
    <row r="843" spans="9:21" s="1" customFormat="1" x14ac:dyDescent="0.25">
      <c r="I843" s="44"/>
      <c r="J843" s="57"/>
      <c r="K843" s="44"/>
      <c r="L843" s="44"/>
      <c r="M843" s="44"/>
      <c r="T843" s="47"/>
      <c r="U843" s="43"/>
    </row>
    <row r="844" spans="9:21" s="1" customFormat="1" x14ac:dyDescent="0.25">
      <c r="I844" s="101"/>
      <c r="J844" s="102"/>
      <c r="K844" s="101"/>
      <c r="L844" s="101"/>
      <c r="M844" s="44"/>
      <c r="T844" s="47"/>
      <c r="U844" s="43"/>
    </row>
    <row r="845" spans="9:21" s="1" customFormat="1" x14ac:dyDescent="0.25">
      <c r="I845" s="44"/>
      <c r="J845" s="57"/>
      <c r="K845" s="44"/>
      <c r="L845" s="44"/>
      <c r="M845" s="44"/>
      <c r="T845" s="47"/>
      <c r="U845" s="43"/>
    </row>
    <row r="846" spans="9:21" s="1" customFormat="1" x14ac:dyDescent="0.25">
      <c r="I846" s="101"/>
      <c r="J846" s="102"/>
      <c r="K846" s="101"/>
      <c r="L846" s="101"/>
      <c r="M846" s="44"/>
      <c r="T846" s="47"/>
      <c r="U846" s="43"/>
    </row>
    <row r="847" spans="9:21" s="1" customFormat="1" x14ac:dyDescent="0.25">
      <c r="I847" s="44"/>
      <c r="J847" s="57"/>
      <c r="K847" s="44"/>
      <c r="L847" s="44"/>
      <c r="M847" s="44"/>
      <c r="T847" s="47"/>
      <c r="U847" s="43"/>
    </row>
    <row r="848" spans="9:21" s="1" customFormat="1" x14ac:dyDescent="0.25">
      <c r="I848" s="101"/>
      <c r="J848" s="102"/>
      <c r="K848" s="101"/>
      <c r="L848" s="101"/>
      <c r="M848" s="44"/>
      <c r="T848" s="47"/>
      <c r="U848" s="43"/>
    </row>
    <row r="849" spans="9:21" s="1" customFormat="1" x14ac:dyDescent="0.25">
      <c r="I849" s="44"/>
      <c r="J849" s="57"/>
      <c r="K849" s="44"/>
      <c r="L849" s="44"/>
      <c r="M849" s="44"/>
      <c r="T849" s="47"/>
      <c r="U849" s="43"/>
    </row>
    <row r="850" spans="9:21" s="1" customFormat="1" x14ac:dyDescent="0.25">
      <c r="I850" s="101"/>
      <c r="J850" s="102"/>
      <c r="K850" s="101"/>
      <c r="L850" s="101"/>
      <c r="M850" s="44"/>
      <c r="T850" s="47"/>
      <c r="U850" s="43"/>
    </row>
    <row r="851" spans="9:21" s="1" customFormat="1" x14ac:dyDescent="0.25">
      <c r="I851" s="44"/>
      <c r="J851" s="57"/>
      <c r="K851" s="44"/>
      <c r="L851" s="44"/>
      <c r="M851" s="44"/>
      <c r="T851" s="47"/>
      <c r="U851" s="43"/>
    </row>
    <row r="852" spans="9:21" s="1" customFormat="1" x14ac:dyDescent="0.25">
      <c r="I852" s="101"/>
      <c r="J852" s="102"/>
      <c r="K852" s="101"/>
      <c r="L852" s="101"/>
      <c r="M852" s="44"/>
      <c r="T852" s="47"/>
      <c r="U852" s="43"/>
    </row>
    <row r="853" spans="9:21" s="1" customFormat="1" x14ac:dyDescent="0.25">
      <c r="I853" s="44"/>
      <c r="J853" s="57"/>
      <c r="K853" s="44"/>
      <c r="L853" s="44"/>
      <c r="M853" s="44"/>
      <c r="T853" s="47"/>
      <c r="U853" s="43"/>
    </row>
    <row r="854" spans="9:21" s="1" customFormat="1" x14ac:dyDescent="0.25">
      <c r="I854" s="101"/>
      <c r="J854" s="102"/>
      <c r="K854" s="101"/>
      <c r="L854" s="101"/>
      <c r="M854" s="44"/>
      <c r="T854" s="47"/>
      <c r="U854" s="43"/>
    </row>
    <row r="855" spans="9:21" s="1" customFormat="1" x14ac:dyDescent="0.25">
      <c r="I855" s="44"/>
      <c r="J855" s="57"/>
      <c r="K855" s="44"/>
      <c r="L855" s="44"/>
      <c r="M855" s="44"/>
      <c r="T855" s="47"/>
      <c r="U855" s="43"/>
    </row>
    <row r="856" spans="9:21" s="1" customFormat="1" x14ac:dyDescent="0.25">
      <c r="I856" s="101"/>
      <c r="J856" s="102"/>
      <c r="K856" s="101"/>
      <c r="L856" s="101"/>
      <c r="M856" s="44"/>
      <c r="T856" s="47"/>
      <c r="U856" s="43"/>
    </row>
    <row r="857" spans="9:21" s="1" customFormat="1" x14ac:dyDescent="0.25">
      <c r="I857" s="44"/>
      <c r="J857" s="57"/>
      <c r="K857" s="44"/>
      <c r="L857" s="44"/>
      <c r="M857" s="44"/>
      <c r="T857" s="47"/>
      <c r="U857" s="43"/>
    </row>
    <row r="858" spans="9:21" s="1" customFormat="1" x14ac:dyDescent="0.25">
      <c r="I858" s="101"/>
      <c r="J858" s="102"/>
      <c r="K858" s="101"/>
      <c r="L858" s="101"/>
      <c r="M858" s="44"/>
      <c r="T858" s="47"/>
      <c r="U858" s="43"/>
    </row>
    <row r="859" spans="9:21" s="1" customFormat="1" x14ac:dyDescent="0.25">
      <c r="I859" s="44"/>
      <c r="J859" s="57"/>
      <c r="K859" s="44"/>
      <c r="L859" s="44"/>
      <c r="M859" s="44"/>
      <c r="T859" s="47"/>
      <c r="U859" s="43"/>
    </row>
    <row r="860" spans="9:21" s="1" customFormat="1" x14ac:dyDescent="0.25">
      <c r="I860" s="101"/>
      <c r="J860" s="102"/>
      <c r="K860" s="101"/>
      <c r="L860" s="101"/>
      <c r="M860" s="44"/>
      <c r="T860" s="47"/>
      <c r="U860" s="43"/>
    </row>
    <row r="861" spans="9:21" s="1" customFormat="1" x14ac:dyDescent="0.25">
      <c r="I861" s="44"/>
      <c r="J861" s="57"/>
      <c r="K861" s="44"/>
      <c r="L861" s="44"/>
      <c r="M861" s="44"/>
      <c r="T861" s="47"/>
      <c r="U861" s="43"/>
    </row>
    <row r="862" spans="9:21" s="1" customFormat="1" x14ac:dyDescent="0.25">
      <c r="I862" s="101"/>
      <c r="J862" s="102"/>
      <c r="K862" s="101"/>
      <c r="L862" s="101"/>
      <c r="M862" s="44"/>
      <c r="T862" s="47"/>
      <c r="U862" s="43"/>
    </row>
    <row r="863" spans="9:21" s="1" customFormat="1" x14ac:dyDescent="0.25">
      <c r="I863" s="44"/>
      <c r="J863" s="57"/>
      <c r="K863" s="44"/>
      <c r="L863" s="44"/>
      <c r="M863" s="44"/>
      <c r="T863" s="47"/>
      <c r="U863" s="43"/>
    </row>
    <row r="864" spans="9:21" s="1" customFormat="1" x14ac:dyDescent="0.25">
      <c r="I864" s="101"/>
      <c r="J864" s="102"/>
      <c r="K864" s="101"/>
      <c r="L864" s="101"/>
      <c r="M864" s="44"/>
      <c r="T864" s="47"/>
      <c r="U864" s="43"/>
    </row>
    <row r="865" spans="9:21" s="1" customFormat="1" x14ac:dyDescent="0.25">
      <c r="I865" s="44"/>
      <c r="J865" s="57"/>
      <c r="K865" s="44"/>
      <c r="L865" s="44"/>
      <c r="M865" s="44"/>
      <c r="T865" s="47"/>
      <c r="U865" s="43"/>
    </row>
    <row r="866" spans="9:21" s="1" customFormat="1" x14ac:dyDescent="0.25">
      <c r="I866" s="101"/>
      <c r="J866" s="102"/>
      <c r="K866" s="101"/>
      <c r="L866" s="101"/>
      <c r="M866" s="44"/>
      <c r="T866" s="47"/>
      <c r="U866" s="43"/>
    </row>
    <row r="867" spans="9:21" s="1" customFormat="1" x14ac:dyDescent="0.25">
      <c r="I867" s="44"/>
      <c r="J867" s="57"/>
      <c r="K867" s="44"/>
      <c r="L867" s="44"/>
      <c r="M867" s="44"/>
      <c r="T867" s="47"/>
      <c r="U867" s="43"/>
    </row>
    <row r="868" spans="9:21" s="1" customFormat="1" x14ac:dyDescent="0.25">
      <c r="I868" s="101"/>
      <c r="J868" s="102"/>
      <c r="K868" s="101"/>
      <c r="L868" s="101"/>
      <c r="M868" s="44"/>
      <c r="T868" s="47"/>
      <c r="U868" s="43"/>
    </row>
    <row r="869" spans="9:21" s="1" customFormat="1" x14ac:dyDescent="0.25">
      <c r="I869" s="44"/>
      <c r="J869" s="57"/>
      <c r="K869" s="44"/>
      <c r="L869" s="44"/>
      <c r="M869" s="44"/>
      <c r="T869" s="47"/>
      <c r="U869" s="43"/>
    </row>
    <row r="870" spans="9:21" s="1" customFormat="1" x14ac:dyDescent="0.25">
      <c r="I870" s="101"/>
      <c r="J870" s="102"/>
      <c r="K870" s="101"/>
      <c r="L870" s="101"/>
      <c r="M870" s="44"/>
      <c r="T870" s="47"/>
      <c r="U870" s="43"/>
    </row>
    <row r="871" spans="9:21" s="1" customFormat="1" x14ac:dyDescent="0.25">
      <c r="I871" s="44"/>
      <c r="J871" s="57"/>
      <c r="K871" s="44"/>
      <c r="L871" s="44"/>
      <c r="M871" s="44"/>
      <c r="T871" s="47"/>
      <c r="U871" s="43"/>
    </row>
    <row r="872" spans="9:21" s="1" customFormat="1" x14ac:dyDescent="0.25">
      <c r="I872" s="101"/>
      <c r="J872" s="102"/>
      <c r="K872" s="101"/>
      <c r="L872" s="101"/>
      <c r="M872" s="44"/>
      <c r="T872" s="47"/>
      <c r="U872" s="43"/>
    </row>
    <row r="873" spans="9:21" s="1" customFormat="1" x14ac:dyDescent="0.25">
      <c r="I873" s="44"/>
      <c r="J873" s="57"/>
      <c r="K873" s="44"/>
      <c r="L873" s="44"/>
      <c r="M873" s="44"/>
      <c r="T873" s="47"/>
      <c r="U873" s="43"/>
    </row>
    <row r="874" spans="9:21" s="1" customFormat="1" x14ac:dyDescent="0.25">
      <c r="I874" s="101"/>
      <c r="J874" s="102"/>
      <c r="K874" s="101"/>
      <c r="L874" s="101"/>
      <c r="M874" s="44"/>
      <c r="T874" s="47"/>
      <c r="U874" s="43"/>
    </row>
    <row r="875" spans="9:21" s="1" customFormat="1" x14ac:dyDescent="0.25">
      <c r="I875" s="44"/>
      <c r="J875" s="57"/>
      <c r="K875" s="44"/>
      <c r="L875" s="44"/>
      <c r="M875" s="44"/>
      <c r="T875" s="47"/>
      <c r="U875" s="43"/>
    </row>
    <row r="876" spans="9:21" s="1" customFormat="1" x14ac:dyDescent="0.25">
      <c r="I876" s="101"/>
      <c r="J876" s="102"/>
      <c r="K876" s="101"/>
      <c r="L876" s="101"/>
      <c r="M876" s="44"/>
      <c r="T876" s="47"/>
      <c r="U876" s="43"/>
    </row>
    <row r="877" spans="9:21" s="1" customFormat="1" x14ac:dyDescent="0.25">
      <c r="I877" s="44"/>
      <c r="J877" s="57"/>
      <c r="K877" s="44"/>
      <c r="L877" s="44"/>
      <c r="M877" s="44"/>
      <c r="T877" s="47"/>
      <c r="U877" s="43"/>
    </row>
    <row r="878" spans="9:21" s="1" customFormat="1" x14ac:dyDescent="0.25">
      <c r="I878" s="101"/>
      <c r="J878" s="102"/>
      <c r="K878" s="101"/>
      <c r="L878" s="101"/>
      <c r="M878" s="44"/>
      <c r="T878" s="47"/>
      <c r="U878" s="43"/>
    </row>
    <row r="879" spans="9:21" s="1" customFormat="1" x14ac:dyDescent="0.25">
      <c r="I879" s="44"/>
      <c r="J879" s="57"/>
      <c r="K879" s="44"/>
      <c r="L879" s="44"/>
      <c r="M879" s="44"/>
      <c r="T879" s="47"/>
      <c r="U879" s="43"/>
    </row>
    <row r="880" spans="9:21" s="1" customFormat="1" x14ac:dyDescent="0.25">
      <c r="I880" s="101"/>
      <c r="J880" s="102"/>
      <c r="K880" s="101"/>
      <c r="L880" s="101"/>
      <c r="M880" s="44"/>
      <c r="T880" s="47"/>
      <c r="U880" s="43"/>
    </row>
    <row r="881" spans="9:21" s="1" customFormat="1" x14ac:dyDescent="0.25">
      <c r="I881" s="44"/>
      <c r="J881" s="57"/>
      <c r="K881" s="44"/>
      <c r="L881" s="44"/>
      <c r="M881" s="44"/>
      <c r="T881" s="47"/>
      <c r="U881" s="43"/>
    </row>
    <row r="882" spans="9:21" s="1" customFormat="1" x14ac:dyDescent="0.25">
      <c r="I882" s="101"/>
      <c r="J882" s="102"/>
      <c r="K882" s="101"/>
      <c r="L882" s="101"/>
      <c r="M882" s="44"/>
      <c r="T882" s="47"/>
      <c r="U882" s="43"/>
    </row>
    <row r="883" spans="9:21" s="1" customFormat="1" x14ac:dyDescent="0.25">
      <c r="I883" s="44"/>
      <c r="J883" s="57"/>
      <c r="K883" s="44"/>
      <c r="L883" s="44"/>
      <c r="M883" s="44"/>
      <c r="T883" s="47"/>
      <c r="U883" s="43"/>
    </row>
    <row r="884" spans="9:21" s="1" customFormat="1" x14ac:dyDescent="0.25">
      <c r="I884" s="101"/>
      <c r="J884" s="102"/>
      <c r="K884" s="101"/>
      <c r="L884" s="101"/>
      <c r="M884" s="44"/>
      <c r="T884" s="47"/>
      <c r="U884" s="43"/>
    </row>
    <row r="885" spans="9:21" s="1" customFormat="1" x14ac:dyDescent="0.25">
      <c r="I885" s="44"/>
      <c r="J885" s="57"/>
      <c r="K885" s="44"/>
      <c r="L885" s="44"/>
      <c r="M885" s="44"/>
      <c r="T885" s="47"/>
      <c r="U885" s="43"/>
    </row>
    <row r="886" spans="9:21" s="1" customFormat="1" x14ac:dyDescent="0.25">
      <c r="I886" s="101"/>
      <c r="J886" s="102"/>
      <c r="K886" s="101"/>
      <c r="L886" s="101"/>
      <c r="M886" s="44"/>
      <c r="T886" s="47"/>
      <c r="U886" s="43"/>
    </row>
    <row r="887" spans="9:21" s="1" customFormat="1" x14ac:dyDescent="0.25">
      <c r="I887" s="44"/>
      <c r="J887" s="57"/>
      <c r="K887" s="44"/>
      <c r="L887" s="44"/>
      <c r="M887" s="44"/>
      <c r="T887" s="47"/>
      <c r="U887" s="43"/>
    </row>
    <row r="888" spans="9:21" s="1" customFormat="1" x14ac:dyDescent="0.25">
      <c r="I888" s="101"/>
      <c r="J888" s="102"/>
      <c r="K888" s="101"/>
      <c r="L888" s="101"/>
      <c r="M888" s="44"/>
      <c r="T888" s="47"/>
      <c r="U888" s="43"/>
    </row>
    <row r="889" spans="9:21" s="1" customFormat="1" x14ac:dyDescent="0.25">
      <c r="I889" s="44"/>
      <c r="J889" s="57"/>
      <c r="K889" s="44"/>
      <c r="L889" s="44"/>
      <c r="M889" s="44"/>
      <c r="T889" s="47"/>
      <c r="U889" s="43"/>
    </row>
    <row r="890" spans="9:21" s="1" customFormat="1" x14ac:dyDescent="0.25">
      <c r="I890" s="101"/>
      <c r="J890" s="102"/>
      <c r="K890" s="101"/>
      <c r="L890" s="101"/>
      <c r="M890" s="44"/>
      <c r="T890" s="47"/>
      <c r="U890" s="43"/>
    </row>
    <row r="891" spans="9:21" s="1" customFormat="1" x14ac:dyDescent="0.25">
      <c r="I891" s="44"/>
      <c r="J891" s="57"/>
      <c r="K891" s="44"/>
      <c r="L891" s="44"/>
      <c r="M891" s="44"/>
      <c r="T891" s="47"/>
      <c r="U891" s="43"/>
    </row>
    <row r="892" spans="9:21" s="1" customFormat="1" x14ac:dyDescent="0.25">
      <c r="I892" s="101"/>
      <c r="J892" s="102"/>
      <c r="K892" s="101"/>
      <c r="L892" s="101"/>
      <c r="M892" s="44"/>
      <c r="T892" s="47"/>
      <c r="U892" s="43"/>
    </row>
    <row r="893" spans="9:21" s="1" customFormat="1" x14ac:dyDescent="0.25">
      <c r="I893" s="44"/>
      <c r="J893" s="57"/>
      <c r="K893" s="44"/>
      <c r="L893" s="44"/>
      <c r="M893" s="44"/>
      <c r="T893" s="47"/>
      <c r="U893" s="43"/>
    </row>
    <row r="894" spans="9:21" s="1" customFormat="1" x14ac:dyDescent="0.25">
      <c r="I894" s="101"/>
      <c r="J894" s="102"/>
      <c r="K894" s="101"/>
      <c r="L894" s="101"/>
      <c r="M894" s="44"/>
      <c r="T894" s="47"/>
      <c r="U894" s="43"/>
    </row>
    <row r="895" spans="9:21" s="1" customFormat="1" x14ac:dyDescent="0.25">
      <c r="I895" s="44"/>
      <c r="J895" s="57"/>
      <c r="K895" s="44"/>
      <c r="L895" s="44"/>
      <c r="M895" s="44"/>
      <c r="T895" s="47"/>
      <c r="U895" s="43"/>
    </row>
    <row r="896" spans="9:21" s="1" customFormat="1" x14ac:dyDescent="0.25">
      <c r="I896" s="101"/>
      <c r="J896" s="102"/>
      <c r="K896" s="101"/>
      <c r="L896" s="101"/>
      <c r="M896" s="44"/>
      <c r="T896" s="47"/>
      <c r="U896" s="43"/>
    </row>
    <row r="897" spans="9:21" s="1" customFormat="1" x14ac:dyDescent="0.25">
      <c r="I897" s="44"/>
      <c r="J897" s="57"/>
      <c r="K897" s="44"/>
      <c r="L897" s="44"/>
      <c r="M897" s="44"/>
      <c r="T897" s="47"/>
      <c r="U897" s="43"/>
    </row>
    <row r="898" spans="9:21" s="1" customFormat="1" x14ac:dyDescent="0.25">
      <c r="I898" s="101"/>
      <c r="J898" s="102"/>
      <c r="K898" s="101"/>
      <c r="L898" s="101"/>
      <c r="M898" s="44"/>
      <c r="T898" s="47"/>
      <c r="U898" s="43"/>
    </row>
    <row r="899" spans="9:21" s="1" customFormat="1" x14ac:dyDescent="0.25">
      <c r="I899" s="44"/>
      <c r="J899" s="57"/>
      <c r="K899" s="44"/>
      <c r="L899" s="44"/>
      <c r="M899" s="44"/>
      <c r="T899" s="47"/>
      <c r="U899" s="43"/>
    </row>
    <row r="900" spans="9:21" s="1" customFormat="1" x14ac:dyDescent="0.25">
      <c r="I900" s="101"/>
      <c r="J900" s="102"/>
      <c r="K900" s="101"/>
      <c r="L900" s="101"/>
      <c r="M900" s="44"/>
      <c r="T900" s="47"/>
      <c r="U900" s="43"/>
    </row>
    <row r="901" spans="9:21" s="1" customFormat="1" x14ac:dyDescent="0.25">
      <c r="I901" s="44"/>
      <c r="J901" s="57"/>
      <c r="K901" s="44"/>
      <c r="L901" s="44"/>
      <c r="M901" s="44"/>
      <c r="T901" s="47"/>
      <c r="U901" s="43"/>
    </row>
    <row r="902" spans="9:21" s="1" customFormat="1" x14ac:dyDescent="0.25">
      <c r="I902" s="101"/>
      <c r="J902" s="102"/>
      <c r="K902" s="101"/>
      <c r="L902" s="101"/>
      <c r="M902" s="44"/>
      <c r="T902" s="47"/>
      <c r="U902" s="43"/>
    </row>
    <row r="903" spans="9:21" s="1" customFormat="1" x14ac:dyDescent="0.25">
      <c r="I903" s="44"/>
      <c r="J903" s="57"/>
      <c r="K903" s="44"/>
      <c r="L903" s="44"/>
      <c r="M903" s="44"/>
      <c r="T903" s="47"/>
      <c r="U903" s="43"/>
    </row>
    <row r="904" spans="9:21" s="1" customFormat="1" x14ac:dyDescent="0.25">
      <c r="I904" s="101"/>
      <c r="J904" s="102"/>
      <c r="K904" s="101"/>
      <c r="L904" s="101"/>
      <c r="M904" s="44"/>
      <c r="T904" s="47"/>
      <c r="U904" s="43"/>
    </row>
    <row r="905" spans="9:21" s="1" customFormat="1" x14ac:dyDescent="0.25">
      <c r="I905" s="44"/>
      <c r="J905" s="57"/>
      <c r="K905" s="44"/>
      <c r="L905" s="44"/>
      <c r="M905" s="44"/>
      <c r="T905" s="47"/>
      <c r="U905" s="43"/>
    </row>
    <row r="906" spans="9:21" s="1" customFormat="1" x14ac:dyDescent="0.25">
      <c r="I906" s="101"/>
      <c r="J906" s="102"/>
      <c r="K906" s="101"/>
      <c r="L906" s="101"/>
      <c r="M906" s="44"/>
      <c r="T906" s="47"/>
      <c r="U906" s="43"/>
    </row>
    <row r="907" spans="9:21" s="1" customFormat="1" x14ac:dyDescent="0.25">
      <c r="I907" s="44"/>
      <c r="J907" s="57"/>
      <c r="K907" s="44"/>
      <c r="L907" s="44"/>
      <c r="M907" s="44"/>
      <c r="T907" s="47"/>
      <c r="U907" s="43"/>
    </row>
    <row r="908" spans="9:21" s="1" customFormat="1" x14ac:dyDescent="0.25">
      <c r="I908" s="101"/>
      <c r="J908" s="102"/>
      <c r="K908" s="101"/>
      <c r="L908" s="101"/>
      <c r="M908" s="44"/>
      <c r="T908" s="47"/>
      <c r="U908" s="43"/>
    </row>
    <row r="909" spans="9:21" s="1" customFormat="1" x14ac:dyDescent="0.25">
      <c r="I909" s="44"/>
      <c r="J909" s="57"/>
      <c r="K909" s="44"/>
      <c r="L909" s="44"/>
      <c r="M909" s="44"/>
      <c r="T909" s="47"/>
      <c r="U909" s="43"/>
    </row>
    <row r="910" spans="9:21" s="1" customFormat="1" x14ac:dyDescent="0.25">
      <c r="I910" s="101"/>
      <c r="J910" s="102"/>
      <c r="K910" s="101"/>
      <c r="L910" s="101"/>
      <c r="M910" s="44"/>
      <c r="T910" s="47"/>
      <c r="U910" s="43"/>
    </row>
    <row r="911" spans="9:21" s="1" customFormat="1" x14ac:dyDescent="0.25">
      <c r="I911" s="44"/>
      <c r="J911" s="57"/>
      <c r="K911" s="44"/>
      <c r="L911" s="44"/>
      <c r="M911" s="44"/>
      <c r="T911" s="47"/>
      <c r="U911" s="43"/>
    </row>
    <row r="912" spans="9:21" s="1" customFormat="1" x14ac:dyDescent="0.25">
      <c r="I912" s="101"/>
      <c r="J912" s="102"/>
      <c r="K912" s="101"/>
      <c r="L912" s="101"/>
      <c r="M912" s="44"/>
      <c r="T912" s="47"/>
      <c r="U912" s="43"/>
    </row>
    <row r="913" spans="9:21" s="1" customFormat="1" x14ac:dyDescent="0.25">
      <c r="I913" s="44"/>
      <c r="J913" s="57"/>
      <c r="K913" s="44"/>
      <c r="L913" s="44"/>
      <c r="M913" s="44"/>
      <c r="T913" s="47"/>
      <c r="U913" s="43"/>
    </row>
    <row r="914" spans="9:21" s="1" customFormat="1" x14ac:dyDescent="0.25">
      <c r="I914" s="101"/>
      <c r="J914" s="102"/>
      <c r="K914" s="101"/>
      <c r="L914" s="101"/>
      <c r="M914" s="44"/>
      <c r="T914" s="47"/>
      <c r="U914" s="43"/>
    </row>
    <row r="915" spans="9:21" s="1" customFormat="1" x14ac:dyDescent="0.25">
      <c r="I915" s="44"/>
      <c r="J915" s="57"/>
      <c r="K915" s="44"/>
      <c r="L915" s="44"/>
      <c r="M915" s="44"/>
      <c r="T915" s="47"/>
      <c r="U915" s="43"/>
    </row>
    <row r="916" spans="9:21" s="1" customFormat="1" x14ac:dyDescent="0.25">
      <c r="I916" s="101"/>
      <c r="J916" s="102"/>
      <c r="K916" s="101"/>
      <c r="L916" s="101"/>
      <c r="M916" s="44"/>
      <c r="T916" s="47"/>
      <c r="U916" s="43"/>
    </row>
    <row r="917" spans="9:21" s="1" customFormat="1" x14ac:dyDescent="0.25">
      <c r="I917" s="44"/>
      <c r="J917" s="57"/>
      <c r="K917" s="44"/>
      <c r="L917" s="44"/>
      <c r="M917" s="44"/>
      <c r="T917" s="47"/>
      <c r="U917" s="43"/>
    </row>
    <row r="918" spans="9:21" s="1" customFormat="1" x14ac:dyDescent="0.25">
      <c r="I918" s="101"/>
      <c r="J918" s="102"/>
      <c r="K918" s="101"/>
      <c r="L918" s="101"/>
      <c r="M918" s="44"/>
      <c r="T918" s="47"/>
      <c r="U918" s="43"/>
    </row>
    <row r="919" spans="9:21" s="1" customFormat="1" x14ac:dyDescent="0.25">
      <c r="I919" s="44"/>
      <c r="J919" s="57"/>
      <c r="K919" s="44"/>
      <c r="L919" s="44"/>
      <c r="M919" s="44"/>
      <c r="T919" s="47"/>
      <c r="U919" s="43"/>
    </row>
    <row r="920" spans="9:21" s="1" customFormat="1" x14ac:dyDescent="0.25">
      <c r="I920" s="101"/>
      <c r="J920" s="102"/>
      <c r="K920" s="101"/>
      <c r="L920" s="101"/>
      <c r="M920" s="44"/>
      <c r="T920" s="47"/>
      <c r="U920" s="43"/>
    </row>
    <row r="921" spans="9:21" s="1" customFormat="1" x14ac:dyDescent="0.25">
      <c r="I921" s="44"/>
      <c r="J921" s="57"/>
      <c r="K921" s="44"/>
      <c r="L921" s="44"/>
      <c r="M921" s="44"/>
      <c r="T921" s="47"/>
      <c r="U921" s="43"/>
    </row>
    <row r="922" spans="9:21" s="1" customFormat="1" x14ac:dyDescent="0.25">
      <c r="I922" s="101"/>
      <c r="J922" s="102"/>
      <c r="K922" s="101"/>
      <c r="L922" s="101"/>
      <c r="M922" s="44"/>
      <c r="T922" s="47"/>
      <c r="U922" s="43"/>
    </row>
    <row r="923" spans="9:21" s="1" customFormat="1" x14ac:dyDescent="0.25">
      <c r="I923" s="44"/>
      <c r="J923" s="57"/>
      <c r="K923" s="44"/>
      <c r="L923" s="44"/>
      <c r="M923" s="44"/>
      <c r="T923" s="47"/>
      <c r="U923" s="43"/>
    </row>
    <row r="924" spans="9:21" s="1" customFormat="1" x14ac:dyDescent="0.25">
      <c r="I924" s="101"/>
      <c r="J924" s="102"/>
      <c r="K924" s="101"/>
      <c r="L924" s="101"/>
      <c r="M924" s="44"/>
      <c r="T924" s="47"/>
      <c r="U924" s="43"/>
    </row>
    <row r="925" spans="9:21" s="1" customFormat="1" x14ac:dyDescent="0.25">
      <c r="I925" s="44"/>
      <c r="J925" s="57"/>
      <c r="K925" s="44"/>
      <c r="L925" s="44"/>
      <c r="M925" s="44"/>
      <c r="T925" s="47"/>
      <c r="U925" s="43"/>
    </row>
    <row r="926" spans="9:21" s="1" customFormat="1" x14ac:dyDescent="0.25">
      <c r="I926" s="101"/>
      <c r="J926" s="102"/>
      <c r="K926" s="101"/>
      <c r="L926" s="101"/>
      <c r="M926" s="44"/>
      <c r="T926" s="47"/>
      <c r="U926" s="43"/>
    </row>
    <row r="927" spans="9:21" s="1" customFormat="1" x14ac:dyDescent="0.25">
      <c r="I927" s="44"/>
      <c r="J927" s="57"/>
      <c r="K927" s="44"/>
      <c r="L927" s="44"/>
      <c r="M927" s="44"/>
      <c r="T927" s="47"/>
      <c r="U927" s="43"/>
    </row>
    <row r="928" spans="9:21" s="1" customFormat="1" x14ac:dyDescent="0.25">
      <c r="I928" s="101"/>
      <c r="J928" s="102"/>
      <c r="K928" s="101"/>
      <c r="L928" s="101"/>
      <c r="M928" s="44"/>
      <c r="T928" s="47"/>
      <c r="U928" s="43"/>
    </row>
    <row r="929" spans="9:21" s="1" customFormat="1" x14ac:dyDescent="0.25">
      <c r="I929" s="44"/>
      <c r="J929" s="57"/>
      <c r="K929" s="44"/>
      <c r="L929" s="44"/>
      <c r="M929" s="44"/>
      <c r="T929" s="47"/>
      <c r="U929" s="43"/>
    </row>
    <row r="930" spans="9:21" s="1" customFormat="1" x14ac:dyDescent="0.25">
      <c r="I930" s="101"/>
      <c r="J930" s="102"/>
      <c r="K930" s="101"/>
      <c r="L930" s="101"/>
      <c r="M930" s="44"/>
      <c r="T930" s="47"/>
      <c r="U930" s="43"/>
    </row>
    <row r="931" spans="9:21" s="1" customFormat="1" x14ac:dyDescent="0.25">
      <c r="I931" s="44"/>
      <c r="J931" s="57"/>
      <c r="K931" s="44"/>
      <c r="L931" s="44"/>
      <c r="M931" s="44"/>
      <c r="T931" s="47"/>
      <c r="U931" s="43"/>
    </row>
    <row r="932" spans="9:21" s="1" customFormat="1" x14ac:dyDescent="0.25">
      <c r="I932" s="101"/>
      <c r="J932" s="102"/>
      <c r="K932" s="101"/>
      <c r="L932" s="101"/>
      <c r="M932" s="44"/>
      <c r="T932" s="47"/>
      <c r="U932" s="43"/>
    </row>
    <row r="933" spans="9:21" s="1" customFormat="1" x14ac:dyDescent="0.25">
      <c r="I933" s="44"/>
      <c r="J933" s="57"/>
      <c r="K933" s="44"/>
      <c r="L933" s="44"/>
      <c r="M933" s="44"/>
      <c r="T933" s="47"/>
      <c r="U933" s="43"/>
    </row>
    <row r="934" spans="9:21" s="1" customFormat="1" x14ac:dyDescent="0.25">
      <c r="I934" s="101"/>
      <c r="J934" s="102"/>
      <c r="K934" s="101"/>
      <c r="L934" s="101"/>
      <c r="M934" s="44"/>
      <c r="T934" s="47"/>
      <c r="U934" s="43"/>
    </row>
    <row r="935" spans="9:21" s="1" customFormat="1" x14ac:dyDescent="0.25">
      <c r="I935" s="44"/>
      <c r="J935" s="57"/>
      <c r="K935" s="44"/>
      <c r="L935" s="44"/>
      <c r="M935" s="44"/>
      <c r="T935" s="47"/>
      <c r="U935" s="43"/>
    </row>
    <row r="936" spans="9:21" s="1" customFormat="1" x14ac:dyDescent="0.25">
      <c r="I936" s="101"/>
      <c r="J936" s="102"/>
      <c r="K936" s="101"/>
      <c r="L936" s="101"/>
      <c r="M936" s="44"/>
      <c r="T936" s="47"/>
      <c r="U936" s="43"/>
    </row>
    <row r="937" spans="9:21" s="1" customFormat="1" x14ac:dyDescent="0.25">
      <c r="I937" s="44"/>
      <c r="J937" s="57"/>
      <c r="K937" s="44"/>
      <c r="L937" s="44"/>
      <c r="M937" s="44"/>
      <c r="T937" s="47"/>
      <c r="U937" s="43"/>
    </row>
    <row r="938" spans="9:21" s="1" customFormat="1" x14ac:dyDescent="0.25">
      <c r="I938" s="101"/>
      <c r="J938" s="102"/>
      <c r="K938" s="101"/>
      <c r="L938" s="101"/>
      <c r="M938" s="44"/>
      <c r="T938" s="47"/>
      <c r="U938" s="43"/>
    </row>
    <row r="939" spans="9:21" s="1" customFormat="1" x14ac:dyDescent="0.25">
      <c r="I939" s="44"/>
      <c r="J939" s="57"/>
      <c r="K939" s="44"/>
      <c r="L939" s="44"/>
      <c r="M939" s="44"/>
      <c r="T939" s="47"/>
      <c r="U939" s="43"/>
    </row>
    <row r="940" spans="9:21" s="1" customFormat="1" x14ac:dyDescent="0.25">
      <c r="I940" s="101"/>
      <c r="J940" s="102"/>
      <c r="K940" s="101"/>
      <c r="L940" s="101"/>
      <c r="M940" s="44"/>
      <c r="T940" s="47"/>
      <c r="U940" s="43"/>
    </row>
    <row r="941" spans="9:21" s="1" customFormat="1" x14ac:dyDescent="0.25">
      <c r="I941" s="44"/>
      <c r="J941" s="57"/>
      <c r="K941" s="44"/>
      <c r="L941" s="44"/>
      <c r="M941" s="44"/>
      <c r="T941" s="47"/>
      <c r="U941" s="43"/>
    </row>
    <row r="942" spans="9:21" s="1" customFormat="1" x14ac:dyDescent="0.25">
      <c r="I942" s="101"/>
      <c r="J942" s="102"/>
      <c r="K942" s="101"/>
      <c r="L942" s="101"/>
      <c r="M942" s="44"/>
      <c r="T942" s="47"/>
      <c r="U942" s="43"/>
    </row>
    <row r="943" spans="9:21" s="1" customFormat="1" x14ac:dyDescent="0.25">
      <c r="I943" s="44"/>
      <c r="J943" s="57"/>
      <c r="K943" s="44"/>
      <c r="L943" s="44"/>
      <c r="M943" s="44"/>
      <c r="T943" s="47"/>
      <c r="U943" s="43"/>
    </row>
    <row r="944" spans="9:21" s="1" customFormat="1" x14ac:dyDescent="0.25">
      <c r="I944" s="101"/>
      <c r="J944" s="102"/>
      <c r="K944" s="101"/>
      <c r="L944" s="101"/>
      <c r="M944" s="44"/>
      <c r="T944" s="47"/>
      <c r="U944" s="43"/>
    </row>
    <row r="945" spans="9:21" s="1" customFormat="1" x14ac:dyDescent="0.25">
      <c r="I945" s="44"/>
      <c r="J945" s="57"/>
      <c r="K945" s="44"/>
      <c r="L945" s="44"/>
      <c r="M945" s="44"/>
      <c r="T945" s="47"/>
      <c r="U945" s="43"/>
    </row>
    <row r="946" spans="9:21" s="1" customFormat="1" x14ac:dyDescent="0.25">
      <c r="I946" s="101"/>
      <c r="J946" s="102"/>
      <c r="K946" s="101"/>
      <c r="L946" s="101"/>
      <c r="M946" s="44"/>
      <c r="T946" s="47"/>
      <c r="U946" s="43"/>
    </row>
    <row r="947" spans="9:21" s="1" customFormat="1" x14ac:dyDescent="0.25">
      <c r="I947" s="44"/>
      <c r="J947" s="57"/>
      <c r="K947" s="44"/>
      <c r="L947" s="44"/>
      <c r="M947" s="44"/>
      <c r="T947" s="47"/>
      <c r="U947" s="43"/>
    </row>
    <row r="948" spans="9:21" s="1" customFormat="1" x14ac:dyDescent="0.25">
      <c r="I948" s="101"/>
      <c r="J948" s="102"/>
      <c r="K948" s="101"/>
      <c r="L948" s="101"/>
      <c r="M948" s="44"/>
      <c r="T948" s="47"/>
      <c r="U948" s="43"/>
    </row>
    <row r="949" spans="9:21" s="1" customFormat="1" x14ac:dyDescent="0.25">
      <c r="I949" s="44"/>
      <c r="J949" s="57"/>
      <c r="K949" s="44"/>
      <c r="L949" s="44"/>
      <c r="M949" s="44"/>
      <c r="T949" s="47"/>
      <c r="U949" s="43"/>
    </row>
    <row r="950" spans="9:21" s="1" customFormat="1" x14ac:dyDescent="0.25">
      <c r="I950" s="101"/>
      <c r="J950" s="102"/>
      <c r="K950" s="101"/>
      <c r="L950" s="101"/>
      <c r="M950" s="44"/>
      <c r="T950" s="47"/>
      <c r="U950" s="43"/>
    </row>
    <row r="951" spans="9:21" s="1" customFormat="1" x14ac:dyDescent="0.25">
      <c r="I951" s="44"/>
      <c r="J951" s="57"/>
      <c r="K951" s="44"/>
      <c r="L951" s="44"/>
      <c r="M951" s="44"/>
      <c r="T951" s="47"/>
      <c r="U951" s="43"/>
    </row>
    <row r="952" spans="9:21" s="1" customFormat="1" x14ac:dyDescent="0.25">
      <c r="I952" s="101"/>
      <c r="J952" s="102"/>
      <c r="K952" s="101"/>
      <c r="L952" s="101"/>
      <c r="M952" s="44"/>
      <c r="T952" s="47"/>
      <c r="U952" s="43"/>
    </row>
    <row r="953" spans="9:21" s="1" customFormat="1" x14ac:dyDescent="0.25">
      <c r="I953" s="44"/>
      <c r="J953" s="57"/>
      <c r="K953" s="44"/>
      <c r="L953" s="44"/>
      <c r="M953" s="44"/>
      <c r="T953" s="47"/>
      <c r="U953" s="43"/>
    </row>
    <row r="954" spans="9:21" s="1" customFormat="1" x14ac:dyDescent="0.25">
      <c r="I954" s="101"/>
      <c r="J954" s="102"/>
      <c r="K954" s="101"/>
      <c r="L954" s="101"/>
      <c r="M954" s="44"/>
      <c r="T954" s="47"/>
      <c r="U954" s="43"/>
    </row>
    <row r="955" spans="9:21" s="1" customFormat="1" x14ac:dyDescent="0.25">
      <c r="I955" s="44"/>
      <c r="J955" s="57"/>
      <c r="K955" s="44"/>
      <c r="L955" s="44"/>
      <c r="M955" s="44"/>
      <c r="T955" s="47"/>
      <c r="U955" s="43"/>
    </row>
    <row r="956" spans="9:21" s="1" customFormat="1" x14ac:dyDescent="0.25">
      <c r="I956" s="101"/>
      <c r="J956" s="102"/>
      <c r="K956" s="101"/>
      <c r="L956" s="101"/>
      <c r="M956" s="44"/>
      <c r="T956" s="47"/>
      <c r="U956" s="43"/>
    </row>
    <row r="957" spans="9:21" s="1" customFormat="1" x14ac:dyDescent="0.25">
      <c r="I957" s="44"/>
      <c r="J957" s="57"/>
      <c r="K957" s="44"/>
      <c r="L957" s="44"/>
      <c r="M957" s="44"/>
      <c r="T957" s="47"/>
      <c r="U957" s="43"/>
    </row>
    <row r="958" spans="9:21" s="1" customFormat="1" x14ac:dyDescent="0.25">
      <c r="I958" s="101"/>
      <c r="J958" s="102"/>
      <c r="K958" s="101"/>
      <c r="L958" s="101"/>
      <c r="M958" s="44"/>
      <c r="T958" s="47"/>
      <c r="U958" s="43"/>
    </row>
    <row r="959" spans="9:21" s="1" customFormat="1" x14ac:dyDescent="0.25">
      <c r="I959" s="44"/>
      <c r="J959" s="57"/>
      <c r="K959" s="44"/>
      <c r="L959" s="44"/>
      <c r="M959" s="44"/>
      <c r="T959" s="47"/>
      <c r="U959" s="43"/>
    </row>
    <row r="960" spans="9:21" s="1" customFormat="1" x14ac:dyDescent="0.25">
      <c r="I960" s="101"/>
      <c r="J960" s="102"/>
      <c r="K960" s="101"/>
      <c r="L960" s="101"/>
      <c r="M960" s="44"/>
      <c r="T960" s="47"/>
      <c r="U960" s="43"/>
    </row>
    <row r="961" spans="9:21" s="1" customFormat="1" x14ac:dyDescent="0.25">
      <c r="I961" s="44"/>
      <c r="J961" s="57"/>
      <c r="K961" s="44"/>
      <c r="L961" s="44"/>
      <c r="M961" s="44"/>
      <c r="T961" s="47"/>
      <c r="U961" s="43"/>
    </row>
    <row r="962" spans="9:21" s="1" customFormat="1" x14ac:dyDescent="0.25">
      <c r="I962" s="101"/>
      <c r="J962" s="102"/>
      <c r="K962" s="101"/>
      <c r="L962" s="101"/>
      <c r="M962" s="44"/>
      <c r="T962" s="47"/>
      <c r="U962" s="43"/>
    </row>
    <row r="963" spans="9:21" s="1" customFormat="1" x14ac:dyDescent="0.25">
      <c r="I963" s="44"/>
      <c r="J963" s="57"/>
      <c r="K963" s="44"/>
      <c r="L963" s="44"/>
      <c r="M963" s="44"/>
      <c r="T963" s="47"/>
      <c r="U963" s="43"/>
    </row>
    <row r="964" spans="9:21" s="1" customFormat="1" x14ac:dyDescent="0.25">
      <c r="I964" s="101"/>
      <c r="J964" s="102"/>
      <c r="K964" s="101"/>
      <c r="L964" s="101"/>
      <c r="M964" s="44"/>
      <c r="T964" s="47"/>
      <c r="U964" s="43"/>
    </row>
    <row r="965" spans="9:21" s="1" customFormat="1" x14ac:dyDescent="0.25">
      <c r="I965" s="44"/>
      <c r="J965" s="57"/>
      <c r="K965" s="44"/>
      <c r="L965" s="44"/>
      <c r="M965" s="44"/>
      <c r="T965" s="47"/>
      <c r="U965" s="43"/>
    </row>
    <row r="966" spans="9:21" s="1" customFormat="1" x14ac:dyDescent="0.25">
      <c r="I966" s="101"/>
      <c r="J966" s="102"/>
      <c r="K966" s="101"/>
      <c r="L966" s="101"/>
      <c r="M966" s="44"/>
      <c r="T966" s="47"/>
      <c r="U966" s="43"/>
    </row>
    <row r="967" spans="9:21" s="1" customFormat="1" x14ac:dyDescent="0.25">
      <c r="I967" s="44"/>
      <c r="J967" s="57"/>
      <c r="K967" s="44"/>
      <c r="L967" s="44"/>
      <c r="M967" s="44"/>
      <c r="T967" s="47"/>
      <c r="U967" s="43"/>
    </row>
    <row r="968" spans="9:21" s="1" customFormat="1" x14ac:dyDescent="0.25">
      <c r="I968" s="101"/>
      <c r="J968" s="102"/>
      <c r="K968" s="101"/>
      <c r="L968" s="101"/>
      <c r="M968" s="44"/>
      <c r="T968" s="47"/>
      <c r="U968" s="43"/>
    </row>
    <row r="969" spans="9:21" s="1" customFormat="1" x14ac:dyDescent="0.25">
      <c r="I969" s="44"/>
      <c r="J969" s="57"/>
      <c r="K969" s="44"/>
      <c r="L969" s="44"/>
      <c r="M969" s="44"/>
      <c r="T969" s="47"/>
      <c r="U969" s="43"/>
    </row>
    <row r="970" spans="9:21" s="1" customFormat="1" x14ac:dyDescent="0.25">
      <c r="I970" s="101"/>
      <c r="J970" s="102"/>
      <c r="K970" s="101"/>
      <c r="L970" s="101"/>
      <c r="M970" s="44"/>
      <c r="T970" s="47"/>
      <c r="U970" s="43"/>
    </row>
    <row r="971" spans="9:21" s="1" customFormat="1" x14ac:dyDescent="0.25">
      <c r="I971" s="44"/>
      <c r="J971" s="57"/>
      <c r="K971" s="44"/>
      <c r="L971" s="44"/>
      <c r="M971" s="44"/>
      <c r="T971" s="47"/>
      <c r="U971" s="43"/>
    </row>
    <row r="972" spans="9:21" s="1" customFormat="1" x14ac:dyDescent="0.25">
      <c r="I972" s="101"/>
      <c r="J972" s="102"/>
      <c r="K972" s="101"/>
      <c r="L972" s="101"/>
      <c r="M972" s="44"/>
      <c r="T972" s="47"/>
      <c r="U972" s="43"/>
    </row>
    <row r="973" spans="9:21" s="1" customFormat="1" x14ac:dyDescent="0.25">
      <c r="I973" s="44"/>
      <c r="J973" s="57"/>
      <c r="K973" s="44"/>
      <c r="L973" s="44"/>
      <c r="M973" s="44"/>
      <c r="T973" s="47"/>
      <c r="U973" s="43"/>
    </row>
    <row r="974" spans="9:21" s="1" customFormat="1" x14ac:dyDescent="0.25">
      <c r="I974" s="101"/>
      <c r="J974" s="102"/>
      <c r="K974" s="101"/>
      <c r="L974" s="101"/>
      <c r="M974" s="44"/>
      <c r="T974" s="47"/>
      <c r="U974" s="43"/>
    </row>
    <row r="975" spans="9:21" s="1" customFormat="1" x14ac:dyDescent="0.25">
      <c r="I975" s="44"/>
      <c r="J975" s="57"/>
      <c r="K975" s="44"/>
      <c r="L975" s="44"/>
      <c r="M975" s="44"/>
      <c r="T975" s="47"/>
      <c r="U975" s="43"/>
    </row>
    <row r="976" spans="9:21" s="1" customFormat="1" x14ac:dyDescent="0.25">
      <c r="I976" s="101"/>
      <c r="J976" s="102"/>
      <c r="K976" s="101"/>
      <c r="L976" s="101"/>
      <c r="M976" s="44"/>
      <c r="T976" s="47"/>
      <c r="U976" s="43"/>
    </row>
    <row r="977" spans="9:21" s="1" customFormat="1" x14ac:dyDescent="0.25">
      <c r="I977" s="44"/>
      <c r="J977" s="57"/>
      <c r="K977" s="44"/>
      <c r="L977" s="44"/>
      <c r="M977" s="44"/>
      <c r="T977" s="47"/>
      <c r="U977" s="43"/>
    </row>
    <row r="978" spans="9:21" s="1" customFormat="1" x14ac:dyDescent="0.25">
      <c r="I978" s="101"/>
      <c r="J978" s="102"/>
      <c r="K978" s="101"/>
      <c r="L978" s="101"/>
      <c r="M978" s="44"/>
      <c r="T978" s="47"/>
      <c r="U978" s="43"/>
    </row>
    <row r="979" spans="9:21" s="1" customFormat="1" x14ac:dyDescent="0.25">
      <c r="I979" s="44"/>
      <c r="J979" s="57"/>
      <c r="K979" s="44"/>
      <c r="L979" s="44"/>
      <c r="M979" s="44"/>
      <c r="T979" s="47"/>
      <c r="U979" s="43"/>
    </row>
    <row r="980" spans="9:21" s="1" customFormat="1" x14ac:dyDescent="0.25">
      <c r="I980" s="101"/>
      <c r="J980" s="102"/>
      <c r="K980" s="101"/>
      <c r="L980" s="101"/>
      <c r="M980" s="44"/>
      <c r="T980" s="47"/>
      <c r="U980" s="43"/>
    </row>
    <row r="981" spans="9:21" s="1" customFormat="1" x14ac:dyDescent="0.25">
      <c r="I981" s="44"/>
      <c r="J981" s="57"/>
      <c r="K981" s="44"/>
      <c r="L981" s="44"/>
      <c r="M981" s="44"/>
      <c r="T981" s="47"/>
      <c r="U981" s="43"/>
    </row>
    <row r="982" spans="9:21" s="1" customFormat="1" x14ac:dyDescent="0.25">
      <c r="I982" s="101"/>
      <c r="J982" s="102"/>
      <c r="K982" s="101"/>
      <c r="L982" s="101"/>
      <c r="M982" s="44"/>
      <c r="T982" s="47"/>
      <c r="U982" s="43"/>
    </row>
    <row r="983" spans="9:21" s="1" customFormat="1" x14ac:dyDescent="0.25">
      <c r="I983" s="44"/>
      <c r="J983" s="57"/>
      <c r="K983" s="44"/>
      <c r="L983" s="44"/>
      <c r="M983" s="44"/>
      <c r="T983" s="47"/>
      <c r="U983" s="43"/>
    </row>
    <row r="984" spans="9:21" s="1" customFormat="1" x14ac:dyDescent="0.25">
      <c r="I984" s="101"/>
      <c r="J984" s="102"/>
      <c r="K984" s="101"/>
      <c r="L984" s="101"/>
      <c r="M984" s="44"/>
      <c r="T984" s="47"/>
      <c r="U984" s="43"/>
    </row>
    <row r="985" spans="9:21" s="1" customFormat="1" x14ac:dyDescent="0.25">
      <c r="I985" s="44"/>
      <c r="J985" s="57"/>
      <c r="K985" s="44"/>
      <c r="L985" s="44"/>
      <c r="M985" s="44"/>
      <c r="T985" s="47"/>
      <c r="U985" s="43"/>
    </row>
    <row r="986" spans="9:21" s="1" customFormat="1" x14ac:dyDescent="0.25">
      <c r="I986" s="101"/>
      <c r="J986" s="102"/>
      <c r="K986" s="101"/>
      <c r="L986" s="101"/>
      <c r="M986" s="44"/>
      <c r="T986" s="47"/>
      <c r="U986" s="43"/>
    </row>
    <row r="987" spans="9:21" s="1" customFormat="1" x14ac:dyDescent="0.25">
      <c r="I987" s="44"/>
      <c r="J987" s="57"/>
      <c r="K987" s="44"/>
      <c r="L987" s="44"/>
      <c r="M987" s="44"/>
      <c r="T987" s="47"/>
      <c r="U987" s="43"/>
    </row>
    <row r="988" spans="9:21" s="1" customFormat="1" x14ac:dyDescent="0.25">
      <c r="I988" s="101"/>
      <c r="J988" s="102"/>
      <c r="K988" s="101"/>
      <c r="L988" s="101"/>
      <c r="M988" s="44"/>
      <c r="T988" s="47"/>
      <c r="U988" s="43"/>
    </row>
    <row r="989" spans="9:21" s="1" customFormat="1" x14ac:dyDescent="0.25">
      <c r="I989" s="44"/>
      <c r="J989" s="57"/>
      <c r="K989" s="44"/>
      <c r="L989" s="44"/>
      <c r="M989" s="44"/>
      <c r="T989" s="47"/>
      <c r="U989" s="43"/>
    </row>
    <row r="990" spans="9:21" s="1" customFormat="1" x14ac:dyDescent="0.25">
      <c r="I990" s="101"/>
      <c r="J990" s="102"/>
      <c r="K990" s="101"/>
      <c r="L990" s="101"/>
      <c r="M990" s="44"/>
      <c r="T990" s="47"/>
      <c r="U990" s="43"/>
    </row>
    <row r="991" spans="9:21" s="1" customFormat="1" x14ac:dyDescent="0.25">
      <c r="I991" s="44"/>
      <c r="J991" s="57"/>
      <c r="K991" s="44"/>
      <c r="L991" s="44"/>
      <c r="M991" s="44"/>
      <c r="T991" s="47"/>
      <c r="U991" s="43"/>
    </row>
    <row r="992" spans="9:21" s="1" customFormat="1" x14ac:dyDescent="0.25">
      <c r="I992" s="101"/>
      <c r="J992" s="102"/>
      <c r="K992" s="101"/>
      <c r="L992" s="101"/>
      <c r="M992" s="44"/>
      <c r="T992" s="47"/>
      <c r="U992" s="43"/>
    </row>
    <row r="993" spans="9:21" s="1" customFormat="1" x14ac:dyDescent="0.25">
      <c r="I993" s="44"/>
      <c r="J993" s="57"/>
      <c r="K993" s="44"/>
      <c r="L993" s="44"/>
      <c r="M993" s="44"/>
      <c r="T993" s="47"/>
      <c r="U993" s="43"/>
    </row>
    <row r="994" spans="9:21" s="1" customFormat="1" x14ac:dyDescent="0.25">
      <c r="I994" s="101"/>
      <c r="J994" s="102"/>
      <c r="K994" s="101"/>
      <c r="L994" s="101"/>
      <c r="M994" s="44"/>
      <c r="T994" s="47"/>
      <c r="U994" s="43"/>
    </row>
    <row r="995" spans="9:21" s="1" customFormat="1" x14ac:dyDescent="0.25">
      <c r="I995" s="44"/>
      <c r="J995" s="57"/>
      <c r="K995" s="44"/>
      <c r="L995" s="44"/>
      <c r="M995" s="44"/>
      <c r="T995" s="47"/>
      <c r="U995" s="43"/>
    </row>
    <row r="996" spans="9:21" s="1" customFormat="1" x14ac:dyDescent="0.25">
      <c r="I996" s="101"/>
      <c r="J996" s="102"/>
      <c r="K996" s="101"/>
      <c r="L996" s="101"/>
      <c r="M996" s="44"/>
      <c r="T996" s="47"/>
      <c r="U996" s="43"/>
    </row>
    <row r="997" spans="9:21" s="1" customFormat="1" x14ac:dyDescent="0.25">
      <c r="I997" s="44"/>
      <c r="J997" s="57"/>
      <c r="K997" s="44"/>
      <c r="L997" s="44"/>
      <c r="M997" s="44"/>
      <c r="T997" s="47"/>
      <c r="U997" s="43"/>
    </row>
    <row r="998" spans="9:21" s="1" customFormat="1" x14ac:dyDescent="0.25">
      <c r="I998" s="101"/>
      <c r="J998" s="102"/>
      <c r="K998" s="101"/>
      <c r="L998" s="101"/>
      <c r="M998" s="44"/>
      <c r="T998" s="47"/>
      <c r="U998" s="43"/>
    </row>
    <row r="999" spans="9:21" s="1" customFormat="1" x14ac:dyDescent="0.25">
      <c r="I999" s="44"/>
      <c r="J999" s="57"/>
      <c r="K999" s="44"/>
      <c r="L999" s="44"/>
      <c r="M999" s="44"/>
      <c r="T999" s="47"/>
      <c r="U999" s="43"/>
    </row>
    <row r="1000" spans="9:21" s="1" customFormat="1" x14ac:dyDescent="0.25">
      <c r="I1000" s="101"/>
      <c r="J1000" s="102"/>
      <c r="K1000" s="101"/>
      <c r="L1000" s="101"/>
      <c r="M1000" s="44"/>
      <c r="T1000" s="47"/>
      <c r="U1000" s="43"/>
    </row>
    <row r="1001" spans="9:21" s="1" customFormat="1" x14ac:dyDescent="0.25">
      <c r="I1001" s="44"/>
      <c r="J1001" s="57"/>
      <c r="K1001" s="44"/>
      <c r="L1001" s="44"/>
      <c r="M1001" s="44"/>
      <c r="T1001" s="47"/>
      <c r="U1001" s="43"/>
    </row>
    <row r="1002" spans="9:21" s="1" customFormat="1" x14ac:dyDescent="0.25">
      <c r="I1002" s="101"/>
      <c r="J1002" s="102"/>
      <c r="K1002" s="101"/>
      <c r="L1002" s="101"/>
      <c r="M1002" s="44"/>
      <c r="T1002" s="47"/>
      <c r="U1002" s="43"/>
    </row>
    <row r="1003" spans="9:21" s="1" customFormat="1" x14ac:dyDescent="0.25">
      <c r="I1003" s="44"/>
      <c r="J1003" s="57"/>
      <c r="K1003" s="44"/>
      <c r="L1003" s="44"/>
      <c r="M1003" s="44"/>
      <c r="T1003" s="47"/>
      <c r="U1003" s="43"/>
    </row>
    <row r="1004" spans="9:21" s="1" customFormat="1" x14ac:dyDescent="0.25">
      <c r="I1004" s="101"/>
      <c r="J1004" s="102"/>
      <c r="K1004" s="101"/>
      <c r="L1004" s="101"/>
      <c r="M1004" s="44"/>
      <c r="T1004" s="47"/>
      <c r="U1004" s="43"/>
    </row>
    <row r="1005" spans="9:21" s="1" customFormat="1" x14ac:dyDescent="0.25">
      <c r="I1005" s="44"/>
      <c r="J1005" s="57"/>
      <c r="K1005" s="44"/>
      <c r="L1005" s="44"/>
      <c r="M1005" s="44"/>
      <c r="T1005" s="47"/>
      <c r="U1005" s="43"/>
    </row>
    <row r="1006" spans="9:21" s="1" customFormat="1" x14ac:dyDescent="0.25">
      <c r="I1006" s="101"/>
      <c r="J1006" s="102"/>
      <c r="K1006" s="101"/>
      <c r="L1006" s="101"/>
      <c r="M1006" s="44"/>
      <c r="T1006" s="47"/>
      <c r="U1006" s="43"/>
    </row>
    <row r="1007" spans="9:21" s="1" customFormat="1" x14ac:dyDescent="0.25">
      <c r="I1007" s="44"/>
      <c r="J1007" s="57"/>
      <c r="K1007" s="44"/>
      <c r="L1007" s="44"/>
      <c r="M1007" s="44"/>
      <c r="T1007" s="47"/>
      <c r="U1007" s="43"/>
    </row>
    <row r="1008" spans="9:21" s="1" customFormat="1" x14ac:dyDescent="0.25">
      <c r="I1008" s="101"/>
      <c r="J1008" s="102"/>
      <c r="K1008" s="101"/>
      <c r="L1008" s="101"/>
      <c r="M1008" s="44"/>
      <c r="T1008" s="47"/>
      <c r="U1008" s="43"/>
    </row>
    <row r="1009" spans="9:21" s="1" customFormat="1" x14ac:dyDescent="0.25">
      <c r="I1009" s="44"/>
      <c r="J1009" s="57"/>
      <c r="K1009" s="44"/>
      <c r="L1009" s="44"/>
      <c r="M1009" s="44"/>
      <c r="T1009" s="47"/>
      <c r="U1009" s="43"/>
    </row>
    <row r="1010" spans="9:21" s="1" customFormat="1" x14ac:dyDescent="0.25">
      <c r="I1010" s="101"/>
      <c r="J1010" s="102"/>
      <c r="K1010" s="101"/>
      <c r="L1010" s="101"/>
      <c r="M1010" s="44"/>
      <c r="T1010" s="47"/>
      <c r="U1010" s="43"/>
    </row>
    <row r="1011" spans="9:21" s="1" customFormat="1" x14ac:dyDescent="0.25">
      <c r="I1011" s="44"/>
      <c r="J1011" s="57"/>
      <c r="K1011" s="44"/>
      <c r="L1011" s="44"/>
      <c r="M1011" s="44"/>
      <c r="T1011" s="47"/>
      <c r="U1011" s="43"/>
    </row>
    <row r="1012" spans="9:21" s="1" customFormat="1" x14ac:dyDescent="0.25">
      <c r="I1012" s="101"/>
      <c r="J1012" s="102"/>
      <c r="K1012" s="101"/>
      <c r="L1012" s="101"/>
      <c r="M1012" s="44"/>
      <c r="T1012" s="47"/>
      <c r="U1012" s="43"/>
    </row>
    <row r="1013" spans="9:21" s="1" customFormat="1" x14ac:dyDescent="0.25">
      <c r="I1013" s="44"/>
      <c r="J1013" s="57"/>
      <c r="K1013" s="44"/>
      <c r="L1013" s="44"/>
      <c r="M1013" s="44"/>
      <c r="T1013" s="47"/>
      <c r="U1013" s="43"/>
    </row>
    <row r="1014" spans="9:21" s="1" customFormat="1" x14ac:dyDescent="0.25">
      <c r="I1014" s="101"/>
      <c r="J1014" s="102"/>
      <c r="K1014" s="101"/>
      <c r="L1014" s="101"/>
      <c r="M1014" s="44"/>
      <c r="T1014" s="47"/>
      <c r="U1014" s="43"/>
    </row>
    <row r="1015" spans="9:21" s="1" customFormat="1" x14ac:dyDescent="0.25">
      <c r="I1015" s="44"/>
      <c r="J1015" s="57"/>
      <c r="K1015" s="44"/>
      <c r="L1015" s="44"/>
      <c r="M1015" s="44"/>
      <c r="T1015" s="47"/>
      <c r="U1015" s="43"/>
    </row>
    <row r="1016" spans="9:21" s="1" customFormat="1" x14ac:dyDescent="0.25">
      <c r="I1016" s="101"/>
      <c r="J1016" s="102"/>
      <c r="K1016" s="101"/>
      <c r="L1016" s="101"/>
      <c r="M1016" s="44"/>
      <c r="T1016" s="47"/>
      <c r="U1016" s="43"/>
    </row>
    <row r="1017" spans="9:21" s="1" customFormat="1" x14ac:dyDescent="0.25">
      <c r="I1017" s="44"/>
      <c r="J1017" s="57"/>
      <c r="K1017" s="44"/>
      <c r="L1017" s="44"/>
      <c r="M1017" s="44"/>
      <c r="T1017" s="47"/>
      <c r="U1017" s="43"/>
    </row>
    <row r="1018" spans="9:21" s="1" customFormat="1" x14ac:dyDescent="0.25">
      <c r="I1018" s="101"/>
      <c r="J1018" s="102"/>
      <c r="K1018" s="101"/>
      <c r="L1018" s="101"/>
      <c r="M1018" s="44"/>
      <c r="T1018" s="47"/>
      <c r="U1018" s="43"/>
    </row>
    <row r="1019" spans="9:21" s="1" customFormat="1" x14ac:dyDescent="0.25">
      <c r="I1019" s="44"/>
      <c r="J1019" s="57"/>
      <c r="K1019" s="44"/>
      <c r="L1019" s="44"/>
      <c r="M1019" s="44"/>
      <c r="T1019" s="47"/>
      <c r="U1019" s="43"/>
    </row>
    <row r="1020" spans="9:21" s="1" customFormat="1" x14ac:dyDescent="0.25">
      <c r="I1020" s="101"/>
      <c r="J1020" s="102"/>
      <c r="K1020" s="101"/>
      <c r="L1020" s="101"/>
      <c r="M1020" s="44"/>
      <c r="T1020" s="47"/>
      <c r="U1020" s="43"/>
    </row>
    <row r="1021" spans="9:21" s="1" customFormat="1" x14ac:dyDescent="0.25">
      <c r="I1021" s="44"/>
      <c r="J1021" s="57"/>
      <c r="K1021" s="44"/>
      <c r="L1021" s="44"/>
      <c r="M1021" s="44"/>
      <c r="T1021" s="47"/>
      <c r="U1021" s="43"/>
    </row>
    <row r="1022" spans="9:21" s="1" customFormat="1" x14ac:dyDescent="0.25">
      <c r="I1022" s="101"/>
      <c r="J1022" s="102"/>
      <c r="K1022" s="101"/>
      <c r="L1022" s="101"/>
      <c r="M1022" s="44"/>
      <c r="T1022" s="47"/>
      <c r="U1022" s="43"/>
    </row>
    <row r="1023" spans="9:21" s="1" customFormat="1" x14ac:dyDescent="0.25">
      <c r="I1023" s="44"/>
      <c r="J1023" s="57"/>
      <c r="K1023" s="44"/>
      <c r="L1023" s="44"/>
      <c r="M1023" s="44"/>
      <c r="T1023" s="47"/>
      <c r="U1023" s="43"/>
    </row>
    <row r="1024" spans="9:21" s="1" customFormat="1" x14ac:dyDescent="0.25">
      <c r="I1024" s="101"/>
      <c r="J1024" s="102"/>
      <c r="K1024" s="101"/>
      <c r="L1024" s="101"/>
      <c r="M1024" s="44"/>
      <c r="T1024" s="47"/>
      <c r="U1024" s="43"/>
    </row>
    <row r="1025" spans="9:21" s="1" customFormat="1" x14ac:dyDescent="0.25">
      <c r="I1025" s="44"/>
      <c r="J1025" s="57"/>
      <c r="K1025" s="44"/>
      <c r="L1025" s="44"/>
      <c r="M1025" s="44"/>
      <c r="T1025" s="47"/>
      <c r="U1025" s="43"/>
    </row>
    <row r="1026" spans="9:21" s="1" customFormat="1" x14ac:dyDescent="0.25">
      <c r="I1026" s="101"/>
      <c r="J1026" s="102"/>
      <c r="K1026" s="101"/>
      <c r="L1026" s="101"/>
      <c r="M1026" s="44"/>
      <c r="T1026" s="47"/>
      <c r="U1026" s="43"/>
    </row>
    <row r="1027" spans="9:21" s="1" customFormat="1" x14ac:dyDescent="0.25">
      <c r="I1027" s="44"/>
      <c r="J1027" s="57"/>
      <c r="K1027" s="44"/>
      <c r="L1027" s="44"/>
      <c r="M1027" s="44"/>
      <c r="T1027" s="47"/>
      <c r="U1027" s="43"/>
    </row>
    <row r="1028" spans="9:21" s="1" customFormat="1" x14ac:dyDescent="0.25">
      <c r="I1028" s="101"/>
      <c r="J1028" s="102"/>
      <c r="K1028" s="101"/>
      <c r="L1028" s="101"/>
      <c r="M1028" s="44"/>
      <c r="T1028" s="47"/>
      <c r="U1028" s="43"/>
    </row>
    <row r="1029" spans="9:21" s="1" customFormat="1" x14ac:dyDescent="0.25">
      <c r="I1029" s="44"/>
      <c r="J1029" s="57"/>
      <c r="K1029" s="44"/>
      <c r="L1029" s="44"/>
      <c r="M1029" s="44"/>
      <c r="T1029" s="47"/>
      <c r="U1029" s="43"/>
    </row>
    <row r="1030" spans="9:21" s="1" customFormat="1" x14ac:dyDescent="0.25">
      <c r="I1030" s="101"/>
      <c r="J1030" s="102"/>
      <c r="K1030" s="101"/>
      <c r="L1030" s="101"/>
      <c r="M1030" s="44"/>
      <c r="T1030" s="47"/>
      <c r="U1030" s="43"/>
    </row>
    <row r="1031" spans="9:21" s="1" customFormat="1" x14ac:dyDescent="0.25">
      <c r="I1031" s="44"/>
      <c r="J1031" s="57"/>
      <c r="K1031" s="44"/>
      <c r="L1031" s="44"/>
      <c r="M1031" s="44"/>
      <c r="T1031" s="47"/>
      <c r="U1031" s="43"/>
    </row>
    <row r="1032" spans="9:21" s="1" customFormat="1" x14ac:dyDescent="0.25">
      <c r="I1032" s="101"/>
      <c r="J1032" s="102"/>
      <c r="K1032" s="101"/>
      <c r="L1032" s="101"/>
      <c r="M1032" s="44"/>
      <c r="T1032" s="47"/>
      <c r="U1032" s="43"/>
    </row>
    <row r="1033" spans="9:21" s="1" customFormat="1" x14ac:dyDescent="0.25">
      <c r="I1033" s="44"/>
      <c r="J1033" s="57"/>
      <c r="K1033" s="44"/>
      <c r="L1033" s="44"/>
      <c r="M1033" s="44"/>
      <c r="T1033" s="47"/>
      <c r="U1033" s="43"/>
    </row>
    <row r="1034" spans="9:21" s="1" customFormat="1" x14ac:dyDescent="0.25">
      <c r="I1034" s="101"/>
      <c r="J1034" s="102"/>
      <c r="K1034" s="101"/>
      <c r="L1034" s="101"/>
      <c r="M1034" s="44"/>
      <c r="T1034" s="47"/>
      <c r="U1034" s="43"/>
    </row>
    <row r="1035" spans="9:21" s="1" customFormat="1" x14ac:dyDescent="0.25">
      <c r="I1035" s="44"/>
      <c r="J1035" s="57"/>
      <c r="K1035" s="44"/>
      <c r="L1035" s="44"/>
      <c r="M1035" s="44"/>
      <c r="T1035" s="47"/>
      <c r="U1035" s="43"/>
    </row>
    <row r="1036" spans="9:21" s="1" customFormat="1" x14ac:dyDescent="0.25">
      <c r="I1036" s="101"/>
      <c r="J1036" s="102"/>
      <c r="K1036" s="101"/>
      <c r="L1036" s="101"/>
      <c r="M1036" s="44"/>
      <c r="T1036" s="47"/>
      <c r="U1036" s="43"/>
    </row>
    <row r="1037" spans="9:21" s="1" customFormat="1" x14ac:dyDescent="0.25">
      <c r="I1037" s="44"/>
      <c r="J1037" s="57"/>
      <c r="K1037" s="44"/>
      <c r="L1037" s="44"/>
      <c r="M1037" s="44"/>
      <c r="T1037" s="47"/>
      <c r="U1037" s="43"/>
    </row>
    <row r="1038" spans="9:21" s="1" customFormat="1" x14ac:dyDescent="0.25">
      <c r="I1038" s="101"/>
      <c r="J1038" s="102"/>
      <c r="K1038" s="101"/>
      <c r="L1038" s="101"/>
      <c r="M1038" s="44"/>
      <c r="T1038" s="47"/>
      <c r="U1038" s="43"/>
    </row>
    <row r="1039" spans="9:21" s="1" customFormat="1" x14ac:dyDescent="0.25">
      <c r="I1039" s="44"/>
      <c r="J1039" s="57"/>
      <c r="K1039" s="44"/>
      <c r="L1039" s="44"/>
      <c r="M1039" s="44"/>
      <c r="T1039" s="47"/>
      <c r="U1039" s="43"/>
    </row>
    <row r="1040" spans="9:21" s="1" customFormat="1" x14ac:dyDescent="0.25">
      <c r="I1040" s="101"/>
      <c r="J1040" s="102"/>
      <c r="K1040" s="101"/>
      <c r="L1040" s="101"/>
      <c r="M1040" s="44"/>
      <c r="T1040" s="47"/>
      <c r="U1040" s="43"/>
    </row>
    <row r="1041" spans="9:21" s="1" customFormat="1" x14ac:dyDescent="0.25">
      <c r="I1041" s="44"/>
      <c r="J1041" s="57"/>
      <c r="K1041" s="44"/>
      <c r="L1041" s="44"/>
      <c r="M1041" s="44"/>
      <c r="T1041" s="47"/>
      <c r="U1041" s="43"/>
    </row>
    <row r="1042" spans="9:21" s="1" customFormat="1" x14ac:dyDescent="0.25">
      <c r="I1042" s="101"/>
      <c r="J1042" s="102"/>
      <c r="K1042" s="101"/>
      <c r="L1042" s="101"/>
      <c r="M1042" s="44"/>
      <c r="T1042" s="47"/>
      <c r="U1042" s="43"/>
    </row>
    <row r="1043" spans="9:21" s="1" customFormat="1" x14ac:dyDescent="0.25">
      <c r="I1043" s="44"/>
      <c r="J1043" s="57"/>
      <c r="K1043" s="44"/>
      <c r="L1043" s="44"/>
      <c r="M1043" s="44"/>
      <c r="T1043" s="47"/>
      <c r="U1043" s="43"/>
    </row>
    <row r="1044" spans="9:21" s="1" customFormat="1" x14ac:dyDescent="0.25">
      <c r="I1044" s="101"/>
      <c r="J1044" s="102"/>
      <c r="K1044" s="101"/>
      <c r="L1044" s="101"/>
      <c r="M1044" s="44"/>
      <c r="T1044" s="47"/>
      <c r="U1044" s="43"/>
    </row>
    <row r="1045" spans="9:21" s="1" customFormat="1" x14ac:dyDescent="0.25">
      <c r="I1045" s="44"/>
      <c r="J1045" s="57"/>
      <c r="K1045" s="44"/>
      <c r="L1045" s="44"/>
      <c r="M1045" s="44"/>
      <c r="T1045" s="47"/>
      <c r="U1045" s="43"/>
    </row>
    <row r="1046" spans="9:21" s="1" customFormat="1" x14ac:dyDescent="0.25">
      <c r="I1046" s="101"/>
      <c r="J1046" s="102"/>
      <c r="K1046" s="101"/>
      <c r="L1046" s="101"/>
      <c r="M1046" s="44"/>
      <c r="T1046" s="47"/>
      <c r="U1046" s="43"/>
    </row>
    <row r="1047" spans="9:21" s="1" customFormat="1" x14ac:dyDescent="0.25">
      <c r="I1047" s="44"/>
      <c r="J1047" s="57"/>
      <c r="K1047" s="44"/>
      <c r="L1047" s="44"/>
      <c r="M1047" s="44"/>
      <c r="T1047" s="47"/>
      <c r="U1047" s="43"/>
    </row>
    <row r="1048" spans="9:21" s="1" customFormat="1" x14ac:dyDescent="0.25">
      <c r="I1048" s="101"/>
      <c r="J1048" s="102"/>
      <c r="K1048" s="101"/>
      <c r="L1048" s="101"/>
      <c r="M1048" s="44"/>
      <c r="T1048" s="47"/>
      <c r="U1048" s="43"/>
    </row>
    <row r="1049" spans="9:21" s="1" customFormat="1" x14ac:dyDescent="0.25">
      <c r="I1049" s="44"/>
      <c r="J1049" s="57"/>
      <c r="K1049" s="44"/>
      <c r="L1049" s="44"/>
      <c r="M1049" s="44"/>
      <c r="T1049" s="47"/>
      <c r="U1049" s="43"/>
    </row>
    <row r="1050" spans="9:21" s="1" customFormat="1" x14ac:dyDescent="0.25">
      <c r="I1050" s="101"/>
      <c r="J1050" s="102"/>
      <c r="K1050" s="101"/>
      <c r="L1050" s="101"/>
      <c r="M1050" s="44"/>
      <c r="T1050" s="47"/>
      <c r="U1050" s="43"/>
    </row>
    <row r="1051" spans="9:21" s="1" customFormat="1" x14ac:dyDescent="0.25">
      <c r="I1051" s="44"/>
      <c r="J1051" s="57"/>
      <c r="K1051" s="44"/>
      <c r="L1051" s="44"/>
      <c r="M1051" s="44"/>
      <c r="T1051" s="47"/>
      <c r="U1051" s="43"/>
    </row>
    <row r="1052" spans="9:21" s="1" customFormat="1" x14ac:dyDescent="0.25">
      <c r="I1052" s="101"/>
      <c r="J1052" s="102"/>
      <c r="K1052" s="101"/>
      <c r="L1052" s="101"/>
      <c r="M1052" s="44"/>
      <c r="T1052" s="47"/>
      <c r="U1052" s="43"/>
    </row>
    <row r="1053" spans="9:21" s="1" customFormat="1" x14ac:dyDescent="0.25">
      <c r="I1053" s="44"/>
      <c r="J1053" s="57"/>
      <c r="K1053" s="44"/>
      <c r="L1053" s="44"/>
      <c r="M1053" s="44"/>
      <c r="T1053" s="47"/>
      <c r="U1053" s="43"/>
    </row>
    <row r="1054" spans="9:21" s="1" customFormat="1" x14ac:dyDescent="0.25">
      <c r="I1054" s="101"/>
      <c r="J1054" s="102"/>
      <c r="K1054" s="101"/>
      <c r="L1054" s="101"/>
      <c r="M1054" s="44"/>
      <c r="T1054" s="47"/>
      <c r="U1054" s="43"/>
    </row>
    <row r="1055" spans="9:21" s="1" customFormat="1" x14ac:dyDescent="0.25">
      <c r="I1055" s="44"/>
      <c r="J1055" s="57"/>
      <c r="K1055" s="44"/>
      <c r="L1055" s="44"/>
      <c r="M1055" s="44"/>
      <c r="T1055" s="47"/>
      <c r="U1055" s="43"/>
    </row>
    <row r="1056" spans="9:21" s="1" customFormat="1" x14ac:dyDescent="0.25">
      <c r="I1056" s="101"/>
      <c r="J1056" s="102"/>
      <c r="K1056" s="101"/>
      <c r="L1056" s="101"/>
      <c r="M1056" s="44"/>
      <c r="T1056" s="47"/>
      <c r="U1056" s="43"/>
    </row>
    <row r="1057" spans="9:21" s="1" customFormat="1" x14ac:dyDescent="0.25">
      <c r="I1057" s="44"/>
      <c r="J1057" s="57"/>
      <c r="K1057" s="44"/>
      <c r="L1057" s="44"/>
      <c r="M1057" s="44"/>
      <c r="T1057" s="47"/>
      <c r="U1057" s="43"/>
    </row>
    <row r="1058" spans="9:21" s="1" customFormat="1" x14ac:dyDescent="0.25">
      <c r="I1058" s="101"/>
      <c r="J1058" s="102"/>
      <c r="K1058" s="101"/>
      <c r="L1058" s="101"/>
      <c r="M1058" s="44"/>
      <c r="T1058" s="47"/>
      <c r="U1058" s="43"/>
    </row>
    <row r="1059" spans="9:21" s="1" customFormat="1" x14ac:dyDescent="0.25">
      <c r="I1059" s="44"/>
      <c r="J1059" s="57"/>
      <c r="K1059" s="44"/>
      <c r="L1059" s="44"/>
      <c r="M1059" s="44"/>
      <c r="T1059" s="47"/>
      <c r="U1059" s="43"/>
    </row>
    <row r="1060" spans="9:21" s="1" customFormat="1" x14ac:dyDescent="0.25">
      <c r="I1060" s="101"/>
      <c r="J1060" s="102"/>
      <c r="K1060" s="101"/>
      <c r="L1060" s="101"/>
      <c r="M1060" s="44"/>
      <c r="T1060" s="47"/>
      <c r="U1060" s="43"/>
    </row>
    <row r="1061" spans="9:21" s="1" customFormat="1" x14ac:dyDescent="0.25">
      <c r="I1061" s="44"/>
      <c r="J1061" s="57"/>
      <c r="K1061" s="44"/>
      <c r="L1061" s="44"/>
      <c r="M1061" s="44"/>
      <c r="T1061" s="47"/>
      <c r="U1061" s="43"/>
    </row>
    <row r="1062" spans="9:21" s="1" customFormat="1" x14ac:dyDescent="0.25">
      <c r="I1062" s="101"/>
      <c r="J1062" s="102"/>
      <c r="K1062" s="101"/>
      <c r="L1062" s="101"/>
      <c r="M1062" s="44"/>
      <c r="T1062" s="47"/>
      <c r="U1062" s="43"/>
    </row>
    <row r="1063" spans="9:21" s="1" customFormat="1" x14ac:dyDescent="0.25">
      <c r="I1063" s="44"/>
      <c r="J1063" s="57"/>
      <c r="K1063" s="44"/>
      <c r="L1063" s="44"/>
      <c r="M1063" s="44"/>
      <c r="T1063" s="47"/>
      <c r="U1063" s="43"/>
    </row>
    <row r="1064" spans="9:21" s="1" customFormat="1" x14ac:dyDescent="0.25">
      <c r="I1064" s="101"/>
      <c r="J1064" s="102"/>
      <c r="K1064" s="101"/>
      <c r="L1064" s="101"/>
      <c r="M1064" s="44"/>
      <c r="T1064" s="47"/>
      <c r="U1064" s="43"/>
    </row>
    <row r="1065" spans="9:21" s="1" customFormat="1" x14ac:dyDescent="0.25">
      <c r="I1065" s="44"/>
      <c r="J1065" s="57"/>
      <c r="K1065" s="44"/>
      <c r="L1065" s="44"/>
      <c r="M1065" s="44"/>
      <c r="T1065" s="47"/>
      <c r="U1065" s="43"/>
    </row>
    <row r="1066" spans="9:21" s="1" customFormat="1" x14ac:dyDescent="0.25">
      <c r="I1066" s="101"/>
      <c r="J1066" s="102"/>
      <c r="K1066" s="101"/>
      <c r="L1066" s="101"/>
      <c r="M1066" s="44"/>
      <c r="T1066" s="47"/>
      <c r="U1066" s="43"/>
    </row>
    <row r="1067" spans="9:21" s="1" customFormat="1" x14ac:dyDescent="0.25">
      <c r="I1067" s="44"/>
      <c r="J1067" s="57"/>
      <c r="K1067" s="44"/>
      <c r="L1067" s="44"/>
      <c r="M1067" s="44"/>
      <c r="T1067" s="47"/>
      <c r="U1067" s="43"/>
    </row>
    <row r="1068" spans="9:21" s="1" customFormat="1" x14ac:dyDescent="0.25">
      <c r="I1068" s="101"/>
      <c r="J1068" s="102"/>
      <c r="K1068" s="101"/>
      <c r="L1068" s="101"/>
      <c r="M1068" s="44"/>
      <c r="T1068" s="47"/>
      <c r="U1068" s="43"/>
    </row>
    <row r="1069" spans="9:21" s="1" customFormat="1" x14ac:dyDescent="0.25">
      <c r="I1069" s="44"/>
      <c r="J1069" s="57"/>
      <c r="K1069" s="44"/>
      <c r="L1069" s="44"/>
      <c r="M1069" s="44"/>
      <c r="T1069" s="47"/>
      <c r="U1069" s="43"/>
    </row>
    <row r="1070" spans="9:21" s="1" customFormat="1" x14ac:dyDescent="0.25">
      <c r="I1070" s="101"/>
      <c r="J1070" s="102"/>
      <c r="K1070" s="101"/>
      <c r="L1070" s="101"/>
      <c r="M1070" s="44"/>
      <c r="T1070" s="47"/>
      <c r="U1070" s="43"/>
    </row>
    <row r="1071" spans="9:21" s="1" customFormat="1" x14ac:dyDescent="0.25">
      <c r="I1071" s="44"/>
      <c r="J1071" s="57"/>
      <c r="K1071" s="44"/>
      <c r="L1071" s="44"/>
      <c r="M1071" s="44"/>
      <c r="T1071" s="47"/>
      <c r="U1071" s="43"/>
    </row>
    <row r="1072" spans="9:21" s="1" customFormat="1" x14ac:dyDescent="0.25">
      <c r="I1072" s="101"/>
      <c r="J1072" s="102"/>
      <c r="K1072" s="101"/>
      <c r="L1072" s="101"/>
      <c r="M1072" s="44"/>
      <c r="T1072" s="47"/>
      <c r="U1072" s="43"/>
    </row>
    <row r="1073" spans="9:21" s="1" customFormat="1" x14ac:dyDescent="0.25">
      <c r="I1073" s="44"/>
      <c r="J1073" s="57"/>
      <c r="K1073" s="44"/>
      <c r="L1073" s="44"/>
      <c r="M1073" s="44"/>
      <c r="T1073" s="47"/>
      <c r="U1073" s="43"/>
    </row>
    <row r="1074" spans="9:21" s="1" customFormat="1" x14ac:dyDescent="0.25">
      <c r="I1074" s="101"/>
      <c r="J1074" s="102"/>
      <c r="K1074" s="101"/>
      <c r="L1074" s="101"/>
      <c r="M1074" s="44"/>
      <c r="T1074" s="47"/>
      <c r="U1074" s="43"/>
    </row>
    <row r="1075" spans="9:21" s="1" customFormat="1" x14ac:dyDescent="0.25">
      <c r="I1075" s="44"/>
      <c r="J1075" s="57"/>
      <c r="K1075" s="44"/>
      <c r="L1075" s="44"/>
      <c r="M1075" s="44"/>
      <c r="T1075" s="47"/>
      <c r="U1075" s="43"/>
    </row>
    <row r="1076" spans="9:21" s="1" customFormat="1" x14ac:dyDescent="0.25">
      <c r="I1076" s="101"/>
      <c r="J1076" s="102"/>
      <c r="K1076" s="101"/>
      <c r="L1076" s="101"/>
      <c r="M1076" s="44"/>
      <c r="T1076" s="47"/>
      <c r="U1076" s="43"/>
    </row>
    <row r="1077" spans="9:21" s="1" customFormat="1" x14ac:dyDescent="0.25">
      <c r="I1077" s="44"/>
      <c r="J1077" s="57"/>
      <c r="K1077" s="44"/>
      <c r="L1077" s="44"/>
      <c r="M1077" s="44"/>
      <c r="T1077" s="47"/>
      <c r="U1077" s="43"/>
    </row>
    <row r="1078" spans="9:21" s="1" customFormat="1" x14ac:dyDescent="0.25">
      <c r="I1078" s="101"/>
      <c r="J1078" s="102"/>
      <c r="K1078" s="101"/>
      <c r="L1078" s="101"/>
      <c r="M1078" s="44"/>
      <c r="T1078" s="47"/>
      <c r="U1078" s="43"/>
    </row>
    <row r="1079" spans="9:21" s="1" customFormat="1" x14ac:dyDescent="0.25">
      <c r="I1079" s="44"/>
      <c r="J1079" s="57"/>
      <c r="K1079" s="44"/>
      <c r="L1079" s="44"/>
      <c r="M1079" s="44"/>
      <c r="T1079" s="47"/>
      <c r="U1079" s="43"/>
    </row>
    <row r="1080" spans="9:21" s="1" customFormat="1" x14ac:dyDescent="0.25">
      <c r="I1080" s="101"/>
      <c r="J1080" s="102"/>
      <c r="K1080" s="101"/>
      <c r="L1080" s="101"/>
      <c r="M1080" s="44"/>
      <c r="T1080" s="47"/>
      <c r="U1080" s="43"/>
    </row>
    <row r="1081" spans="9:21" s="1" customFormat="1" x14ac:dyDescent="0.25">
      <c r="I1081" s="44"/>
      <c r="J1081" s="57"/>
      <c r="K1081" s="44"/>
      <c r="L1081" s="44"/>
      <c r="M1081" s="44"/>
      <c r="T1081" s="47"/>
      <c r="U1081" s="43"/>
    </row>
    <row r="1082" spans="9:21" s="1" customFormat="1" x14ac:dyDescent="0.25">
      <c r="I1082" s="101"/>
      <c r="J1082" s="102"/>
      <c r="K1082" s="101"/>
      <c r="L1082" s="101"/>
      <c r="M1082" s="44"/>
      <c r="T1082" s="47"/>
      <c r="U1082" s="43"/>
    </row>
    <row r="1083" spans="9:21" s="1" customFormat="1" x14ac:dyDescent="0.25">
      <c r="I1083" s="44"/>
      <c r="J1083" s="57"/>
      <c r="K1083" s="44"/>
      <c r="L1083" s="44"/>
      <c r="M1083" s="44"/>
      <c r="T1083" s="47"/>
      <c r="U1083" s="43"/>
    </row>
    <row r="1084" spans="9:21" s="1" customFormat="1" x14ac:dyDescent="0.25">
      <c r="I1084" s="101"/>
      <c r="J1084" s="102"/>
      <c r="K1084" s="101"/>
      <c r="L1084" s="101"/>
      <c r="M1084" s="44"/>
      <c r="T1084" s="47"/>
      <c r="U1084" s="43"/>
    </row>
    <row r="1085" spans="9:21" s="1" customFormat="1" x14ac:dyDescent="0.25">
      <c r="I1085" s="44"/>
      <c r="J1085" s="57"/>
      <c r="K1085" s="44"/>
      <c r="L1085" s="44"/>
      <c r="M1085" s="44"/>
      <c r="T1085" s="47"/>
      <c r="U1085" s="43"/>
    </row>
    <row r="1086" spans="9:21" s="1" customFormat="1" x14ac:dyDescent="0.25">
      <c r="I1086" s="101"/>
      <c r="J1086" s="102"/>
      <c r="K1086" s="101"/>
      <c r="L1086" s="101"/>
      <c r="M1086" s="44"/>
      <c r="T1086" s="47"/>
      <c r="U1086" s="43"/>
    </row>
    <row r="1087" spans="9:21" s="1" customFormat="1" x14ac:dyDescent="0.25">
      <c r="I1087" s="44"/>
      <c r="J1087" s="57"/>
      <c r="K1087" s="44"/>
      <c r="L1087" s="44"/>
      <c r="M1087" s="44"/>
      <c r="T1087" s="47"/>
      <c r="U1087" s="43"/>
    </row>
    <row r="1088" spans="9:21" s="1" customFormat="1" x14ac:dyDescent="0.25">
      <c r="I1088" s="101"/>
      <c r="J1088" s="102"/>
      <c r="K1088" s="101"/>
      <c r="L1088" s="101"/>
      <c r="M1088" s="44"/>
      <c r="T1088" s="47"/>
      <c r="U1088" s="43"/>
    </row>
    <row r="1089" spans="9:21" s="1" customFormat="1" x14ac:dyDescent="0.25">
      <c r="I1089" s="44"/>
      <c r="J1089" s="57"/>
      <c r="K1089" s="44"/>
      <c r="L1089" s="44"/>
      <c r="M1089" s="44"/>
      <c r="T1089" s="47"/>
      <c r="U1089" s="43"/>
    </row>
    <row r="1090" spans="9:21" s="1" customFormat="1" x14ac:dyDescent="0.25">
      <c r="I1090" s="101"/>
      <c r="J1090" s="102"/>
      <c r="K1090" s="101"/>
      <c r="L1090" s="101"/>
      <c r="M1090" s="44"/>
      <c r="T1090" s="47"/>
      <c r="U1090" s="43"/>
    </row>
    <row r="1091" spans="9:21" s="1" customFormat="1" x14ac:dyDescent="0.25">
      <c r="I1091" s="44"/>
      <c r="J1091" s="57"/>
      <c r="K1091" s="44"/>
      <c r="L1091" s="44"/>
      <c r="M1091" s="44"/>
      <c r="T1091" s="47"/>
      <c r="U1091" s="43"/>
    </row>
    <row r="1092" spans="9:21" s="1" customFormat="1" x14ac:dyDescent="0.25">
      <c r="I1092" s="101"/>
      <c r="J1092" s="102"/>
      <c r="K1092" s="101"/>
      <c r="L1092" s="101"/>
      <c r="M1092" s="44"/>
      <c r="T1092" s="47"/>
      <c r="U1092" s="43"/>
    </row>
    <row r="1093" spans="9:21" s="1" customFormat="1" x14ac:dyDescent="0.25">
      <c r="I1093" s="44"/>
      <c r="J1093" s="57"/>
      <c r="K1093" s="44"/>
      <c r="L1093" s="44"/>
      <c r="M1093" s="44"/>
      <c r="T1093" s="47"/>
      <c r="U1093" s="43"/>
    </row>
    <row r="1094" spans="9:21" s="1" customFormat="1" x14ac:dyDescent="0.25">
      <c r="I1094" s="101"/>
      <c r="J1094" s="102"/>
      <c r="K1094" s="101"/>
      <c r="L1094" s="101"/>
      <c r="M1094" s="44"/>
      <c r="T1094" s="47"/>
      <c r="U1094" s="43"/>
    </row>
    <row r="1095" spans="9:21" s="1" customFormat="1" x14ac:dyDescent="0.25">
      <c r="I1095" s="44"/>
      <c r="J1095" s="57"/>
      <c r="K1095" s="44"/>
      <c r="L1095" s="44"/>
      <c r="M1095" s="44"/>
      <c r="T1095" s="47"/>
      <c r="U1095" s="43"/>
    </row>
    <row r="1096" spans="9:21" s="1" customFormat="1" x14ac:dyDescent="0.25">
      <c r="I1096" s="101"/>
      <c r="J1096" s="102"/>
      <c r="K1096" s="101"/>
      <c r="L1096" s="101"/>
      <c r="M1096" s="44"/>
      <c r="T1096" s="47"/>
      <c r="U1096" s="43"/>
    </row>
    <row r="1097" spans="9:21" s="1" customFormat="1" x14ac:dyDescent="0.25">
      <c r="I1097" s="44"/>
      <c r="J1097" s="57"/>
      <c r="K1097" s="44"/>
      <c r="L1097" s="44"/>
      <c r="M1097" s="44"/>
      <c r="T1097" s="47"/>
      <c r="U1097" s="43"/>
    </row>
    <row r="1098" spans="9:21" s="1" customFormat="1" x14ac:dyDescent="0.25">
      <c r="I1098" s="101"/>
      <c r="J1098" s="102"/>
      <c r="K1098" s="101"/>
      <c r="L1098" s="101"/>
      <c r="M1098" s="44"/>
      <c r="T1098" s="47"/>
      <c r="U1098" s="43"/>
    </row>
    <row r="1099" spans="9:21" s="1" customFormat="1" x14ac:dyDescent="0.25">
      <c r="I1099" s="44"/>
      <c r="J1099" s="57"/>
      <c r="K1099" s="44"/>
      <c r="L1099" s="44"/>
      <c r="M1099" s="44"/>
      <c r="T1099" s="47"/>
      <c r="U1099" s="43"/>
    </row>
    <row r="1100" spans="9:21" s="1" customFormat="1" x14ac:dyDescent="0.25">
      <c r="I1100" s="101"/>
      <c r="J1100" s="102"/>
      <c r="K1100" s="101"/>
      <c r="L1100" s="101"/>
      <c r="M1100" s="44"/>
      <c r="T1100" s="47"/>
      <c r="U1100" s="43"/>
    </row>
    <row r="1101" spans="9:21" s="1" customFormat="1" x14ac:dyDescent="0.25">
      <c r="I1101" s="44"/>
      <c r="J1101" s="57"/>
      <c r="K1101" s="44"/>
      <c r="L1101" s="44"/>
      <c r="M1101" s="44"/>
      <c r="T1101" s="47"/>
      <c r="U1101" s="43"/>
    </row>
    <row r="1102" spans="9:21" s="1" customFormat="1" x14ac:dyDescent="0.25">
      <c r="I1102" s="101"/>
      <c r="J1102" s="102"/>
      <c r="K1102" s="101"/>
      <c r="L1102" s="101"/>
      <c r="M1102" s="44"/>
      <c r="T1102" s="47"/>
      <c r="U1102" s="43"/>
    </row>
    <row r="1103" spans="9:21" s="1" customFormat="1" x14ac:dyDescent="0.25">
      <c r="I1103" s="44"/>
      <c r="J1103" s="57"/>
      <c r="K1103" s="44"/>
      <c r="L1103" s="44"/>
      <c r="M1103" s="44"/>
      <c r="T1103" s="47"/>
      <c r="U1103" s="43"/>
    </row>
    <row r="1104" spans="9:21" s="1" customFormat="1" x14ac:dyDescent="0.25">
      <c r="I1104" s="101"/>
      <c r="J1104" s="102"/>
      <c r="K1104" s="101"/>
      <c r="L1104" s="101"/>
      <c r="M1104" s="44"/>
      <c r="T1104" s="47"/>
      <c r="U1104" s="43"/>
    </row>
    <row r="1105" spans="9:21" s="1" customFormat="1" x14ac:dyDescent="0.25">
      <c r="I1105" s="44"/>
      <c r="J1105" s="57"/>
      <c r="K1105" s="44"/>
      <c r="L1105" s="44"/>
      <c r="M1105" s="44"/>
      <c r="T1105" s="47"/>
      <c r="U1105" s="43"/>
    </row>
    <row r="1106" spans="9:21" s="1" customFormat="1" x14ac:dyDescent="0.25">
      <c r="I1106" s="101"/>
      <c r="J1106" s="102"/>
      <c r="K1106" s="101"/>
      <c r="L1106" s="101"/>
      <c r="M1106" s="44"/>
      <c r="T1106" s="47"/>
      <c r="U1106" s="43"/>
    </row>
    <row r="1107" spans="9:21" s="1" customFormat="1" x14ac:dyDescent="0.25">
      <c r="I1107" s="44"/>
      <c r="J1107" s="57"/>
      <c r="K1107" s="44"/>
      <c r="L1107" s="44"/>
      <c r="M1107" s="44"/>
      <c r="T1107" s="47"/>
      <c r="U1107" s="43"/>
    </row>
    <row r="1108" spans="9:21" s="1" customFormat="1" x14ac:dyDescent="0.25">
      <c r="I1108" s="101"/>
      <c r="J1108" s="102"/>
      <c r="K1108" s="101"/>
      <c r="L1108" s="101"/>
      <c r="M1108" s="44"/>
      <c r="T1108" s="47"/>
      <c r="U1108" s="43"/>
    </row>
    <row r="1109" spans="9:21" s="1" customFormat="1" x14ac:dyDescent="0.25">
      <c r="I1109" s="44"/>
      <c r="J1109" s="57"/>
      <c r="K1109" s="44"/>
      <c r="L1109" s="44"/>
      <c r="M1109" s="44"/>
      <c r="T1109" s="47"/>
      <c r="U1109" s="43"/>
    </row>
    <row r="1110" spans="9:21" s="1" customFormat="1" x14ac:dyDescent="0.25">
      <c r="I1110" s="101"/>
      <c r="J1110" s="102"/>
      <c r="K1110" s="101"/>
      <c r="L1110" s="101"/>
      <c r="M1110" s="44"/>
      <c r="T1110" s="47"/>
      <c r="U1110" s="43"/>
    </row>
    <row r="1111" spans="9:21" s="1" customFormat="1" x14ac:dyDescent="0.25">
      <c r="I1111" s="44"/>
      <c r="J1111" s="57"/>
      <c r="K1111" s="44"/>
      <c r="L1111" s="44"/>
      <c r="M1111" s="44"/>
      <c r="T1111" s="47"/>
      <c r="U1111" s="43"/>
    </row>
    <row r="1112" spans="9:21" s="1" customFormat="1" x14ac:dyDescent="0.25">
      <c r="I1112" s="101"/>
      <c r="J1112" s="102"/>
      <c r="K1112" s="101"/>
      <c r="L1112" s="101"/>
      <c r="M1112" s="44"/>
      <c r="T1112" s="47"/>
      <c r="U1112" s="43"/>
    </row>
    <row r="1113" spans="9:21" s="1" customFormat="1" x14ac:dyDescent="0.25">
      <c r="I1113" s="44"/>
      <c r="J1113" s="57"/>
      <c r="K1113" s="44"/>
      <c r="L1113" s="44"/>
      <c r="M1113" s="44"/>
      <c r="T1113" s="47"/>
      <c r="U1113" s="43"/>
    </row>
    <row r="1114" spans="9:21" s="1" customFormat="1" x14ac:dyDescent="0.25">
      <c r="I1114" s="101"/>
      <c r="J1114" s="102"/>
      <c r="K1114" s="101"/>
      <c r="L1114" s="101"/>
      <c r="M1114" s="44"/>
      <c r="T1114" s="47"/>
      <c r="U1114" s="43"/>
    </row>
    <row r="1115" spans="9:21" s="1" customFormat="1" x14ac:dyDescent="0.25">
      <c r="I1115" s="44"/>
      <c r="J1115" s="57"/>
      <c r="K1115" s="44"/>
      <c r="L1115" s="44"/>
      <c r="M1115" s="44"/>
      <c r="T1115" s="47"/>
      <c r="U1115" s="43"/>
    </row>
    <row r="1116" spans="9:21" s="1" customFormat="1" x14ac:dyDescent="0.25">
      <c r="I1116" s="101"/>
      <c r="J1116" s="102"/>
      <c r="K1116" s="101"/>
      <c r="L1116" s="101"/>
      <c r="M1116" s="44"/>
      <c r="T1116" s="47"/>
      <c r="U1116" s="43"/>
    </row>
    <row r="1117" spans="9:21" s="1" customFormat="1" x14ac:dyDescent="0.25">
      <c r="I1117" s="44"/>
      <c r="J1117" s="57"/>
      <c r="K1117" s="44"/>
      <c r="L1117" s="44"/>
      <c r="M1117" s="44"/>
      <c r="T1117" s="47"/>
      <c r="U1117" s="43"/>
    </row>
    <row r="1118" spans="9:21" s="1" customFormat="1" x14ac:dyDescent="0.25">
      <c r="I1118" s="101"/>
      <c r="J1118" s="102"/>
      <c r="K1118" s="101"/>
      <c r="L1118" s="101"/>
      <c r="M1118" s="44"/>
      <c r="T1118" s="47"/>
      <c r="U1118" s="43"/>
    </row>
    <row r="1119" spans="9:21" s="1" customFormat="1" x14ac:dyDescent="0.25">
      <c r="I1119" s="43"/>
      <c r="J1119" s="44"/>
      <c r="K1119" s="44"/>
      <c r="L1119" s="44"/>
      <c r="M1119" s="44"/>
      <c r="T1119" s="47"/>
      <c r="U1119" s="43"/>
    </row>
    <row r="1120" spans="9:21" s="1" customFormat="1" x14ac:dyDescent="0.25">
      <c r="I1120" s="43"/>
      <c r="J1120" s="44"/>
      <c r="K1120" s="44"/>
      <c r="L1120" s="44"/>
      <c r="M1120" s="44"/>
      <c r="T1120" s="47"/>
      <c r="U1120" s="43"/>
    </row>
    <row r="1121" spans="9:21" s="1" customFormat="1" x14ac:dyDescent="0.25">
      <c r="I1121" s="43"/>
      <c r="J1121" s="44"/>
      <c r="K1121" s="44"/>
      <c r="L1121" s="44"/>
      <c r="M1121" s="44"/>
      <c r="T1121" s="47"/>
      <c r="U1121" s="43"/>
    </row>
    <row r="1122" spans="9:21" s="1" customFormat="1" x14ac:dyDescent="0.25">
      <c r="I1122" s="43"/>
      <c r="J1122" s="44"/>
      <c r="K1122" s="44"/>
      <c r="L1122" s="44"/>
      <c r="M1122" s="44"/>
      <c r="T1122" s="47"/>
      <c r="U1122" s="43"/>
    </row>
    <row r="1123" spans="9:21" s="1" customFormat="1" x14ac:dyDescent="0.25">
      <c r="I1123" s="43"/>
      <c r="J1123" s="44"/>
      <c r="K1123" s="44"/>
      <c r="L1123" s="44"/>
      <c r="M1123" s="44"/>
      <c r="T1123" s="47"/>
      <c r="U1123" s="43"/>
    </row>
    <row r="1124" spans="9:21" s="1" customFormat="1" x14ac:dyDescent="0.25">
      <c r="I1124" s="43"/>
      <c r="J1124" s="44"/>
      <c r="K1124" s="44"/>
      <c r="L1124" s="44"/>
      <c r="M1124" s="44"/>
      <c r="T1124" s="47"/>
      <c r="U1124" s="43"/>
    </row>
    <row r="1125" spans="9:21" s="1" customFormat="1" x14ac:dyDescent="0.25">
      <c r="I1125" s="43"/>
      <c r="J1125" s="44"/>
      <c r="K1125" s="44"/>
      <c r="L1125" s="44"/>
      <c r="M1125" s="44"/>
      <c r="T1125" s="47"/>
      <c r="U1125" s="43"/>
    </row>
    <row r="1126" spans="9:21" s="1" customFormat="1" x14ac:dyDescent="0.25">
      <c r="I1126" s="43"/>
      <c r="J1126" s="44"/>
      <c r="K1126" s="44"/>
      <c r="L1126" s="44"/>
      <c r="M1126" s="44"/>
      <c r="T1126" s="47"/>
      <c r="U1126" s="43"/>
    </row>
    <row r="1127" spans="9:21" s="1" customFormat="1" x14ac:dyDescent="0.25">
      <c r="I1127" s="43"/>
      <c r="J1127" s="44"/>
      <c r="K1127" s="44"/>
      <c r="L1127" s="44"/>
      <c r="M1127" s="44"/>
      <c r="T1127" s="47"/>
      <c r="U1127" s="43"/>
    </row>
    <row r="1128" spans="9:21" s="1" customFormat="1" x14ac:dyDescent="0.25">
      <c r="I1128" s="43"/>
      <c r="J1128" s="44"/>
      <c r="K1128" s="44"/>
      <c r="L1128" s="44"/>
      <c r="M1128" s="44"/>
      <c r="T1128" s="47"/>
      <c r="U1128" s="43"/>
    </row>
    <row r="1129" spans="9:21" s="1" customFormat="1" x14ac:dyDescent="0.25">
      <c r="I1129" s="43"/>
      <c r="J1129" s="44"/>
      <c r="K1129" s="44"/>
      <c r="L1129" s="44"/>
      <c r="M1129" s="44"/>
      <c r="T1129" s="47"/>
      <c r="U1129" s="43"/>
    </row>
    <row r="1130" spans="9:21" s="1" customFormat="1" x14ac:dyDescent="0.25">
      <c r="I1130" s="43"/>
      <c r="J1130" s="44"/>
      <c r="K1130" s="44"/>
      <c r="L1130" s="44"/>
      <c r="M1130" s="44"/>
      <c r="T1130" s="47"/>
      <c r="U1130" s="43"/>
    </row>
    <row r="1131" spans="9:21" s="1" customFormat="1" x14ac:dyDescent="0.25">
      <c r="I1131" s="43"/>
      <c r="J1131" s="44"/>
      <c r="K1131" s="44"/>
      <c r="L1131" s="44"/>
      <c r="M1131" s="44"/>
      <c r="T1131" s="47"/>
      <c r="U1131" s="43"/>
    </row>
    <row r="1132" spans="9:21" s="1" customFormat="1" x14ac:dyDescent="0.25">
      <c r="I1132" s="43"/>
      <c r="J1132" s="44"/>
      <c r="K1132" s="44"/>
      <c r="L1132" s="44"/>
      <c r="M1132" s="44"/>
      <c r="T1132" s="47"/>
      <c r="U1132" s="43"/>
    </row>
    <row r="1133" spans="9:21" s="1" customFormat="1" x14ac:dyDescent="0.25">
      <c r="I1133" s="43"/>
      <c r="J1133" s="44"/>
      <c r="K1133" s="44"/>
      <c r="L1133" s="44"/>
      <c r="M1133" s="44"/>
      <c r="T1133" s="47"/>
      <c r="U1133" s="43"/>
    </row>
    <row r="1134" spans="9:21" s="1" customFormat="1" x14ac:dyDescent="0.25">
      <c r="I1134" s="43"/>
      <c r="J1134" s="44"/>
      <c r="K1134" s="44"/>
      <c r="L1134" s="44"/>
      <c r="M1134" s="44"/>
      <c r="T1134" s="47"/>
      <c r="U1134" s="43"/>
    </row>
    <row r="1135" spans="9:21" s="1" customFormat="1" x14ac:dyDescent="0.25">
      <c r="I1135" s="43"/>
      <c r="J1135" s="44"/>
      <c r="K1135" s="44"/>
      <c r="L1135" s="44"/>
      <c r="M1135" s="44"/>
      <c r="T1135" s="47"/>
      <c r="U1135" s="43"/>
    </row>
    <row r="1136" spans="9:21" s="1" customFormat="1" x14ac:dyDescent="0.25">
      <c r="I1136" s="43"/>
      <c r="J1136" s="44"/>
      <c r="K1136" s="44"/>
      <c r="L1136" s="44"/>
      <c r="M1136" s="44"/>
      <c r="T1136" s="47"/>
      <c r="U1136" s="43"/>
    </row>
    <row r="1137" spans="9:21" s="1" customFormat="1" x14ac:dyDescent="0.25">
      <c r="I1137" s="43"/>
      <c r="J1137" s="44"/>
      <c r="K1137" s="44"/>
      <c r="L1137" s="44"/>
      <c r="M1137" s="44"/>
      <c r="T1137" s="47"/>
      <c r="U1137" s="43"/>
    </row>
    <row r="1138" spans="9:21" s="1" customFormat="1" x14ac:dyDescent="0.25">
      <c r="I1138" s="43"/>
      <c r="J1138" s="44"/>
      <c r="K1138" s="44"/>
      <c r="L1138" s="44"/>
      <c r="M1138" s="44"/>
      <c r="T1138" s="47"/>
      <c r="U1138" s="43"/>
    </row>
    <row r="1139" spans="9:21" s="1" customFormat="1" x14ac:dyDescent="0.25">
      <c r="I1139" s="43"/>
      <c r="J1139" s="44"/>
      <c r="K1139" s="44"/>
      <c r="L1139" s="44"/>
      <c r="M1139" s="44"/>
      <c r="T1139" s="47"/>
      <c r="U1139" s="43"/>
    </row>
    <row r="1140" spans="9:21" s="1" customFormat="1" x14ac:dyDescent="0.25">
      <c r="I1140" s="43"/>
      <c r="J1140" s="44"/>
      <c r="K1140" s="44"/>
      <c r="L1140" s="44"/>
      <c r="M1140" s="44"/>
      <c r="T1140" s="47"/>
      <c r="U1140" s="43"/>
    </row>
    <row r="1141" spans="9:21" s="1" customFormat="1" x14ac:dyDescent="0.25">
      <c r="I1141" s="43"/>
      <c r="J1141" s="44"/>
      <c r="K1141" s="44"/>
      <c r="L1141" s="44"/>
      <c r="M1141" s="44"/>
      <c r="T1141" s="47"/>
      <c r="U1141" s="43"/>
    </row>
    <row r="1142" spans="9:21" s="1" customFormat="1" x14ac:dyDescent="0.25">
      <c r="I1142" s="43"/>
      <c r="J1142" s="44"/>
      <c r="K1142" s="44"/>
      <c r="L1142" s="44"/>
      <c r="M1142" s="44"/>
      <c r="T1142" s="47"/>
      <c r="U1142" s="43"/>
    </row>
    <row r="1143" spans="9:21" s="1" customFormat="1" x14ac:dyDescent="0.25">
      <c r="I1143" s="43"/>
      <c r="J1143" s="44"/>
      <c r="K1143" s="44"/>
      <c r="L1143" s="44"/>
      <c r="M1143" s="44"/>
      <c r="T1143" s="47"/>
      <c r="U1143" s="43"/>
    </row>
    <row r="1144" spans="9:21" s="1" customFormat="1" x14ac:dyDescent="0.25">
      <c r="I1144" s="43"/>
      <c r="J1144" s="44"/>
      <c r="K1144" s="44"/>
      <c r="L1144" s="44"/>
      <c r="M1144" s="44"/>
      <c r="T1144" s="47"/>
      <c r="U1144" s="43"/>
    </row>
    <row r="1145" spans="9:21" s="1" customFormat="1" x14ac:dyDescent="0.25">
      <c r="I1145" s="43"/>
      <c r="J1145" s="44"/>
      <c r="K1145" s="44"/>
      <c r="L1145" s="44"/>
      <c r="M1145" s="44"/>
      <c r="T1145" s="47"/>
      <c r="U1145" s="43"/>
    </row>
    <row r="1146" spans="9:21" s="1" customFormat="1" x14ac:dyDescent="0.25">
      <c r="I1146" s="43"/>
      <c r="J1146" s="44"/>
      <c r="K1146" s="44"/>
      <c r="L1146" s="44"/>
      <c r="M1146" s="44"/>
      <c r="T1146" s="47"/>
      <c r="U1146" s="43"/>
    </row>
    <row r="1147" spans="9:21" s="1" customFormat="1" x14ac:dyDescent="0.25">
      <c r="I1147" s="43"/>
      <c r="J1147" s="44"/>
      <c r="K1147" s="44"/>
      <c r="L1147" s="44"/>
      <c r="M1147" s="44"/>
      <c r="T1147" s="47"/>
      <c r="U1147" s="43"/>
    </row>
    <row r="1148" spans="9:21" s="1" customFormat="1" x14ac:dyDescent="0.25">
      <c r="I1148" s="43"/>
      <c r="J1148" s="44"/>
      <c r="K1148" s="44"/>
      <c r="L1148" s="44"/>
      <c r="M1148" s="44"/>
      <c r="T1148" s="47"/>
      <c r="U1148" s="43"/>
    </row>
    <row r="1149" spans="9:21" s="1" customFormat="1" x14ac:dyDescent="0.25">
      <c r="I1149" s="43"/>
      <c r="J1149" s="44"/>
      <c r="K1149" s="44"/>
      <c r="L1149" s="44"/>
      <c r="M1149" s="44"/>
      <c r="T1149" s="47"/>
      <c r="U1149" s="43"/>
    </row>
    <row r="1150" spans="9:21" s="1" customFormat="1" x14ac:dyDescent="0.25">
      <c r="I1150" s="43"/>
      <c r="J1150" s="44"/>
      <c r="K1150" s="44"/>
      <c r="L1150" s="44"/>
      <c r="M1150" s="44"/>
      <c r="T1150" s="47"/>
      <c r="U1150" s="43"/>
    </row>
    <row r="1151" spans="9:21" s="1" customFormat="1" x14ac:dyDescent="0.25">
      <c r="I1151" s="43"/>
      <c r="J1151" s="44"/>
      <c r="K1151" s="44"/>
      <c r="L1151" s="44"/>
      <c r="M1151" s="44"/>
      <c r="T1151" s="47"/>
      <c r="U1151" s="43"/>
    </row>
    <row r="1152" spans="9:21" s="1" customFormat="1" x14ac:dyDescent="0.25">
      <c r="I1152" s="43"/>
      <c r="J1152" s="44"/>
      <c r="K1152" s="44"/>
      <c r="L1152" s="44"/>
      <c r="M1152" s="44"/>
      <c r="T1152" s="47"/>
      <c r="U1152" s="43"/>
    </row>
    <row r="1153" spans="9:21" s="1" customFormat="1" x14ac:dyDescent="0.25">
      <c r="I1153" s="43"/>
      <c r="J1153" s="44"/>
      <c r="K1153" s="44"/>
      <c r="L1153" s="44"/>
      <c r="M1153" s="44"/>
      <c r="T1153" s="47"/>
      <c r="U1153" s="43"/>
    </row>
    <row r="1154" spans="9:21" s="1" customFormat="1" x14ac:dyDescent="0.25">
      <c r="I1154" s="43"/>
      <c r="J1154" s="44"/>
      <c r="K1154" s="44"/>
      <c r="L1154" s="44"/>
      <c r="M1154" s="44"/>
      <c r="T1154" s="47"/>
      <c r="U1154" s="43"/>
    </row>
    <row r="1155" spans="9:21" s="1" customFormat="1" x14ac:dyDescent="0.25">
      <c r="I1155" s="43"/>
      <c r="J1155" s="44"/>
      <c r="K1155" s="44"/>
      <c r="L1155" s="44"/>
      <c r="M1155" s="44"/>
      <c r="T1155" s="47"/>
      <c r="U1155" s="43"/>
    </row>
    <row r="1156" spans="9:21" s="1" customFormat="1" x14ac:dyDescent="0.25">
      <c r="I1156" s="43"/>
      <c r="J1156" s="44"/>
      <c r="K1156" s="44"/>
      <c r="L1156" s="44"/>
      <c r="M1156" s="44"/>
      <c r="T1156" s="47"/>
      <c r="U1156" s="43"/>
    </row>
    <row r="1157" spans="9:21" s="1" customFormat="1" x14ac:dyDescent="0.25">
      <c r="I1157" s="43"/>
      <c r="J1157" s="44"/>
      <c r="K1157" s="44"/>
      <c r="L1157" s="44"/>
      <c r="M1157" s="44"/>
      <c r="T1157" s="47"/>
      <c r="U1157" s="43"/>
    </row>
    <row r="1158" spans="9:21" s="1" customFormat="1" x14ac:dyDescent="0.25">
      <c r="I1158" s="43"/>
      <c r="J1158" s="44"/>
      <c r="K1158" s="44"/>
      <c r="L1158" s="44"/>
      <c r="M1158" s="44"/>
      <c r="T1158" s="47"/>
      <c r="U1158" s="43"/>
    </row>
    <row r="1159" spans="9:21" s="1" customFormat="1" x14ac:dyDescent="0.25">
      <c r="I1159" s="43"/>
      <c r="J1159" s="44"/>
      <c r="K1159" s="44"/>
      <c r="L1159" s="44"/>
      <c r="M1159" s="44"/>
      <c r="T1159" s="47"/>
      <c r="U1159" s="43"/>
    </row>
    <row r="1160" spans="9:21" s="1" customFormat="1" x14ac:dyDescent="0.25">
      <c r="I1160" s="43"/>
      <c r="J1160" s="44"/>
      <c r="K1160" s="44"/>
      <c r="L1160" s="44"/>
      <c r="M1160" s="44"/>
      <c r="T1160" s="47"/>
      <c r="U1160" s="43"/>
    </row>
    <row r="1161" spans="9:21" s="1" customFormat="1" x14ac:dyDescent="0.25">
      <c r="I1161" s="43"/>
      <c r="J1161" s="44"/>
      <c r="K1161" s="44"/>
      <c r="L1161" s="44"/>
      <c r="M1161" s="44"/>
      <c r="T1161" s="47"/>
      <c r="U1161" s="43"/>
    </row>
    <row r="1162" spans="9:21" s="1" customFormat="1" x14ac:dyDescent="0.25">
      <c r="I1162" s="43"/>
      <c r="J1162" s="44"/>
      <c r="K1162" s="44"/>
      <c r="L1162" s="44"/>
      <c r="M1162" s="44"/>
      <c r="T1162" s="47"/>
      <c r="U1162" s="43"/>
    </row>
    <row r="1163" spans="9:21" s="1" customFormat="1" x14ac:dyDescent="0.25">
      <c r="I1163" s="43"/>
      <c r="J1163" s="44"/>
      <c r="K1163" s="44"/>
      <c r="L1163" s="44"/>
      <c r="M1163" s="44"/>
      <c r="T1163" s="47"/>
      <c r="U1163" s="43"/>
    </row>
    <row r="1164" spans="9:21" s="1" customFormat="1" x14ac:dyDescent="0.25">
      <c r="I1164" s="43"/>
      <c r="J1164" s="44"/>
      <c r="K1164" s="44"/>
      <c r="L1164" s="44"/>
      <c r="M1164" s="44"/>
      <c r="T1164" s="47"/>
      <c r="U1164" s="43"/>
    </row>
    <row r="1165" spans="9:21" s="1" customFormat="1" x14ac:dyDescent="0.25">
      <c r="I1165" s="43"/>
      <c r="J1165" s="44"/>
      <c r="K1165" s="44"/>
      <c r="L1165" s="44"/>
      <c r="M1165" s="44"/>
      <c r="T1165" s="47"/>
      <c r="U1165" s="43"/>
    </row>
    <row r="1166" spans="9:21" s="1" customFormat="1" x14ac:dyDescent="0.25">
      <c r="I1166" s="43"/>
      <c r="J1166" s="44"/>
      <c r="K1166" s="44"/>
      <c r="L1166" s="44"/>
      <c r="M1166" s="44"/>
      <c r="T1166" s="47"/>
      <c r="U1166" s="43"/>
    </row>
    <row r="1167" spans="9:21" s="1" customFormat="1" x14ac:dyDescent="0.25">
      <c r="I1167" s="43"/>
      <c r="J1167" s="44"/>
      <c r="K1167" s="44"/>
      <c r="L1167" s="44"/>
      <c r="M1167" s="44"/>
      <c r="T1167" s="47"/>
      <c r="U1167" s="43"/>
    </row>
    <row r="1168" spans="9:21" s="1" customFormat="1" x14ac:dyDescent="0.25">
      <c r="I1168" s="43"/>
      <c r="J1168" s="44"/>
      <c r="K1168" s="44"/>
      <c r="L1168" s="44"/>
      <c r="M1168" s="44"/>
      <c r="T1168" s="47"/>
      <c r="U1168" s="43"/>
    </row>
    <row r="1169" spans="9:21" s="1" customFormat="1" x14ac:dyDescent="0.25">
      <c r="I1169" s="43"/>
      <c r="J1169" s="44"/>
      <c r="K1169" s="44"/>
      <c r="L1169" s="44"/>
      <c r="M1169" s="44"/>
      <c r="T1169" s="47"/>
      <c r="U1169" s="43"/>
    </row>
    <row r="1170" spans="9:21" s="1" customFormat="1" x14ac:dyDescent="0.25">
      <c r="I1170" s="43"/>
      <c r="J1170" s="44"/>
      <c r="K1170" s="44"/>
      <c r="L1170" s="44"/>
      <c r="M1170" s="44"/>
      <c r="T1170" s="47"/>
      <c r="U1170" s="43"/>
    </row>
    <row r="1171" spans="9:21" s="1" customFormat="1" x14ac:dyDescent="0.25">
      <c r="I1171" s="43"/>
      <c r="J1171" s="44"/>
      <c r="K1171" s="44"/>
      <c r="L1171" s="44"/>
      <c r="M1171" s="44"/>
      <c r="T1171" s="47"/>
      <c r="U1171" s="43"/>
    </row>
    <row r="1172" spans="9:21" s="1" customFormat="1" x14ac:dyDescent="0.25">
      <c r="I1172" s="43"/>
      <c r="J1172" s="44"/>
      <c r="K1172" s="44"/>
      <c r="L1172" s="44"/>
      <c r="M1172" s="44"/>
      <c r="T1172" s="47"/>
      <c r="U1172" s="43"/>
    </row>
    <row r="1173" spans="9:21" s="1" customFormat="1" x14ac:dyDescent="0.25">
      <c r="I1173" s="43"/>
      <c r="J1173" s="44"/>
      <c r="K1173" s="44"/>
      <c r="L1173" s="44"/>
      <c r="M1173" s="44"/>
      <c r="T1173" s="47"/>
      <c r="U1173" s="43"/>
    </row>
    <row r="1174" spans="9:21" s="1" customFormat="1" x14ac:dyDescent="0.25">
      <c r="I1174" s="43"/>
      <c r="J1174" s="44"/>
      <c r="K1174" s="44"/>
      <c r="L1174" s="44"/>
      <c r="M1174" s="44"/>
      <c r="T1174" s="47"/>
      <c r="U1174" s="43"/>
    </row>
    <row r="1175" spans="9:21" s="1" customFormat="1" x14ac:dyDescent="0.25">
      <c r="I1175" s="43"/>
      <c r="J1175" s="44"/>
      <c r="K1175" s="44"/>
      <c r="L1175" s="44"/>
      <c r="M1175" s="44"/>
      <c r="T1175" s="47"/>
      <c r="U1175" s="43"/>
    </row>
    <row r="1176" spans="9:21" s="1" customFormat="1" x14ac:dyDescent="0.25">
      <c r="I1176" s="43"/>
      <c r="J1176" s="44"/>
      <c r="K1176" s="44"/>
      <c r="L1176" s="44"/>
      <c r="M1176" s="44"/>
      <c r="T1176" s="47"/>
      <c r="U1176" s="43"/>
    </row>
    <row r="1177" spans="9:21" s="1" customFormat="1" x14ac:dyDescent="0.25">
      <c r="I1177" s="43"/>
      <c r="J1177" s="44"/>
      <c r="K1177" s="44"/>
      <c r="L1177" s="44"/>
      <c r="M1177" s="44"/>
      <c r="T1177" s="47"/>
      <c r="U1177" s="43"/>
    </row>
    <row r="1178" spans="9:21" s="1" customFormat="1" x14ac:dyDescent="0.25">
      <c r="I1178" s="43"/>
      <c r="J1178" s="44"/>
      <c r="K1178" s="44"/>
      <c r="L1178" s="44"/>
      <c r="M1178" s="44"/>
      <c r="T1178" s="47"/>
      <c r="U1178" s="43"/>
    </row>
    <row r="1179" spans="9:21" s="1" customFormat="1" x14ac:dyDescent="0.25">
      <c r="I1179" s="43"/>
      <c r="J1179" s="44"/>
      <c r="K1179" s="44"/>
      <c r="L1179" s="44"/>
      <c r="M1179" s="44"/>
      <c r="T1179" s="47"/>
      <c r="U1179" s="43"/>
    </row>
    <row r="1180" spans="9:21" s="1" customFormat="1" x14ac:dyDescent="0.25">
      <c r="I1180" s="43"/>
      <c r="J1180" s="44"/>
      <c r="K1180" s="44"/>
      <c r="L1180" s="44"/>
      <c r="M1180" s="44"/>
      <c r="T1180" s="47"/>
      <c r="U1180" s="43"/>
    </row>
    <row r="1181" spans="9:21" s="1" customFormat="1" x14ac:dyDescent="0.25">
      <c r="I1181" s="43"/>
      <c r="J1181" s="44"/>
      <c r="K1181" s="44"/>
      <c r="L1181" s="44"/>
      <c r="M1181" s="44"/>
      <c r="T1181" s="47"/>
      <c r="U1181" s="43"/>
    </row>
    <row r="1182" spans="9:21" s="1" customFormat="1" x14ac:dyDescent="0.25">
      <c r="I1182" s="43"/>
      <c r="J1182" s="44"/>
      <c r="K1182" s="44"/>
      <c r="L1182" s="44"/>
      <c r="M1182" s="44"/>
      <c r="T1182" s="47"/>
      <c r="U1182" s="43"/>
    </row>
    <row r="1183" spans="9:21" s="1" customFormat="1" x14ac:dyDescent="0.25">
      <c r="I1183" s="43"/>
      <c r="J1183" s="44"/>
      <c r="K1183" s="44"/>
      <c r="L1183" s="44"/>
      <c r="M1183" s="44"/>
      <c r="T1183" s="47"/>
      <c r="U1183" s="43"/>
    </row>
    <row r="1184" spans="9:21" s="1" customFormat="1" x14ac:dyDescent="0.25">
      <c r="I1184" s="43"/>
      <c r="J1184" s="44"/>
      <c r="K1184" s="44"/>
      <c r="L1184" s="44"/>
      <c r="M1184" s="44"/>
      <c r="T1184" s="47"/>
      <c r="U1184" s="43"/>
    </row>
    <row r="1185" spans="9:21" s="1" customFormat="1" x14ac:dyDescent="0.25">
      <c r="I1185" s="43"/>
      <c r="J1185" s="44"/>
      <c r="K1185" s="44"/>
      <c r="L1185" s="44"/>
      <c r="M1185" s="44"/>
      <c r="T1185" s="47"/>
      <c r="U1185" s="43"/>
    </row>
    <row r="1186" spans="9:21" s="1" customFormat="1" x14ac:dyDescent="0.25">
      <c r="I1186" s="43"/>
      <c r="J1186" s="44"/>
      <c r="K1186" s="44"/>
      <c r="L1186" s="44"/>
      <c r="M1186" s="44"/>
      <c r="T1186" s="47"/>
      <c r="U1186" s="43"/>
    </row>
    <row r="1187" spans="9:21" s="1" customFormat="1" x14ac:dyDescent="0.25">
      <c r="I1187" s="43"/>
      <c r="J1187" s="44"/>
      <c r="K1187" s="44"/>
      <c r="L1187" s="44"/>
      <c r="M1187" s="44"/>
      <c r="T1187" s="47"/>
      <c r="U1187" s="43"/>
    </row>
    <row r="1188" spans="9:21" s="1" customFormat="1" x14ac:dyDescent="0.25">
      <c r="I1188" s="43"/>
      <c r="J1188" s="44"/>
      <c r="K1188" s="44"/>
      <c r="L1188" s="44"/>
      <c r="M1188" s="44"/>
      <c r="T1188" s="47"/>
      <c r="U1188" s="43"/>
    </row>
    <row r="1189" spans="9:21" s="1" customFormat="1" x14ac:dyDescent="0.25">
      <c r="I1189" s="43"/>
      <c r="J1189" s="44"/>
      <c r="K1189" s="44"/>
      <c r="L1189" s="44"/>
      <c r="M1189" s="44"/>
      <c r="T1189" s="47"/>
      <c r="U1189" s="43"/>
    </row>
    <row r="1190" spans="9:21" s="1" customFormat="1" x14ac:dyDescent="0.25">
      <c r="I1190" s="43"/>
      <c r="J1190" s="44"/>
      <c r="K1190" s="44"/>
      <c r="L1190" s="44"/>
      <c r="M1190" s="44"/>
      <c r="T1190" s="47"/>
      <c r="U1190" s="43"/>
    </row>
    <row r="1191" spans="9:21" s="1" customFormat="1" x14ac:dyDescent="0.25">
      <c r="I1191" s="43"/>
      <c r="J1191" s="44"/>
      <c r="K1191" s="44"/>
      <c r="L1191" s="44"/>
      <c r="M1191" s="44"/>
      <c r="T1191" s="47"/>
      <c r="U1191" s="43"/>
    </row>
    <row r="1192" spans="9:21" s="1" customFormat="1" x14ac:dyDescent="0.25">
      <c r="I1192" s="43"/>
      <c r="J1192" s="44"/>
      <c r="K1192" s="44"/>
      <c r="L1192" s="44"/>
      <c r="M1192" s="44"/>
      <c r="T1192" s="47"/>
      <c r="U1192" s="43"/>
    </row>
    <row r="1193" spans="9:21" s="1" customFormat="1" x14ac:dyDescent="0.25">
      <c r="I1193" s="43"/>
      <c r="J1193" s="44"/>
      <c r="K1193" s="44"/>
      <c r="L1193" s="44"/>
      <c r="M1193" s="44"/>
      <c r="T1193" s="47"/>
      <c r="U1193" s="43"/>
    </row>
    <row r="1194" spans="9:21" s="1" customFormat="1" x14ac:dyDescent="0.25">
      <c r="I1194" s="43"/>
      <c r="J1194" s="44"/>
      <c r="K1194" s="44"/>
      <c r="L1194" s="44"/>
      <c r="M1194" s="44"/>
      <c r="T1194" s="47"/>
      <c r="U1194" s="43"/>
    </row>
    <row r="1195" spans="9:21" s="1" customFormat="1" x14ac:dyDescent="0.25">
      <c r="I1195" s="43"/>
      <c r="J1195" s="44"/>
      <c r="K1195" s="44"/>
      <c r="L1195" s="44"/>
      <c r="M1195" s="44"/>
      <c r="T1195" s="47"/>
      <c r="U1195" s="43"/>
    </row>
    <row r="1196" spans="9:21" s="1" customFormat="1" x14ac:dyDescent="0.25">
      <c r="I1196" s="43"/>
      <c r="J1196" s="44"/>
      <c r="K1196" s="44"/>
      <c r="L1196" s="44"/>
      <c r="M1196" s="44"/>
      <c r="T1196" s="47"/>
      <c r="U1196" s="43"/>
    </row>
    <row r="1197" spans="9:21" s="1" customFormat="1" x14ac:dyDescent="0.25">
      <c r="I1197" s="43"/>
      <c r="J1197" s="44"/>
      <c r="K1197" s="44"/>
      <c r="L1197" s="44"/>
      <c r="M1197" s="44"/>
      <c r="T1197" s="47"/>
      <c r="U1197" s="43"/>
    </row>
    <row r="1198" spans="9:21" s="1" customFormat="1" x14ac:dyDescent="0.25">
      <c r="I1198" s="43"/>
      <c r="J1198" s="44"/>
      <c r="K1198" s="44"/>
      <c r="L1198" s="44"/>
      <c r="M1198" s="44"/>
      <c r="T1198" s="47"/>
      <c r="U1198" s="43"/>
    </row>
    <row r="1199" spans="9:21" s="1" customFormat="1" x14ac:dyDescent="0.25">
      <c r="I1199" s="43"/>
      <c r="J1199" s="44"/>
      <c r="K1199" s="44"/>
      <c r="L1199" s="44"/>
      <c r="M1199" s="44"/>
      <c r="T1199" s="47"/>
      <c r="U1199" s="43"/>
    </row>
    <row r="1200" spans="9:21" s="1" customFormat="1" x14ac:dyDescent="0.25">
      <c r="I1200" s="43"/>
      <c r="J1200" s="44"/>
      <c r="K1200" s="44"/>
      <c r="L1200" s="44"/>
      <c r="M1200" s="44"/>
      <c r="T1200" s="47"/>
      <c r="U1200" s="43"/>
    </row>
    <row r="1201" spans="9:21" s="1" customFormat="1" x14ac:dyDescent="0.25">
      <c r="I1201" s="43"/>
      <c r="J1201" s="44"/>
      <c r="K1201" s="44"/>
      <c r="L1201" s="44"/>
      <c r="M1201" s="44"/>
      <c r="T1201" s="47"/>
      <c r="U1201" s="43"/>
    </row>
    <row r="1202" spans="9:21" s="1" customFormat="1" x14ac:dyDescent="0.25">
      <c r="I1202" s="43"/>
      <c r="J1202" s="44"/>
      <c r="K1202" s="44"/>
      <c r="L1202" s="44"/>
      <c r="M1202" s="44"/>
      <c r="T1202" s="47"/>
      <c r="U1202" s="43"/>
    </row>
    <row r="1203" spans="9:21" s="1" customFormat="1" x14ac:dyDescent="0.25">
      <c r="I1203" s="43"/>
      <c r="J1203" s="44"/>
      <c r="K1203" s="44"/>
      <c r="L1203" s="44"/>
      <c r="M1203" s="44"/>
      <c r="T1203" s="47"/>
      <c r="U1203" s="43"/>
    </row>
    <row r="1204" spans="9:21" s="1" customFormat="1" x14ac:dyDescent="0.25">
      <c r="I1204" s="43"/>
      <c r="J1204" s="44"/>
      <c r="K1204" s="44"/>
      <c r="L1204" s="44"/>
      <c r="M1204" s="44"/>
      <c r="T1204" s="47"/>
      <c r="U1204" s="43"/>
    </row>
    <row r="1205" spans="9:21" s="1" customFormat="1" x14ac:dyDescent="0.25">
      <c r="I1205" s="43"/>
      <c r="J1205" s="44"/>
      <c r="K1205" s="44"/>
      <c r="L1205" s="44"/>
      <c r="M1205" s="44"/>
      <c r="T1205" s="47"/>
      <c r="U1205" s="43"/>
    </row>
    <row r="1206" spans="9:21" s="1" customFormat="1" x14ac:dyDescent="0.25">
      <c r="I1206" s="43"/>
      <c r="J1206" s="44"/>
      <c r="K1206" s="44"/>
      <c r="L1206" s="44"/>
      <c r="M1206" s="44"/>
      <c r="T1206" s="47"/>
      <c r="U1206" s="43"/>
    </row>
    <row r="1207" spans="9:21" s="1" customFormat="1" x14ac:dyDescent="0.25">
      <c r="I1207" s="43"/>
      <c r="J1207" s="44"/>
      <c r="K1207" s="44"/>
      <c r="L1207" s="44"/>
      <c r="M1207" s="44"/>
      <c r="T1207" s="47"/>
      <c r="U1207" s="43"/>
    </row>
    <row r="1208" spans="9:21" s="1" customFormat="1" x14ac:dyDescent="0.25">
      <c r="I1208" s="43"/>
      <c r="J1208" s="44"/>
      <c r="K1208" s="44"/>
      <c r="L1208" s="44"/>
      <c r="M1208" s="44"/>
      <c r="T1208" s="47"/>
      <c r="U1208" s="43"/>
    </row>
    <row r="1209" spans="9:21" s="1" customFormat="1" x14ac:dyDescent="0.25">
      <c r="I1209" s="43"/>
      <c r="J1209" s="44"/>
      <c r="K1209" s="44"/>
      <c r="L1209" s="44"/>
      <c r="M1209" s="44"/>
      <c r="T1209" s="47"/>
      <c r="U1209" s="43"/>
    </row>
    <row r="1210" spans="9:21" s="1" customFormat="1" x14ac:dyDescent="0.25">
      <c r="I1210" s="43"/>
      <c r="J1210" s="44"/>
      <c r="K1210" s="44"/>
      <c r="L1210" s="44"/>
      <c r="M1210" s="44"/>
      <c r="T1210" s="47"/>
      <c r="U1210" s="43"/>
    </row>
    <row r="1211" spans="9:21" s="1" customFormat="1" x14ac:dyDescent="0.25">
      <c r="I1211" s="43"/>
      <c r="J1211" s="44"/>
      <c r="K1211" s="44"/>
      <c r="L1211" s="44"/>
      <c r="M1211" s="44"/>
      <c r="T1211" s="47"/>
      <c r="U1211" s="43"/>
    </row>
    <row r="1212" spans="9:21" s="1" customFormat="1" x14ac:dyDescent="0.25">
      <c r="I1212" s="43"/>
      <c r="J1212" s="44"/>
      <c r="K1212" s="44"/>
      <c r="L1212" s="44"/>
      <c r="M1212" s="44"/>
      <c r="T1212" s="47"/>
      <c r="U1212" s="43"/>
    </row>
    <row r="1213" spans="9:21" s="1" customFormat="1" x14ac:dyDescent="0.25">
      <c r="I1213" s="43"/>
      <c r="J1213" s="44"/>
      <c r="K1213" s="44"/>
      <c r="L1213" s="44"/>
      <c r="M1213" s="44"/>
      <c r="T1213" s="47"/>
      <c r="U1213" s="43"/>
    </row>
    <row r="1214" spans="9:21" s="1" customFormat="1" x14ac:dyDescent="0.25">
      <c r="I1214" s="43"/>
      <c r="J1214" s="44"/>
      <c r="K1214" s="44"/>
      <c r="L1214" s="44"/>
      <c r="M1214" s="44"/>
      <c r="T1214" s="47"/>
      <c r="U1214" s="43"/>
    </row>
    <row r="1215" spans="9:21" s="1" customFormat="1" x14ac:dyDescent="0.25">
      <c r="I1215" s="43"/>
      <c r="J1215" s="44"/>
      <c r="K1215" s="44"/>
      <c r="L1215" s="44"/>
      <c r="M1215" s="44"/>
      <c r="T1215" s="47"/>
      <c r="U1215" s="43"/>
    </row>
    <row r="1216" spans="9:21" s="1" customFormat="1" x14ac:dyDescent="0.25">
      <c r="I1216" s="43"/>
      <c r="J1216" s="44"/>
      <c r="K1216" s="44"/>
      <c r="L1216" s="44"/>
      <c r="M1216" s="44"/>
      <c r="T1216" s="47"/>
      <c r="U1216" s="43"/>
    </row>
    <row r="1217" spans="9:21" s="1" customFormat="1" x14ac:dyDescent="0.25">
      <c r="I1217" s="43"/>
      <c r="J1217" s="44"/>
      <c r="K1217" s="44"/>
      <c r="L1217" s="44"/>
      <c r="M1217" s="44"/>
      <c r="T1217" s="47"/>
      <c r="U1217" s="43"/>
    </row>
    <row r="1218" spans="9:21" s="1" customFormat="1" x14ac:dyDescent="0.25">
      <c r="I1218" s="43"/>
      <c r="J1218" s="44"/>
      <c r="K1218" s="44"/>
      <c r="L1218" s="44"/>
      <c r="M1218" s="44"/>
      <c r="T1218" s="47"/>
      <c r="U1218" s="43"/>
    </row>
    <row r="1219" spans="9:21" s="1" customFormat="1" x14ac:dyDescent="0.25">
      <c r="I1219" s="43"/>
      <c r="J1219" s="44"/>
      <c r="K1219" s="44"/>
      <c r="L1219" s="44"/>
      <c r="M1219" s="44"/>
      <c r="T1219" s="47"/>
      <c r="U1219" s="43"/>
    </row>
    <row r="1220" spans="9:21" s="1" customFormat="1" x14ac:dyDescent="0.25">
      <c r="I1220" s="43"/>
      <c r="J1220" s="44"/>
      <c r="K1220" s="44"/>
      <c r="L1220" s="44"/>
      <c r="M1220" s="44"/>
      <c r="T1220" s="47"/>
      <c r="U1220" s="43"/>
    </row>
    <row r="1221" spans="9:21" s="1" customFormat="1" x14ac:dyDescent="0.25">
      <c r="I1221" s="43"/>
      <c r="J1221" s="44"/>
      <c r="K1221" s="44"/>
      <c r="L1221" s="44"/>
      <c r="M1221" s="44"/>
      <c r="T1221" s="47"/>
      <c r="U1221" s="43"/>
    </row>
    <row r="1222" spans="9:21" s="1" customFormat="1" x14ac:dyDescent="0.25">
      <c r="I1222" s="43"/>
      <c r="J1222" s="44"/>
      <c r="K1222" s="44"/>
      <c r="L1222" s="44"/>
      <c r="M1222" s="44"/>
      <c r="T1222" s="47"/>
      <c r="U1222" s="43"/>
    </row>
    <row r="1223" spans="9:21" s="1" customFormat="1" x14ac:dyDescent="0.25">
      <c r="I1223" s="43"/>
      <c r="J1223" s="44"/>
      <c r="K1223" s="44"/>
      <c r="L1223" s="44"/>
      <c r="M1223" s="44"/>
      <c r="T1223" s="47"/>
      <c r="U1223" s="43"/>
    </row>
    <row r="1224" spans="9:21" s="1" customFormat="1" x14ac:dyDescent="0.25">
      <c r="I1224" s="43"/>
      <c r="J1224" s="44"/>
      <c r="K1224" s="44"/>
      <c r="L1224" s="44"/>
      <c r="M1224" s="44"/>
      <c r="T1224" s="47"/>
      <c r="U1224" s="43"/>
    </row>
    <row r="1225" spans="9:21" s="1" customFormat="1" x14ac:dyDescent="0.25">
      <c r="I1225" s="43"/>
      <c r="J1225" s="44"/>
      <c r="K1225" s="44"/>
      <c r="L1225" s="44"/>
      <c r="M1225" s="44"/>
      <c r="T1225" s="47"/>
      <c r="U1225" s="43"/>
    </row>
    <row r="1226" spans="9:21" s="1" customFormat="1" x14ac:dyDescent="0.25">
      <c r="I1226" s="43"/>
      <c r="J1226" s="44"/>
      <c r="K1226" s="44"/>
      <c r="L1226" s="44"/>
      <c r="M1226" s="44"/>
      <c r="T1226" s="47"/>
      <c r="U1226" s="43"/>
    </row>
    <row r="1227" spans="9:21" s="1" customFormat="1" x14ac:dyDescent="0.25">
      <c r="I1227" s="43"/>
      <c r="J1227" s="44"/>
      <c r="K1227" s="44"/>
      <c r="L1227" s="44"/>
      <c r="M1227" s="44"/>
      <c r="T1227" s="47"/>
      <c r="U1227" s="43"/>
    </row>
    <row r="1228" spans="9:21" s="1" customFormat="1" x14ac:dyDescent="0.25">
      <c r="I1228" s="43"/>
      <c r="J1228" s="44"/>
      <c r="K1228" s="44"/>
      <c r="L1228" s="44"/>
      <c r="M1228" s="44"/>
      <c r="T1228" s="47"/>
      <c r="U1228" s="43"/>
    </row>
    <row r="1229" spans="9:21" s="1" customFormat="1" x14ac:dyDescent="0.25">
      <c r="I1229" s="43"/>
      <c r="J1229" s="44"/>
      <c r="K1229" s="44"/>
      <c r="L1229" s="44"/>
      <c r="M1229" s="44"/>
      <c r="T1229" s="47"/>
      <c r="U1229" s="43"/>
    </row>
    <row r="1230" spans="9:21" s="1" customFormat="1" x14ac:dyDescent="0.25">
      <c r="I1230" s="43"/>
      <c r="J1230" s="44"/>
      <c r="K1230" s="44"/>
      <c r="L1230" s="44"/>
      <c r="M1230" s="44"/>
      <c r="T1230" s="47"/>
      <c r="U1230" s="43"/>
    </row>
    <row r="1231" spans="9:21" s="1" customFormat="1" x14ac:dyDescent="0.25">
      <c r="I1231" s="43"/>
      <c r="J1231" s="44"/>
      <c r="K1231" s="44"/>
      <c r="L1231" s="44"/>
      <c r="M1231" s="44"/>
      <c r="T1231" s="47"/>
      <c r="U1231" s="43"/>
    </row>
    <row r="1232" spans="9:21" s="1" customFormat="1" x14ac:dyDescent="0.25">
      <c r="I1232" s="43"/>
      <c r="J1232" s="44"/>
      <c r="K1232" s="44"/>
      <c r="L1232" s="44"/>
      <c r="M1232" s="44"/>
      <c r="T1232" s="47"/>
      <c r="U1232" s="43"/>
    </row>
    <row r="1233" spans="9:21" s="1" customFormat="1" x14ac:dyDescent="0.25">
      <c r="I1233" s="43"/>
      <c r="J1233" s="44"/>
      <c r="K1233" s="44"/>
      <c r="L1233" s="44"/>
      <c r="M1233" s="44"/>
      <c r="T1233" s="47"/>
      <c r="U1233" s="43"/>
    </row>
    <row r="1234" spans="9:21" s="1" customFormat="1" x14ac:dyDescent="0.25">
      <c r="I1234" s="43"/>
      <c r="J1234" s="44"/>
      <c r="K1234" s="44"/>
      <c r="L1234" s="44"/>
      <c r="M1234" s="44"/>
      <c r="T1234" s="47"/>
      <c r="U1234" s="43"/>
    </row>
    <row r="1235" spans="9:21" s="1" customFormat="1" x14ac:dyDescent="0.25">
      <c r="I1235" s="43"/>
      <c r="J1235" s="44"/>
      <c r="K1235" s="44"/>
      <c r="L1235" s="44"/>
      <c r="M1235" s="44"/>
      <c r="T1235" s="47"/>
      <c r="U1235" s="43"/>
    </row>
    <row r="1236" spans="9:21" s="1" customFormat="1" x14ac:dyDescent="0.25">
      <c r="I1236" s="43"/>
      <c r="J1236" s="44"/>
      <c r="K1236" s="44"/>
      <c r="L1236" s="44"/>
      <c r="M1236" s="44"/>
      <c r="T1236" s="47"/>
      <c r="U1236" s="43"/>
    </row>
    <row r="1237" spans="9:21" s="1" customFormat="1" x14ac:dyDescent="0.25">
      <c r="I1237" s="43"/>
      <c r="J1237" s="44"/>
      <c r="K1237" s="44"/>
      <c r="L1237" s="44"/>
      <c r="M1237" s="44"/>
      <c r="T1237" s="47"/>
      <c r="U1237" s="43"/>
    </row>
    <row r="1238" spans="9:21" s="1" customFormat="1" x14ac:dyDescent="0.25">
      <c r="I1238" s="43"/>
      <c r="J1238" s="44"/>
      <c r="K1238" s="44"/>
      <c r="L1238" s="44"/>
      <c r="M1238" s="44"/>
      <c r="T1238" s="47"/>
      <c r="U1238" s="43"/>
    </row>
    <row r="1239" spans="9:21" s="1" customFormat="1" x14ac:dyDescent="0.25">
      <c r="I1239" s="43"/>
      <c r="J1239" s="44"/>
      <c r="K1239" s="44"/>
      <c r="L1239" s="44"/>
      <c r="M1239" s="44"/>
      <c r="T1239" s="47"/>
      <c r="U1239" s="43"/>
    </row>
    <row r="1240" spans="9:21" s="1" customFormat="1" x14ac:dyDescent="0.25">
      <c r="I1240" s="43"/>
      <c r="J1240" s="44"/>
      <c r="K1240" s="44"/>
      <c r="L1240" s="44"/>
      <c r="M1240" s="44"/>
      <c r="T1240" s="47"/>
      <c r="U1240" s="43"/>
    </row>
    <row r="1241" spans="9:21" s="1" customFormat="1" x14ac:dyDescent="0.25">
      <c r="I1241" s="43"/>
      <c r="J1241" s="44"/>
      <c r="K1241" s="44"/>
      <c r="L1241" s="44"/>
      <c r="M1241" s="44"/>
      <c r="T1241" s="47"/>
      <c r="U1241" s="43"/>
    </row>
    <row r="1242" spans="9:21" s="1" customFormat="1" x14ac:dyDescent="0.25">
      <c r="I1242" s="43"/>
      <c r="J1242" s="44"/>
      <c r="K1242" s="44"/>
      <c r="L1242" s="44"/>
      <c r="M1242" s="44"/>
      <c r="T1242" s="47"/>
      <c r="U1242" s="43"/>
    </row>
    <row r="1243" spans="9:21" s="1" customFormat="1" x14ac:dyDescent="0.25">
      <c r="I1243" s="43"/>
      <c r="J1243" s="44"/>
      <c r="K1243" s="44"/>
      <c r="L1243" s="44"/>
      <c r="M1243" s="44"/>
      <c r="T1243" s="47"/>
      <c r="U1243" s="43"/>
    </row>
    <row r="1244" spans="9:21" s="1" customFormat="1" x14ac:dyDescent="0.25">
      <c r="I1244" s="43"/>
      <c r="J1244" s="44"/>
      <c r="K1244" s="44"/>
      <c r="L1244" s="44"/>
      <c r="M1244" s="44"/>
      <c r="T1244" s="47"/>
      <c r="U1244" s="43"/>
    </row>
    <row r="1245" spans="9:21" s="1" customFormat="1" x14ac:dyDescent="0.25">
      <c r="I1245" s="43"/>
      <c r="J1245" s="44"/>
      <c r="K1245" s="44"/>
      <c r="L1245" s="44"/>
      <c r="M1245" s="44"/>
      <c r="T1245" s="47"/>
      <c r="U1245" s="43"/>
    </row>
    <row r="1246" spans="9:21" s="1" customFormat="1" x14ac:dyDescent="0.25">
      <c r="I1246" s="43"/>
      <c r="J1246" s="44"/>
      <c r="K1246" s="44"/>
      <c r="L1246" s="44"/>
      <c r="M1246" s="44"/>
      <c r="T1246" s="47"/>
      <c r="U1246" s="43"/>
    </row>
    <row r="1247" spans="9:21" s="1" customFormat="1" x14ac:dyDescent="0.25">
      <c r="I1247" s="43"/>
      <c r="J1247" s="44"/>
      <c r="K1247" s="44"/>
      <c r="L1247" s="44"/>
      <c r="M1247" s="44"/>
      <c r="T1247" s="47"/>
      <c r="U1247" s="43"/>
    </row>
    <row r="1248" spans="9:21" s="1" customFormat="1" x14ac:dyDescent="0.25">
      <c r="I1248" s="43"/>
      <c r="J1248" s="44"/>
      <c r="K1248" s="44"/>
      <c r="L1248" s="44"/>
      <c r="M1248" s="44"/>
      <c r="T1248" s="47"/>
      <c r="U1248" s="43"/>
    </row>
    <row r="1249" spans="9:21" s="1" customFormat="1" x14ac:dyDescent="0.25">
      <c r="I1249" s="43"/>
      <c r="J1249" s="44"/>
      <c r="K1249" s="44"/>
      <c r="L1249" s="44"/>
      <c r="M1249" s="44"/>
      <c r="T1249" s="47"/>
      <c r="U1249" s="43"/>
    </row>
    <row r="1250" spans="9:21" s="1" customFormat="1" x14ac:dyDescent="0.25">
      <c r="I1250" s="43"/>
      <c r="J1250" s="44"/>
      <c r="K1250" s="44"/>
      <c r="L1250" s="44"/>
      <c r="M1250" s="44"/>
      <c r="T1250" s="47"/>
      <c r="U1250" s="43"/>
    </row>
    <row r="1251" spans="9:21" s="1" customFormat="1" x14ac:dyDescent="0.25">
      <c r="I1251" s="43"/>
      <c r="J1251" s="44"/>
      <c r="K1251" s="44"/>
      <c r="L1251" s="44"/>
      <c r="M1251" s="44"/>
      <c r="T1251" s="47"/>
      <c r="U1251" s="43"/>
    </row>
    <row r="1252" spans="9:21" s="1" customFormat="1" x14ac:dyDescent="0.25">
      <c r="I1252" s="43"/>
      <c r="J1252" s="44"/>
      <c r="K1252" s="44"/>
      <c r="L1252" s="44"/>
      <c r="M1252" s="44"/>
      <c r="T1252" s="47"/>
      <c r="U1252" s="43"/>
    </row>
    <row r="1253" spans="9:21" s="1" customFormat="1" x14ac:dyDescent="0.25">
      <c r="I1253" s="43"/>
      <c r="J1253" s="44"/>
      <c r="K1253" s="44"/>
      <c r="L1253" s="44"/>
      <c r="M1253" s="44"/>
      <c r="T1253" s="47"/>
      <c r="U1253" s="43"/>
    </row>
    <row r="1254" spans="9:21" s="1" customFormat="1" x14ac:dyDescent="0.25">
      <c r="I1254" s="43"/>
      <c r="J1254" s="44"/>
      <c r="K1254" s="44"/>
      <c r="L1254" s="44"/>
      <c r="M1254" s="44"/>
      <c r="T1254" s="47"/>
      <c r="U1254" s="43"/>
    </row>
    <row r="1255" spans="9:21" s="1" customFormat="1" x14ac:dyDescent="0.25">
      <c r="I1255" s="43"/>
      <c r="J1255" s="44"/>
      <c r="K1255" s="44"/>
      <c r="L1255" s="44"/>
      <c r="M1255" s="44"/>
      <c r="T1255" s="47"/>
      <c r="U1255" s="43"/>
    </row>
    <row r="1256" spans="9:21" s="1" customFormat="1" x14ac:dyDescent="0.25">
      <c r="I1256" s="43"/>
      <c r="J1256" s="44"/>
      <c r="K1256" s="44"/>
      <c r="L1256" s="44"/>
      <c r="M1256" s="44"/>
      <c r="T1256" s="47"/>
      <c r="U1256" s="43"/>
    </row>
    <row r="1257" spans="9:21" s="1" customFormat="1" x14ac:dyDescent="0.25">
      <c r="I1257" s="43"/>
      <c r="J1257" s="44"/>
      <c r="K1257" s="44"/>
      <c r="L1257" s="44"/>
      <c r="M1257" s="44"/>
      <c r="T1257" s="47"/>
      <c r="U1257" s="43"/>
    </row>
    <row r="1258" spans="9:21" s="1" customFormat="1" x14ac:dyDescent="0.25">
      <c r="I1258" s="43"/>
      <c r="J1258" s="44"/>
      <c r="K1258" s="44"/>
      <c r="L1258" s="44"/>
      <c r="M1258" s="44"/>
      <c r="T1258" s="47"/>
      <c r="U1258" s="43"/>
    </row>
    <row r="1259" spans="9:21" s="1" customFormat="1" x14ac:dyDescent="0.25">
      <c r="I1259" s="43"/>
      <c r="J1259" s="44"/>
      <c r="K1259" s="44"/>
      <c r="L1259" s="44"/>
      <c r="M1259" s="44"/>
      <c r="T1259" s="47"/>
      <c r="U1259" s="43"/>
    </row>
    <row r="1260" spans="9:21" s="1" customFormat="1" x14ac:dyDescent="0.25">
      <c r="I1260" s="43"/>
      <c r="J1260" s="44"/>
      <c r="K1260" s="44"/>
      <c r="L1260" s="44"/>
      <c r="M1260" s="44"/>
      <c r="T1260" s="47"/>
      <c r="U1260" s="43"/>
    </row>
    <row r="1261" spans="9:21" s="1" customFormat="1" x14ac:dyDescent="0.25">
      <c r="I1261" s="43"/>
      <c r="J1261" s="44"/>
      <c r="K1261" s="44"/>
      <c r="L1261" s="44"/>
      <c r="M1261" s="44"/>
      <c r="T1261" s="47"/>
      <c r="U1261" s="43"/>
    </row>
    <row r="1262" spans="9:21" s="1" customFormat="1" x14ac:dyDescent="0.25">
      <c r="I1262" s="43"/>
      <c r="J1262" s="44"/>
      <c r="K1262" s="44"/>
      <c r="L1262" s="44"/>
      <c r="M1262" s="44"/>
      <c r="T1262" s="47"/>
      <c r="U1262" s="43"/>
    </row>
    <row r="1263" spans="9:21" s="1" customFormat="1" x14ac:dyDescent="0.25">
      <c r="I1263" s="43"/>
      <c r="J1263" s="44"/>
      <c r="K1263" s="44"/>
      <c r="L1263" s="44"/>
      <c r="M1263" s="44"/>
      <c r="T1263" s="47"/>
      <c r="U1263" s="43"/>
    </row>
    <row r="1264" spans="9:21" s="1" customFormat="1" x14ac:dyDescent="0.25">
      <c r="I1264" s="43"/>
      <c r="J1264" s="44"/>
      <c r="K1264" s="44"/>
      <c r="L1264" s="44"/>
      <c r="M1264" s="44"/>
      <c r="T1264" s="47"/>
      <c r="U1264" s="43"/>
    </row>
    <row r="1265" spans="9:21" s="1" customFormat="1" x14ac:dyDescent="0.25">
      <c r="I1265" s="43"/>
      <c r="J1265" s="44"/>
      <c r="K1265" s="44"/>
      <c r="L1265" s="44"/>
      <c r="M1265" s="44"/>
      <c r="T1265" s="47"/>
      <c r="U1265" s="43"/>
    </row>
    <row r="1266" spans="9:21" s="1" customFormat="1" x14ac:dyDescent="0.25">
      <c r="I1266" s="43"/>
      <c r="J1266" s="44"/>
      <c r="K1266" s="44"/>
      <c r="L1266" s="44"/>
      <c r="M1266" s="44"/>
      <c r="T1266" s="47"/>
      <c r="U1266" s="43"/>
    </row>
    <row r="1267" spans="9:21" s="1" customFormat="1" x14ac:dyDescent="0.25">
      <c r="I1267" s="43"/>
      <c r="J1267" s="44"/>
      <c r="K1267" s="44"/>
      <c r="L1267" s="44"/>
      <c r="M1267" s="44"/>
      <c r="T1267" s="47"/>
      <c r="U1267" s="43"/>
    </row>
    <row r="1268" spans="9:21" s="1" customFormat="1" x14ac:dyDescent="0.25">
      <c r="I1268" s="43"/>
      <c r="J1268" s="44"/>
      <c r="K1268" s="44"/>
      <c r="L1268" s="44"/>
      <c r="M1268" s="44"/>
      <c r="T1268" s="47"/>
      <c r="U1268" s="43"/>
    </row>
    <row r="1269" spans="9:21" s="1" customFormat="1" x14ac:dyDescent="0.25">
      <c r="I1269" s="43"/>
      <c r="J1269" s="44"/>
      <c r="K1269" s="44"/>
      <c r="L1269" s="44"/>
      <c r="M1269" s="44"/>
      <c r="T1269" s="47"/>
      <c r="U1269" s="43"/>
    </row>
    <row r="1270" spans="9:21" s="1" customFormat="1" x14ac:dyDescent="0.25">
      <c r="I1270" s="43"/>
      <c r="J1270" s="44"/>
      <c r="K1270" s="44"/>
      <c r="L1270" s="44"/>
      <c r="M1270" s="44"/>
      <c r="T1270" s="47"/>
      <c r="U1270" s="43"/>
    </row>
    <row r="1271" spans="9:21" s="1" customFormat="1" x14ac:dyDescent="0.25">
      <c r="I1271" s="43"/>
      <c r="J1271" s="44"/>
      <c r="K1271" s="44"/>
      <c r="L1271" s="44"/>
      <c r="M1271" s="44"/>
      <c r="T1271" s="47"/>
      <c r="U1271" s="43"/>
    </row>
    <row r="1272" spans="9:21" s="1" customFormat="1" x14ac:dyDescent="0.25">
      <c r="I1272" s="43"/>
      <c r="J1272" s="44"/>
      <c r="K1272" s="44"/>
      <c r="L1272" s="44"/>
      <c r="M1272" s="44"/>
      <c r="T1272" s="47"/>
      <c r="U1272" s="43"/>
    </row>
    <row r="1273" spans="9:21" s="1" customFormat="1" x14ac:dyDescent="0.25">
      <c r="I1273" s="43"/>
      <c r="J1273" s="44"/>
      <c r="K1273" s="44"/>
      <c r="L1273" s="44"/>
      <c r="M1273" s="44"/>
      <c r="T1273" s="47"/>
      <c r="U1273" s="43"/>
    </row>
    <row r="1274" spans="9:21" s="1" customFormat="1" x14ac:dyDescent="0.25">
      <c r="I1274" s="43"/>
      <c r="J1274" s="44"/>
      <c r="K1274" s="44"/>
      <c r="L1274" s="44"/>
      <c r="M1274" s="44"/>
      <c r="T1274" s="47"/>
      <c r="U1274" s="43"/>
    </row>
    <row r="1275" spans="9:21" s="1" customFormat="1" x14ac:dyDescent="0.25">
      <c r="I1275" s="43"/>
      <c r="J1275" s="44"/>
      <c r="K1275" s="44"/>
      <c r="L1275" s="44"/>
      <c r="M1275" s="44"/>
      <c r="T1275" s="47"/>
      <c r="U1275" s="43"/>
    </row>
    <row r="1276" spans="9:21" s="1" customFormat="1" x14ac:dyDescent="0.25">
      <c r="I1276" s="43"/>
      <c r="J1276" s="44"/>
      <c r="K1276" s="44"/>
      <c r="L1276" s="44"/>
      <c r="M1276" s="44"/>
      <c r="T1276" s="47"/>
      <c r="U1276" s="43"/>
    </row>
    <row r="1277" spans="9:21" s="1" customFormat="1" x14ac:dyDescent="0.25">
      <c r="I1277" s="43"/>
      <c r="J1277" s="44"/>
      <c r="K1277" s="44"/>
      <c r="L1277" s="44"/>
      <c r="M1277" s="44"/>
      <c r="T1277" s="47"/>
      <c r="U1277" s="43"/>
    </row>
    <row r="1278" spans="9:21" s="1" customFormat="1" x14ac:dyDescent="0.25">
      <c r="I1278" s="43"/>
      <c r="J1278" s="44"/>
      <c r="K1278" s="44"/>
      <c r="L1278" s="44"/>
      <c r="M1278" s="44"/>
      <c r="T1278" s="47"/>
      <c r="U1278" s="43"/>
    </row>
    <row r="1279" spans="9:21" s="1" customFormat="1" x14ac:dyDescent="0.25">
      <c r="I1279" s="43"/>
      <c r="J1279" s="44"/>
      <c r="K1279" s="44"/>
      <c r="L1279" s="44"/>
      <c r="M1279" s="44"/>
      <c r="T1279" s="47"/>
      <c r="U1279" s="43"/>
    </row>
    <row r="1280" spans="9:21" s="1" customFormat="1" x14ac:dyDescent="0.25">
      <c r="I1280" s="43"/>
      <c r="J1280" s="44"/>
      <c r="K1280" s="44"/>
      <c r="L1280" s="44"/>
      <c r="M1280" s="44"/>
      <c r="T1280" s="47"/>
      <c r="U1280" s="43"/>
    </row>
    <row r="1281" spans="9:21" s="1" customFormat="1" x14ac:dyDescent="0.25">
      <c r="I1281" s="43"/>
      <c r="J1281" s="44"/>
      <c r="K1281" s="44"/>
      <c r="L1281" s="44"/>
      <c r="M1281" s="44"/>
      <c r="T1281" s="47"/>
      <c r="U1281" s="43"/>
    </row>
    <row r="1282" spans="9:21" s="1" customFormat="1" x14ac:dyDescent="0.25">
      <c r="I1282" s="43"/>
      <c r="J1282" s="44"/>
      <c r="K1282" s="44"/>
      <c r="L1282" s="44"/>
      <c r="M1282" s="44"/>
      <c r="T1282" s="47"/>
      <c r="U1282" s="43"/>
    </row>
    <row r="1283" spans="9:21" s="1" customFormat="1" x14ac:dyDescent="0.25">
      <c r="I1283" s="43"/>
      <c r="J1283" s="44"/>
      <c r="K1283" s="44"/>
      <c r="L1283" s="44"/>
      <c r="M1283" s="44"/>
      <c r="T1283" s="47"/>
      <c r="U1283" s="43"/>
    </row>
    <row r="1284" spans="9:21" s="1" customFormat="1" x14ac:dyDescent="0.25">
      <c r="I1284" s="43"/>
      <c r="J1284" s="44"/>
      <c r="K1284" s="44"/>
      <c r="L1284" s="44"/>
      <c r="M1284" s="44"/>
      <c r="T1284" s="47"/>
      <c r="U1284" s="43"/>
    </row>
    <row r="1285" spans="9:21" s="1" customFormat="1" x14ac:dyDescent="0.25">
      <c r="I1285" s="43"/>
      <c r="J1285" s="44"/>
      <c r="K1285" s="44"/>
      <c r="L1285" s="44"/>
      <c r="M1285" s="44"/>
      <c r="T1285" s="47"/>
      <c r="U1285" s="43"/>
    </row>
    <row r="1286" spans="9:21" s="1" customFormat="1" x14ac:dyDescent="0.25">
      <c r="I1286" s="43"/>
      <c r="J1286" s="44"/>
      <c r="K1286" s="44"/>
      <c r="L1286" s="44"/>
      <c r="M1286" s="44"/>
      <c r="T1286" s="47"/>
      <c r="U1286" s="43"/>
    </row>
    <row r="1287" spans="9:21" s="1" customFormat="1" x14ac:dyDescent="0.25">
      <c r="I1287" s="43"/>
      <c r="J1287" s="44"/>
      <c r="K1287" s="44"/>
      <c r="L1287" s="44"/>
      <c r="M1287" s="44"/>
      <c r="T1287" s="47"/>
      <c r="U1287" s="43"/>
    </row>
    <row r="1288" spans="9:21" s="1" customFormat="1" x14ac:dyDescent="0.25">
      <c r="I1288" s="43"/>
      <c r="J1288" s="44"/>
      <c r="K1288" s="44"/>
      <c r="L1288" s="44"/>
      <c r="M1288" s="44"/>
      <c r="T1288" s="47"/>
      <c r="U1288" s="43"/>
    </row>
    <row r="1289" spans="9:21" s="1" customFormat="1" x14ac:dyDescent="0.25">
      <c r="I1289" s="43"/>
      <c r="J1289" s="44"/>
      <c r="K1289" s="44"/>
      <c r="L1289" s="44"/>
      <c r="M1289" s="44"/>
      <c r="T1289" s="47"/>
      <c r="U1289" s="43"/>
    </row>
    <row r="1290" spans="9:21" s="1" customFormat="1" x14ac:dyDescent="0.25">
      <c r="I1290" s="43"/>
      <c r="J1290" s="44"/>
      <c r="K1290" s="44"/>
      <c r="L1290" s="44"/>
      <c r="M1290" s="44"/>
      <c r="T1290" s="47"/>
      <c r="U1290" s="43"/>
    </row>
    <row r="1291" spans="9:21" s="1" customFormat="1" x14ac:dyDescent="0.25">
      <c r="I1291" s="43"/>
      <c r="J1291" s="44"/>
      <c r="K1291" s="44"/>
      <c r="L1291" s="44"/>
      <c r="M1291" s="44"/>
      <c r="T1291" s="47"/>
      <c r="U1291" s="43"/>
    </row>
    <row r="1292" spans="9:21" s="1" customFormat="1" x14ac:dyDescent="0.25">
      <c r="I1292" s="43"/>
      <c r="J1292" s="44"/>
      <c r="K1292" s="44"/>
      <c r="L1292" s="44"/>
      <c r="M1292" s="44"/>
      <c r="T1292" s="47"/>
      <c r="U1292" s="43"/>
    </row>
    <row r="1293" spans="9:21" s="1" customFormat="1" x14ac:dyDescent="0.25">
      <c r="I1293" s="43"/>
      <c r="J1293" s="44"/>
      <c r="K1293" s="44"/>
      <c r="L1293" s="44"/>
      <c r="M1293" s="44"/>
      <c r="T1293" s="47"/>
      <c r="U1293" s="43"/>
    </row>
    <row r="1294" spans="9:21" s="1" customFormat="1" x14ac:dyDescent="0.25">
      <c r="I1294" s="43"/>
      <c r="J1294" s="44"/>
      <c r="K1294" s="44"/>
      <c r="L1294" s="44"/>
      <c r="M1294" s="44"/>
      <c r="T1294" s="47"/>
      <c r="U1294" s="43"/>
    </row>
    <row r="1295" spans="9:21" s="1" customFormat="1" x14ac:dyDescent="0.25">
      <c r="I1295" s="43"/>
      <c r="J1295" s="44"/>
      <c r="K1295" s="44"/>
      <c r="L1295" s="44"/>
      <c r="M1295" s="44"/>
      <c r="T1295" s="47"/>
      <c r="U1295" s="43"/>
    </row>
    <row r="1296" spans="9:21" s="1" customFormat="1" x14ac:dyDescent="0.25">
      <c r="I1296" s="43"/>
      <c r="J1296" s="44"/>
      <c r="K1296" s="44"/>
      <c r="L1296" s="44"/>
      <c r="M1296" s="44"/>
      <c r="T1296" s="47"/>
      <c r="U1296" s="43"/>
    </row>
    <row r="1297" spans="9:21" s="1" customFormat="1" x14ac:dyDescent="0.25">
      <c r="I1297" s="43"/>
      <c r="J1297" s="44"/>
      <c r="K1297" s="44"/>
      <c r="L1297" s="44"/>
      <c r="M1297" s="44"/>
      <c r="T1297" s="47"/>
      <c r="U1297" s="43"/>
    </row>
    <row r="1298" spans="9:21" s="1" customFormat="1" x14ac:dyDescent="0.25">
      <c r="I1298" s="43"/>
      <c r="J1298" s="44"/>
      <c r="K1298" s="44"/>
      <c r="L1298" s="44"/>
      <c r="M1298" s="44"/>
      <c r="T1298" s="47"/>
      <c r="U1298" s="43"/>
    </row>
    <row r="1299" spans="9:21" s="1" customFormat="1" x14ac:dyDescent="0.25">
      <c r="I1299" s="43"/>
      <c r="J1299" s="44"/>
      <c r="K1299" s="44"/>
      <c r="L1299" s="44"/>
      <c r="M1299" s="44"/>
      <c r="T1299" s="47"/>
      <c r="U1299" s="43"/>
    </row>
    <row r="1300" spans="9:21" s="1" customFormat="1" x14ac:dyDescent="0.25">
      <c r="I1300" s="43"/>
      <c r="J1300" s="44"/>
      <c r="K1300" s="44"/>
      <c r="L1300" s="44"/>
      <c r="M1300" s="44"/>
      <c r="T1300" s="47"/>
      <c r="U1300" s="43"/>
    </row>
    <row r="1301" spans="9:21" s="1" customFormat="1" x14ac:dyDescent="0.25">
      <c r="I1301" s="43"/>
      <c r="J1301" s="44"/>
      <c r="K1301" s="44"/>
      <c r="L1301" s="44"/>
      <c r="M1301" s="44"/>
      <c r="T1301" s="47"/>
      <c r="U1301" s="43"/>
    </row>
    <row r="1302" spans="9:21" s="1" customFormat="1" x14ac:dyDescent="0.25">
      <c r="I1302" s="43"/>
      <c r="J1302" s="44"/>
      <c r="K1302" s="44"/>
      <c r="L1302" s="44"/>
      <c r="M1302" s="44"/>
      <c r="T1302" s="47"/>
      <c r="U1302" s="43"/>
    </row>
    <row r="1303" spans="9:21" s="1" customFormat="1" x14ac:dyDescent="0.25">
      <c r="I1303" s="43"/>
      <c r="J1303" s="44"/>
      <c r="K1303" s="44"/>
      <c r="L1303" s="44"/>
      <c r="M1303" s="44"/>
      <c r="T1303" s="47"/>
      <c r="U1303" s="43"/>
    </row>
    <row r="1304" spans="9:21" s="1" customFormat="1" x14ac:dyDescent="0.25">
      <c r="I1304" s="43"/>
      <c r="J1304" s="44"/>
      <c r="K1304" s="44"/>
      <c r="L1304" s="44"/>
      <c r="M1304" s="44"/>
      <c r="T1304" s="47"/>
      <c r="U1304" s="43"/>
    </row>
    <row r="1305" spans="9:21" s="1" customFormat="1" x14ac:dyDescent="0.25">
      <c r="I1305" s="43"/>
      <c r="J1305" s="44"/>
      <c r="K1305" s="44"/>
      <c r="L1305" s="44"/>
      <c r="M1305" s="44"/>
      <c r="T1305" s="47"/>
      <c r="U1305" s="43"/>
    </row>
    <row r="1306" spans="9:21" s="1" customFormat="1" x14ac:dyDescent="0.25">
      <c r="I1306" s="43"/>
      <c r="J1306" s="44"/>
      <c r="K1306" s="44"/>
      <c r="L1306" s="44"/>
      <c r="M1306" s="44"/>
      <c r="T1306" s="47"/>
      <c r="U1306" s="43"/>
    </row>
    <row r="1307" spans="9:21" s="1" customFormat="1" x14ac:dyDescent="0.25">
      <c r="I1307" s="43"/>
      <c r="J1307" s="44"/>
      <c r="K1307" s="44"/>
      <c r="L1307" s="44"/>
      <c r="M1307" s="44"/>
      <c r="T1307" s="47"/>
      <c r="U1307" s="43"/>
    </row>
    <row r="1308" spans="9:21" s="1" customFormat="1" x14ac:dyDescent="0.25">
      <c r="I1308" s="43"/>
      <c r="J1308" s="44"/>
      <c r="K1308" s="44"/>
      <c r="L1308" s="44"/>
      <c r="M1308" s="44"/>
      <c r="T1308" s="47"/>
      <c r="U1308" s="43"/>
    </row>
    <row r="1309" spans="9:21" s="1" customFormat="1" x14ac:dyDescent="0.25">
      <c r="I1309" s="43"/>
      <c r="J1309" s="44"/>
      <c r="K1309" s="44"/>
      <c r="L1309" s="44"/>
      <c r="M1309" s="44"/>
      <c r="T1309" s="47"/>
      <c r="U1309" s="43"/>
    </row>
    <row r="1310" spans="9:21" s="1" customFormat="1" x14ac:dyDescent="0.25">
      <c r="I1310" s="43"/>
      <c r="J1310" s="44"/>
      <c r="K1310" s="44"/>
      <c r="L1310" s="44"/>
      <c r="M1310" s="44"/>
      <c r="T1310" s="47"/>
      <c r="U1310" s="43"/>
    </row>
    <row r="1311" spans="9:21" s="1" customFormat="1" x14ac:dyDescent="0.25">
      <c r="I1311" s="43"/>
      <c r="J1311" s="44"/>
      <c r="K1311" s="44"/>
      <c r="L1311" s="44"/>
      <c r="M1311" s="44"/>
      <c r="T1311" s="47"/>
      <c r="U1311" s="43"/>
    </row>
    <row r="1312" spans="9:21" s="1" customFormat="1" x14ac:dyDescent="0.25">
      <c r="I1312" s="43"/>
      <c r="J1312" s="44"/>
      <c r="K1312" s="44"/>
      <c r="L1312" s="44"/>
      <c r="M1312" s="44"/>
      <c r="T1312" s="47"/>
      <c r="U1312" s="43"/>
    </row>
    <row r="1313" spans="9:21" s="1" customFormat="1" x14ac:dyDescent="0.25">
      <c r="I1313" s="43"/>
      <c r="J1313" s="44"/>
      <c r="K1313" s="44"/>
      <c r="L1313" s="44"/>
      <c r="M1313" s="44"/>
      <c r="T1313" s="47"/>
      <c r="U1313" s="43"/>
    </row>
    <row r="1314" spans="9:21" s="1" customFormat="1" x14ac:dyDescent="0.25">
      <c r="I1314" s="43"/>
      <c r="J1314" s="44"/>
      <c r="K1314" s="44"/>
      <c r="L1314" s="44"/>
      <c r="M1314" s="44"/>
      <c r="T1314" s="47"/>
      <c r="U1314" s="43"/>
    </row>
    <row r="1315" spans="9:21" s="1" customFormat="1" x14ac:dyDescent="0.25">
      <c r="I1315" s="43"/>
      <c r="J1315" s="44"/>
      <c r="K1315" s="44"/>
      <c r="L1315" s="44"/>
      <c r="M1315" s="44"/>
      <c r="T1315" s="47"/>
      <c r="U1315" s="43"/>
    </row>
    <row r="1316" spans="9:21" s="1" customFormat="1" x14ac:dyDescent="0.25">
      <c r="I1316" s="43"/>
      <c r="J1316" s="44"/>
      <c r="K1316" s="44"/>
      <c r="L1316" s="44"/>
      <c r="M1316" s="44"/>
      <c r="T1316" s="47"/>
      <c r="U1316" s="43"/>
    </row>
    <row r="1317" spans="9:21" s="1" customFormat="1" x14ac:dyDescent="0.25">
      <c r="I1317" s="43"/>
      <c r="J1317" s="44"/>
      <c r="K1317" s="44"/>
      <c r="L1317" s="44"/>
      <c r="M1317" s="44"/>
      <c r="T1317" s="47"/>
      <c r="U1317" s="43"/>
    </row>
    <row r="1318" spans="9:21" s="1" customFormat="1" x14ac:dyDescent="0.25">
      <c r="I1318" s="43"/>
      <c r="J1318" s="44"/>
      <c r="K1318" s="44"/>
      <c r="L1318" s="44"/>
      <c r="M1318" s="44"/>
      <c r="T1318" s="47"/>
      <c r="U1318" s="43"/>
    </row>
    <row r="1319" spans="9:21" s="1" customFormat="1" x14ac:dyDescent="0.25">
      <c r="I1319" s="43"/>
      <c r="J1319" s="44"/>
      <c r="K1319" s="44"/>
      <c r="L1319" s="44"/>
      <c r="M1319" s="44"/>
      <c r="T1319" s="47"/>
      <c r="U1319" s="43"/>
    </row>
    <row r="1320" spans="9:21" s="1" customFormat="1" x14ac:dyDescent="0.25">
      <c r="I1320" s="43"/>
      <c r="J1320" s="44"/>
      <c r="K1320" s="44"/>
      <c r="L1320" s="44"/>
      <c r="M1320" s="44"/>
      <c r="T1320" s="47"/>
      <c r="U1320" s="43"/>
    </row>
    <row r="1321" spans="9:21" s="1" customFormat="1" x14ac:dyDescent="0.25">
      <c r="I1321" s="43"/>
      <c r="J1321" s="44"/>
      <c r="K1321" s="44"/>
      <c r="L1321" s="44"/>
      <c r="M1321" s="44"/>
      <c r="T1321" s="47"/>
      <c r="U1321" s="43"/>
    </row>
    <row r="1322" spans="9:21" s="1" customFormat="1" x14ac:dyDescent="0.25">
      <c r="I1322" s="43"/>
      <c r="J1322" s="44"/>
      <c r="K1322" s="44"/>
      <c r="L1322" s="44"/>
      <c r="M1322" s="44"/>
      <c r="T1322" s="47"/>
      <c r="U1322" s="43"/>
    </row>
    <row r="1323" spans="9:21" s="1" customFormat="1" x14ac:dyDescent="0.25">
      <c r="I1323" s="43"/>
      <c r="J1323" s="44"/>
      <c r="K1323" s="44"/>
      <c r="L1323" s="44"/>
      <c r="M1323" s="44"/>
      <c r="T1323" s="47"/>
      <c r="U1323" s="43"/>
    </row>
    <row r="1324" spans="9:21" s="1" customFormat="1" x14ac:dyDescent="0.25">
      <c r="I1324" s="43"/>
      <c r="J1324" s="44"/>
      <c r="K1324" s="44"/>
      <c r="L1324" s="44"/>
      <c r="M1324" s="44"/>
      <c r="T1324" s="47"/>
      <c r="U1324" s="43"/>
    </row>
    <row r="1325" spans="9:21" s="1" customFormat="1" x14ac:dyDescent="0.25">
      <c r="I1325" s="43"/>
      <c r="J1325" s="44"/>
      <c r="K1325" s="44"/>
      <c r="L1325" s="44"/>
      <c r="M1325" s="44"/>
      <c r="T1325" s="47"/>
      <c r="U1325" s="43"/>
    </row>
    <row r="1326" spans="9:21" s="1" customFormat="1" x14ac:dyDescent="0.25">
      <c r="I1326" s="43"/>
      <c r="J1326" s="44"/>
      <c r="K1326" s="44"/>
      <c r="L1326" s="44"/>
      <c r="M1326" s="44"/>
      <c r="T1326" s="47"/>
      <c r="U1326" s="43"/>
    </row>
    <row r="1327" spans="9:21" s="1" customFormat="1" x14ac:dyDescent="0.25">
      <c r="I1327" s="43"/>
      <c r="J1327" s="44"/>
      <c r="K1327" s="44"/>
      <c r="L1327" s="44"/>
      <c r="M1327" s="44"/>
      <c r="T1327" s="47"/>
      <c r="U1327" s="43"/>
    </row>
    <row r="1328" spans="9:21" s="1" customFormat="1" x14ac:dyDescent="0.25">
      <c r="I1328" s="43"/>
      <c r="J1328" s="44"/>
      <c r="K1328" s="44"/>
      <c r="L1328" s="44"/>
      <c r="M1328" s="44"/>
      <c r="T1328" s="47"/>
      <c r="U1328" s="43"/>
    </row>
    <row r="1329" spans="9:21" s="1" customFormat="1" x14ac:dyDescent="0.25">
      <c r="I1329" s="43"/>
      <c r="J1329" s="44"/>
      <c r="K1329" s="44"/>
      <c r="L1329" s="44"/>
      <c r="M1329" s="44"/>
      <c r="T1329" s="47"/>
      <c r="U1329" s="43"/>
    </row>
    <row r="1330" spans="9:21" s="1" customFormat="1" x14ac:dyDescent="0.25">
      <c r="I1330" s="43"/>
      <c r="J1330" s="44"/>
      <c r="K1330" s="44"/>
      <c r="L1330" s="44"/>
      <c r="M1330" s="44"/>
      <c r="T1330" s="47"/>
      <c r="U1330" s="43"/>
    </row>
    <row r="1331" spans="9:21" s="1" customFormat="1" x14ac:dyDescent="0.25">
      <c r="I1331" s="43"/>
      <c r="J1331" s="44"/>
      <c r="K1331" s="44"/>
      <c r="L1331" s="44"/>
      <c r="M1331" s="44"/>
      <c r="T1331" s="47"/>
      <c r="U1331" s="43"/>
    </row>
    <row r="1332" spans="9:21" s="1" customFormat="1" x14ac:dyDescent="0.25">
      <c r="I1332" s="43"/>
      <c r="J1332" s="44"/>
      <c r="K1332" s="44"/>
      <c r="L1332" s="44"/>
      <c r="M1332" s="44"/>
      <c r="T1332" s="47"/>
      <c r="U1332" s="43"/>
    </row>
    <row r="1333" spans="9:21" s="1" customFormat="1" x14ac:dyDescent="0.25">
      <c r="I1333" s="43"/>
      <c r="J1333" s="44"/>
      <c r="K1333" s="44"/>
      <c r="L1333" s="44"/>
      <c r="M1333" s="44"/>
      <c r="T1333" s="47"/>
      <c r="U1333" s="43"/>
    </row>
    <row r="1334" spans="9:21" s="1" customFormat="1" x14ac:dyDescent="0.25">
      <c r="I1334" s="43"/>
      <c r="J1334" s="44"/>
      <c r="K1334" s="44"/>
      <c r="L1334" s="44"/>
      <c r="M1334" s="44"/>
      <c r="T1334" s="47"/>
      <c r="U1334" s="43"/>
    </row>
    <row r="1335" spans="9:21" s="1" customFormat="1" x14ac:dyDescent="0.25">
      <c r="I1335" s="43"/>
      <c r="J1335" s="44"/>
      <c r="K1335" s="44"/>
      <c r="L1335" s="44"/>
      <c r="M1335" s="44"/>
      <c r="T1335" s="47"/>
      <c r="U1335" s="43"/>
    </row>
    <row r="1336" spans="9:21" s="1" customFormat="1" x14ac:dyDescent="0.25">
      <c r="I1336" s="43"/>
      <c r="J1336" s="44"/>
      <c r="K1336" s="44"/>
      <c r="L1336" s="44"/>
      <c r="M1336" s="44"/>
      <c r="T1336" s="47"/>
      <c r="U1336" s="43"/>
    </row>
    <row r="1337" spans="9:21" s="1" customFormat="1" x14ac:dyDescent="0.25">
      <c r="I1337" s="43"/>
      <c r="J1337" s="44"/>
      <c r="K1337" s="44"/>
      <c r="L1337" s="44"/>
      <c r="M1337" s="44"/>
      <c r="T1337" s="47"/>
      <c r="U1337" s="43"/>
    </row>
    <row r="1338" spans="9:21" s="1" customFormat="1" x14ac:dyDescent="0.25">
      <c r="I1338" s="43"/>
      <c r="J1338" s="44"/>
      <c r="K1338" s="44"/>
      <c r="L1338" s="44"/>
      <c r="M1338" s="44"/>
      <c r="T1338" s="47"/>
      <c r="U1338" s="43"/>
    </row>
    <row r="1339" spans="9:21" s="1" customFormat="1" x14ac:dyDescent="0.25">
      <c r="I1339" s="43"/>
      <c r="J1339" s="44"/>
      <c r="K1339" s="44"/>
      <c r="L1339" s="44"/>
      <c r="M1339" s="44"/>
      <c r="T1339" s="47"/>
      <c r="U1339" s="43"/>
    </row>
    <row r="1340" spans="9:21" s="1" customFormat="1" x14ac:dyDescent="0.25">
      <c r="I1340" s="43"/>
      <c r="J1340" s="44"/>
      <c r="K1340" s="44"/>
      <c r="L1340" s="44"/>
      <c r="M1340" s="44"/>
      <c r="T1340" s="47"/>
      <c r="U1340" s="43"/>
    </row>
    <row r="1341" spans="9:21" s="1" customFormat="1" x14ac:dyDescent="0.25">
      <c r="I1341" s="43"/>
      <c r="J1341" s="44"/>
      <c r="K1341" s="44"/>
      <c r="L1341" s="44"/>
      <c r="M1341" s="44"/>
      <c r="T1341" s="47"/>
      <c r="U1341" s="43"/>
    </row>
    <row r="1342" spans="9:21" s="1" customFormat="1" x14ac:dyDescent="0.25">
      <c r="I1342" s="43"/>
      <c r="J1342" s="44"/>
      <c r="K1342" s="44"/>
      <c r="L1342" s="44"/>
      <c r="M1342" s="44"/>
      <c r="T1342" s="47"/>
      <c r="U1342" s="43"/>
    </row>
    <row r="1343" spans="9:21" s="1" customFormat="1" x14ac:dyDescent="0.25">
      <c r="I1343" s="43"/>
      <c r="J1343" s="44"/>
      <c r="K1343" s="44"/>
      <c r="L1343" s="44"/>
      <c r="M1343" s="44"/>
      <c r="T1343" s="47"/>
      <c r="U1343" s="43"/>
    </row>
    <row r="1344" spans="9:21" s="1" customFormat="1" x14ac:dyDescent="0.25">
      <c r="I1344" s="43"/>
      <c r="J1344" s="44"/>
      <c r="K1344" s="44"/>
      <c r="L1344" s="44"/>
      <c r="M1344" s="44"/>
      <c r="T1344" s="47"/>
      <c r="U1344" s="43"/>
    </row>
    <row r="1345" spans="9:21" s="1" customFormat="1" x14ac:dyDescent="0.25">
      <c r="I1345" s="43"/>
      <c r="J1345" s="44"/>
      <c r="K1345" s="44"/>
      <c r="L1345" s="44"/>
      <c r="M1345" s="44"/>
      <c r="T1345" s="47"/>
      <c r="U1345" s="43"/>
    </row>
    <row r="1346" spans="9:21" s="1" customFormat="1" x14ac:dyDescent="0.25">
      <c r="I1346" s="43"/>
      <c r="J1346" s="44"/>
      <c r="K1346" s="44"/>
      <c r="L1346" s="44"/>
      <c r="M1346" s="44"/>
      <c r="T1346" s="47"/>
      <c r="U1346" s="43"/>
    </row>
    <row r="1347" spans="9:21" x14ac:dyDescent="0.25">
      <c r="I1347" s="43"/>
      <c r="J1347" s="44"/>
      <c r="K1347" s="44"/>
      <c r="L1347" s="44"/>
    </row>
    <row r="1348" spans="9:21" x14ac:dyDescent="0.25">
      <c r="I1348" s="43"/>
      <c r="J1348" s="44"/>
      <c r="K1348" s="44"/>
      <c r="L1348" s="44"/>
    </row>
    <row r="1349" spans="9:21" x14ac:dyDescent="0.25">
      <c r="I1349" s="43"/>
      <c r="J1349" s="44"/>
      <c r="K1349" s="44"/>
      <c r="L1349" s="44"/>
    </row>
    <row r="1350" spans="9:21" x14ac:dyDescent="0.25">
      <c r="I1350" s="43"/>
      <c r="J1350" s="44"/>
      <c r="K1350" s="44"/>
      <c r="L1350" s="44"/>
    </row>
    <row r="1351" spans="9:21" x14ac:dyDescent="0.25">
      <c r="I1351" s="43"/>
      <c r="J1351" s="44"/>
      <c r="K1351" s="44"/>
      <c r="L1351" s="44"/>
    </row>
    <row r="1352" spans="9:21" x14ac:dyDescent="0.25">
      <c r="I1352" s="43"/>
      <c r="J1352" s="44"/>
      <c r="K1352" s="44"/>
      <c r="L1352" s="44"/>
    </row>
    <row r="1353" spans="9:21" x14ac:dyDescent="0.25">
      <c r="I1353" s="43"/>
      <c r="J1353" s="44"/>
      <c r="K1353" s="44"/>
      <c r="L1353" s="44"/>
    </row>
    <row r="1354" spans="9:21" x14ac:dyDescent="0.25">
      <c r="I1354" s="43"/>
      <c r="J1354" s="44"/>
      <c r="K1354" s="44"/>
      <c r="L1354" s="44"/>
    </row>
    <row r="1355" spans="9:21" x14ac:dyDescent="0.25">
      <c r="I1355" s="43"/>
      <c r="J1355" s="44"/>
      <c r="K1355" s="44"/>
      <c r="L1355" s="44"/>
    </row>
    <row r="1356" spans="9:21" x14ac:dyDescent="0.25">
      <c r="I1356" s="43"/>
      <c r="J1356" s="44"/>
      <c r="K1356" s="44"/>
      <c r="L1356" s="44"/>
    </row>
    <row r="1357" spans="9:21" x14ac:dyDescent="0.25">
      <c r="I1357" s="43"/>
      <c r="J1357" s="44"/>
      <c r="K1357" s="44"/>
      <c r="L1357" s="44"/>
    </row>
    <row r="1358" spans="9:21" x14ac:dyDescent="0.25">
      <c r="I1358" s="43"/>
      <c r="J1358" s="44"/>
      <c r="K1358" s="44"/>
      <c r="L1358" s="44"/>
    </row>
    <row r="1359" spans="9:21" x14ac:dyDescent="0.25">
      <c r="I1359" s="43"/>
      <c r="J1359" s="44"/>
      <c r="K1359" s="44"/>
      <c r="L1359" s="44"/>
    </row>
    <row r="1360" spans="9:21" x14ac:dyDescent="0.25">
      <c r="I1360" s="43"/>
      <c r="J1360" s="44"/>
      <c r="K1360" s="44"/>
      <c r="L1360" s="44"/>
    </row>
    <row r="1361" spans="9:12" x14ac:dyDescent="0.25">
      <c r="I1361" s="43"/>
      <c r="J1361" s="44"/>
      <c r="K1361" s="44"/>
      <c r="L1361" s="44"/>
    </row>
    <row r="1362" spans="9:12" x14ac:dyDescent="0.25">
      <c r="I1362" s="43"/>
      <c r="J1362" s="44"/>
      <c r="K1362" s="44"/>
      <c r="L1362" s="44"/>
    </row>
    <row r="1363" spans="9:12" x14ac:dyDescent="0.25">
      <c r="I1363" s="43"/>
      <c r="J1363" s="44"/>
      <c r="K1363" s="44"/>
      <c r="L1363" s="44"/>
    </row>
    <row r="1364" spans="9:12" x14ac:dyDescent="0.25">
      <c r="I1364" s="43"/>
      <c r="J1364" s="44"/>
      <c r="K1364" s="44"/>
      <c r="L1364" s="44"/>
    </row>
    <row r="1365" spans="9:12" x14ac:dyDescent="0.25">
      <c r="I1365" s="43"/>
      <c r="J1365" s="44"/>
      <c r="K1365" s="44"/>
      <c r="L1365" s="44"/>
    </row>
    <row r="1366" spans="9:12" x14ac:dyDescent="0.25">
      <c r="I1366" s="43"/>
      <c r="J1366" s="44"/>
      <c r="K1366" s="44"/>
      <c r="L1366" s="44"/>
    </row>
    <row r="1367" spans="9:12" x14ac:dyDescent="0.25">
      <c r="I1367" s="43"/>
      <c r="J1367" s="44"/>
      <c r="K1367" s="44"/>
      <c r="L1367" s="44"/>
    </row>
    <row r="1368" spans="9:12" x14ac:dyDescent="0.25">
      <c r="I1368" s="43"/>
      <c r="J1368" s="44"/>
      <c r="K1368" s="44"/>
      <c r="L1368" s="44"/>
    </row>
    <row r="1369" spans="9:12" x14ac:dyDescent="0.25">
      <c r="I1369" s="43"/>
      <c r="J1369" s="44"/>
      <c r="K1369" s="44"/>
      <c r="L1369" s="44"/>
    </row>
    <row r="1370" spans="9:12" x14ac:dyDescent="0.25">
      <c r="I1370" s="43"/>
      <c r="J1370" s="44"/>
      <c r="K1370" s="44"/>
      <c r="L1370" s="44"/>
    </row>
    <row r="1371" spans="9:12" x14ac:dyDescent="0.25">
      <c r="I1371" s="43"/>
      <c r="J1371" s="44"/>
      <c r="K1371" s="44"/>
      <c r="L1371" s="44"/>
    </row>
    <row r="1372" spans="9:12" x14ac:dyDescent="0.25">
      <c r="I1372" s="43"/>
      <c r="J1372" s="44"/>
      <c r="K1372" s="44"/>
      <c r="L1372" s="44"/>
    </row>
    <row r="1373" spans="9:12" x14ac:dyDescent="0.25">
      <c r="I1373" s="43"/>
      <c r="J1373" s="44"/>
      <c r="K1373" s="44"/>
      <c r="L1373" s="44"/>
    </row>
    <row r="1374" spans="9:12" x14ac:dyDescent="0.25">
      <c r="I1374" s="43"/>
      <c r="J1374" s="44"/>
      <c r="K1374" s="44"/>
      <c r="L1374" s="44"/>
    </row>
    <row r="1375" spans="9:12" x14ac:dyDescent="0.25">
      <c r="I1375" s="43"/>
      <c r="J1375" s="44"/>
      <c r="K1375" s="44"/>
      <c r="L1375" s="44"/>
    </row>
    <row r="1376" spans="9:12" x14ac:dyDescent="0.25">
      <c r="I1376" s="43"/>
      <c r="J1376" s="44"/>
      <c r="K1376" s="44"/>
      <c r="L1376" s="44"/>
    </row>
    <row r="1377" spans="9:12" x14ac:dyDescent="0.25">
      <c r="I1377" s="43"/>
      <c r="J1377" s="44"/>
      <c r="K1377" s="44"/>
      <c r="L1377" s="44"/>
    </row>
    <row r="1378" spans="9:12" x14ac:dyDescent="0.25">
      <c r="I1378" s="43"/>
      <c r="J1378" s="44"/>
      <c r="K1378" s="44"/>
      <c r="L1378" s="44"/>
    </row>
    <row r="1379" spans="9:12" x14ac:dyDescent="0.25">
      <c r="I1379" s="43"/>
      <c r="J1379" s="44"/>
      <c r="K1379" s="44"/>
      <c r="L1379" s="44"/>
    </row>
    <row r="1380" spans="9:12" x14ac:dyDescent="0.25">
      <c r="I1380" s="43"/>
      <c r="J1380" s="44"/>
      <c r="K1380" s="44"/>
      <c r="L1380" s="44"/>
    </row>
    <row r="1381" spans="9:12" x14ac:dyDescent="0.25">
      <c r="I1381" s="43"/>
      <c r="J1381" s="44"/>
      <c r="K1381" s="44"/>
      <c r="L1381" s="44"/>
    </row>
    <row r="1382" spans="9:12" x14ac:dyDescent="0.25">
      <c r="I1382" s="43"/>
      <c r="J1382" s="44"/>
      <c r="K1382" s="44"/>
      <c r="L1382" s="44"/>
    </row>
    <row r="1383" spans="9:12" x14ac:dyDescent="0.25">
      <c r="I1383" s="43"/>
      <c r="J1383" s="44"/>
      <c r="K1383" s="44"/>
      <c r="L1383" s="44"/>
    </row>
    <row r="1384" spans="9:12" x14ac:dyDescent="0.25">
      <c r="I1384" s="43"/>
      <c r="J1384" s="44"/>
      <c r="K1384" s="44"/>
      <c r="L1384" s="44"/>
    </row>
    <row r="1385" spans="9:12" x14ac:dyDescent="0.25">
      <c r="I1385" s="43"/>
      <c r="J1385" s="44"/>
      <c r="K1385" s="44"/>
      <c r="L1385" s="44"/>
    </row>
    <row r="1386" spans="9:12" x14ac:dyDescent="0.25">
      <c r="I1386" s="43"/>
      <c r="J1386" s="44"/>
      <c r="K1386" s="44"/>
      <c r="L1386" s="44"/>
    </row>
    <row r="1387" spans="9:12" x14ac:dyDescent="0.25">
      <c r="I1387" s="43"/>
      <c r="J1387" s="44"/>
      <c r="K1387" s="44"/>
      <c r="L1387" s="44"/>
    </row>
    <row r="1388" spans="9:12" x14ac:dyDescent="0.25">
      <c r="I1388" s="43"/>
      <c r="J1388" s="44"/>
      <c r="K1388" s="44"/>
      <c r="L1388" s="44"/>
    </row>
    <row r="1389" spans="9:12" x14ac:dyDescent="0.25">
      <c r="I1389" s="43"/>
      <c r="J1389" s="44"/>
      <c r="K1389" s="44"/>
      <c r="L1389" s="44"/>
    </row>
    <row r="1390" spans="9:12" x14ac:dyDescent="0.25">
      <c r="I1390" s="43"/>
      <c r="J1390" s="44"/>
      <c r="K1390" s="44"/>
      <c r="L1390" s="44"/>
    </row>
    <row r="1391" spans="9:12" x14ac:dyDescent="0.25">
      <c r="I1391" s="43"/>
      <c r="J1391" s="44"/>
      <c r="K1391" s="44"/>
      <c r="L1391" s="44"/>
    </row>
    <row r="1392" spans="9:12" x14ac:dyDescent="0.25">
      <c r="I1392" s="43"/>
      <c r="J1392" s="44"/>
      <c r="K1392" s="44"/>
      <c r="L1392" s="44"/>
    </row>
    <row r="1393" spans="9:12" x14ac:dyDescent="0.25">
      <c r="I1393" s="43"/>
      <c r="J1393" s="44"/>
      <c r="K1393" s="44"/>
      <c r="L1393" s="44"/>
    </row>
    <row r="1394" spans="9:12" x14ac:dyDescent="0.25">
      <c r="I1394" s="43"/>
      <c r="J1394" s="44"/>
      <c r="K1394" s="44"/>
      <c r="L1394" s="44"/>
    </row>
    <row r="1395" spans="9:12" x14ac:dyDescent="0.25">
      <c r="I1395" s="43"/>
      <c r="J1395" s="44"/>
      <c r="K1395" s="44"/>
      <c r="L1395" s="44"/>
    </row>
    <row r="1396" spans="9:12" x14ac:dyDescent="0.25">
      <c r="I1396" s="43"/>
      <c r="J1396" s="44"/>
      <c r="K1396" s="44"/>
      <c r="L1396" s="44"/>
    </row>
    <row r="1397" spans="9:12" x14ac:dyDescent="0.25">
      <c r="I1397" s="43"/>
      <c r="J1397" s="44"/>
      <c r="K1397" s="44"/>
      <c r="L1397" s="44"/>
    </row>
    <row r="1398" spans="9:12" x14ac:dyDescent="0.25">
      <c r="I1398" s="43"/>
      <c r="J1398" s="44"/>
      <c r="K1398" s="44"/>
      <c r="L1398" s="44"/>
    </row>
    <row r="1399" spans="9:12" x14ac:dyDescent="0.25">
      <c r="I1399" s="43"/>
      <c r="J1399" s="44"/>
      <c r="K1399" s="44"/>
      <c r="L1399" s="44"/>
    </row>
    <row r="1400" spans="9:12" x14ac:dyDescent="0.25">
      <c r="I1400" s="43"/>
      <c r="J1400" s="44"/>
      <c r="K1400" s="44"/>
      <c r="L1400" s="44"/>
    </row>
    <row r="1401" spans="9:12" x14ac:dyDescent="0.25">
      <c r="I1401" s="43"/>
      <c r="J1401" s="44"/>
      <c r="K1401" s="44"/>
      <c r="L1401" s="44"/>
    </row>
    <row r="1402" spans="9:12" x14ac:dyDescent="0.25">
      <c r="I1402" s="43"/>
      <c r="J1402" s="44"/>
      <c r="K1402" s="44"/>
      <c r="L1402" s="44"/>
    </row>
    <row r="1403" spans="9:12" x14ac:dyDescent="0.25">
      <c r="I1403" s="43"/>
      <c r="J1403" s="44"/>
      <c r="K1403" s="44"/>
      <c r="L1403" s="44"/>
    </row>
    <row r="1404" spans="9:12" x14ac:dyDescent="0.25">
      <c r="I1404" s="43"/>
      <c r="J1404" s="44"/>
      <c r="K1404" s="44"/>
      <c r="L1404" s="44"/>
    </row>
    <row r="1405" spans="9:12" x14ac:dyDescent="0.25">
      <c r="I1405" s="43"/>
      <c r="J1405" s="44"/>
      <c r="K1405" s="44"/>
      <c r="L1405" s="44"/>
    </row>
    <row r="1406" spans="9:12" x14ac:dyDescent="0.25">
      <c r="I1406" s="43"/>
      <c r="J1406" s="44"/>
      <c r="K1406" s="44"/>
      <c r="L1406" s="44"/>
    </row>
    <row r="1407" spans="9:12" x14ac:dyDescent="0.25">
      <c r="I1407" s="43"/>
      <c r="J1407" s="44"/>
      <c r="K1407" s="44"/>
      <c r="L1407" s="44"/>
    </row>
    <row r="1408" spans="9:12" x14ac:dyDescent="0.25">
      <c r="I1408" s="43"/>
      <c r="J1408" s="44"/>
      <c r="K1408" s="44"/>
      <c r="L1408" s="44"/>
    </row>
    <row r="1409" spans="9:12" x14ac:dyDescent="0.25">
      <c r="I1409" s="43"/>
      <c r="J1409" s="44"/>
      <c r="K1409" s="44"/>
      <c r="L1409" s="44"/>
    </row>
    <row r="1410" spans="9:12" x14ac:dyDescent="0.25">
      <c r="I1410" s="43"/>
      <c r="J1410" s="44"/>
      <c r="K1410" s="44"/>
      <c r="L1410" s="44"/>
    </row>
    <row r="1411" spans="9:12" x14ac:dyDescent="0.25">
      <c r="I1411" s="43"/>
      <c r="J1411" s="44"/>
      <c r="K1411" s="44"/>
      <c r="L1411" s="44"/>
    </row>
    <row r="1412" spans="9:12" x14ac:dyDescent="0.25">
      <c r="I1412" s="43"/>
      <c r="J1412" s="44"/>
      <c r="K1412" s="44"/>
      <c r="L1412" s="44"/>
    </row>
    <row r="1413" spans="9:12" x14ac:dyDescent="0.25">
      <c r="I1413" s="43"/>
      <c r="J1413" s="44"/>
      <c r="K1413" s="44"/>
      <c r="L1413" s="44"/>
    </row>
    <row r="1414" spans="9:12" x14ac:dyDescent="0.25">
      <c r="I1414" s="43"/>
      <c r="J1414" s="44"/>
      <c r="K1414" s="44"/>
      <c r="L1414" s="44"/>
    </row>
    <row r="1415" spans="9:12" x14ac:dyDescent="0.25">
      <c r="I1415" s="43"/>
      <c r="J1415" s="44"/>
      <c r="K1415" s="44"/>
      <c r="L1415" s="44"/>
    </row>
    <row r="1416" spans="9:12" x14ac:dyDescent="0.25">
      <c r="I1416" s="43"/>
      <c r="J1416" s="44"/>
      <c r="K1416" s="44"/>
      <c r="L1416" s="44"/>
    </row>
    <row r="1417" spans="9:12" x14ac:dyDescent="0.25">
      <c r="I1417" s="43"/>
      <c r="J1417" s="44"/>
      <c r="K1417" s="44"/>
      <c r="L1417" s="44"/>
    </row>
    <row r="1418" spans="9:12" x14ac:dyDescent="0.25">
      <c r="I1418" s="43"/>
      <c r="J1418" s="44"/>
      <c r="K1418" s="44"/>
      <c r="L1418" s="44"/>
    </row>
    <row r="1419" spans="9:12" x14ac:dyDescent="0.25">
      <c r="I1419" s="43"/>
      <c r="J1419" s="44"/>
      <c r="K1419" s="44"/>
      <c r="L1419" s="44"/>
    </row>
    <row r="1420" spans="9:12" x14ac:dyDescent="0.25">
      <c r="I1420" s="43"/>
      <c r="J1420" s="44"/>
      <c r="K1420" s="44"/>
      <c r="L1420" s="44"/>
    </row>
    <row r="1421" spans="9:12" x14ac:dyDescent="0.25">
      <c r="I1421" s="43"/>
      <c r="J1421" s="44"/>
      <c r="K1421" s="44"/>
      <c r="L1421" s="44"/>
    </row>
    <row r="1422" spans="9:12" x14ac:dyDescent="0.25">
      <c r="I1422" s="43"/>
      <c r="J1422" s="44"/>
      <c r="K1422" s="44"/>
      <c r="L1422" s="44"/>
    </row>
    <row r="1423" spans="9:12" x14ac:dyDescent="0.25">
      <c r="I1423" s="43"/>
      <c r="J1423" s="44"/>
      <c r="K1423" s="44"/>
      <c r="L1423" s="44"/>
    </row>
    <row r="1424" spans="9:12" x14ac:dyDescent="0.25">
      <c r="I1424" s="43"/>
      <c r="J1424" s="44"/>
      <c r="K1424" s="44"/>
      <c r="L1424" s="44"/>
    </row>
    <row r="1425" spans="9:12" x14ac:dyDescent="0.25">
      <c r="I1425" s="43"/>
      <c r="J1425" s="44"/>
      <c r="K1425" s="44"/>
      <c r="L1425" s="44"/>
    </row>
    <row r="1426" spans="9:12" x14ac:dyDescent="0.25">
      <c r="I1426" s="43"/>
      <c r="J1426" s="44"/>
      <c r="K1426" s="44"/>
      <c r="L1426" s="44"/>
    </row>
    <row r="1427" spans="9:12" x14ac:dyDescent="0.25">
      <c r="I1427" s="43"/>
      <c r="J1427" s="44"/>
      <c r="K1427" s="44"/>
      <c r="L1427" s="44"/>
    </row>
  </sheetData>
  <sheetProtection algorithmName="SHA-512" hashValue="7h+/rTztIP8z1MaVHld9CgtxRYMI1HJRTdJuXOMYTauAwKlPL9ioYgWOHSJakMrkP0kFqxYntOdxcJ9hSNWxyA==" saltValue="ozhkMIMpSgxohrhwiTuu8Q==" spinCount="100000" sheet="1" objects="1" scenarios="1"/>
  <mergeCells count="32">
    <mergeCell ref="A74:G74"/>
    <mergeCell ref="AM2:AN2"/>
    <mergeCell ref="AO2:AP2"/>
    <mergeCell ref="BO2:BP2"/>
    <mergeCell ref="BM2:BN2"/>
    <mergeCell ref="BK2:BL2"/>
    <mergeCell ref="BI2:BJ2"/>
    <mergeCell ref="BG2:BH2"/>
    <mergeCell ref="BE2:BF2"/>
    <mergeCell ref="BC2:BD2"/>
    <mergeCell ref="BA2:BB2"/>
    <mergeCell ref="AY2:AZ2"/>
    <mergeCell ref="AW2:AX2"/>
    <mergeCell ref="AU2:AV2"/>
    <mergeCell ref="AS2:AT2"/>
    <mergeCell ref="AQ2:AR2"/>
    <mergeCell ref="A47:C47"/>
    <mergeCell ref="E47:G47"/>
    <mergeCell ref="A49:C49"/>
    <mergeCell ref="A50:A54"/>
    <mergeCell ref="A56:G56"/>
    <mergeCell ref="A1:C1"/>
    <mergeCell ref="A10:G10"/>
    <mergeCell ref="A28:G28"/>
    <mergeCell ref="A4:A8"/>
    <mergeCell ref="A3:C3"/>
    <mergeCell ref="E1:G1"/>
    <mergeCell ref="Q32:R32"/>
    <mergeCell ref="Q31:R31"/>
    <mergeCell ref="O30:R30"/>
    <mergeCell ref="P27:Q27"/>
    <mergeCell ref="P28:Q28"/>
  </mergeCells>
  <phoneticPr fontId="3" type="noConversion"/>
  <conditionalFormatting sqref="C12">
    <cfRule type="cellIs" dxfId="124" priority="153" operator="equal">
      <formula>$D$12</formula>
    </cfRule>
    <cfRule type="cellIs" dxfId="123" priority="151" operator="equal">
      <formula>$E$12</formula>
    </cfRule>
    <cfRule type="cellIs" dxfId="122" priority="152" operator="greaterThan">
      <formula>$D$12</formula>
    </cfRule>
    <cfRule type="cellIs" dxfId="121" priority="167" operator="lessThan">
      <formula>$D$12</formula>
    </cfRule>
    <cfRule type="cellIs" dxfId="120" priority="147" operator="equal">
      <formula>$G$12</formula>
    </cfRule>
    <cfRule type="cellIs" dxfId="119" priority="148" operator="greaterThan">
      <formula>$F$12</formula>
    </cfRule>
    <cfRule type="cellIs" dxfId="118" priority="149" operator="equal">
      <formula>$F$12</formula>
    </cfRule>
    <cfRule type="cellIs" dxfId="117" priority="150" operator="greaterThan">
      <formula>$E$12</formula>
    </cfRule>
  </conditionalFormatting>
  <conditionalFormatting sqref="C12:C26">
    <cfRule type="containsBlanks" dxfId="116" priority="139">
      <formula>LEN(TRIM(C12))=0</formula>
    </cfRule>
  </conditionalFormatting>
  <conditionalFormatting sqref="C13">
    <cfRule type="cellIs" dxfId="115" priority="140" operator="equal">
      <formula>$G$13</formula>
    </cfRule>
    <cfRule type="cellIs" dxfId="114" priority="141" operator="greaterThan">
      <formula>$F$13</formula>
    </cfRule>
    <cfRule type="cellIs" dxfId="113" priority="142" operator="equal">
      <formula>$F$13</formula>
    </cfRule>
    <cfRule type="cellIs" dxfId="112" priority="143" operator="greaterThan">
      <formula>$E$13</formula>
    </cfRule>
    <cfRule type="cellIs" dxfId="111" priority="144" operator="equal">
      <formula>$E$13</formula>
    </cfRule>
    <cfRule type="cellIs" dxfId="110" priority="145" operator="greaterThan">
      <formula>$D$13</formula>
    </cfRule>
    <cfRule type="cellIs" dxfId="109" priority="166" operator="equal">
      <formula>$D$13</formula>
    </cfRule>
    <cfRule type="cellIs" dxfId="108" priority="299" operator="lessThan">
      <formula>$D$13</formula>
    </cfRule>
  </conditionalFormatting>
  <conditionalFormatting sqref="C14">
    <cfRule type="cellIs" dxfId="107" priority="259" operator="equal">
      <formula>$D$14</formula>
    </cfRule>
    <cfRule type="cellIs" dxfId="106" priority="258" operator="greaterThan">
      <formula>$D$14</formula>
    </cfRule>
    <cfRule type="cellIs" dxfId="105" priority="257" operator="equal">
      <formula>$E$14</formula>
    </cfRule>
    <cfRule type="cellIs" dxfId="104" priority="256" operator="greaterThan">
      <formula>$E$14</formula>
    </cfRule>
    <cfRule type="cellIs" dxfId="103" priority="255" operator="equal">
      <formula>$F$14</formula>
    </cfRule>
    <cfRule type="cellIs" dxfId="102" priority="254" operator="greaterThan">
      <formula>$F$14</formula>
    </cfRule>
    <cfRule type="cellIs" dxfId="101" priority="253" operator="equal">
      <formula>$G$14</formula>
    </cfRule>
    <cfRule type="cellIs" dxfId="100" priority="298" operator="lessThan">
      <formula>$D$14</formula>
    </cfRule>
  </conditionalFormatting>
  <conditionalFormatting sqref="C15">
    <cfRule type="cellIs" dxfId="99" priority="297" operator="lessThan">
      <formula>$D$15</formula>
    </cfRule>
    <cfRule type="cellIs" dxfId="98" priority="252" operator="equal">
      <formula>$D$15</formula>
    </cfRule>
    <cfRule type="cellIs" dxfId="97" priority="251" operator="greaterThan">
      <formula>$D$15</formula>
    </cfRule>
    <cfRule type="cellIs" dxfId="96" priority="250" operator="equal">
      <formula>$E$15</formula>
    </cfRule>
    <cfRule type="cellIs" dxfId="95" priority="249" operator="greaterThan">
      <formula>$E$15</formula>
    </cfRule>
    <cfRule type="cellIs" dxfId="94" priority="248" operator="equal">
      <formula>$F$15</formula>
    </cfRule>
    <cfRule type="cellIs" dxfId="93" priority="247" operator="greaterThan">
      <formula>$F$15</formula>
    </cfRule>
    <cfRule type="cellIs" dxfId="92" priority="246" operator="equal">
      <formula>$G$15</formula>
    </cfRule>
  </conditionalFormatting>
  <conditionalFormatting sqref="C16">
    <cfRule type="cellIs" dxfId="91" priority="244" operator="greaterThan">
      <formula>$D$16</formula>
    </cfRule>
    <cfRule type="cellIs" dxfId="90" priority="243" operator="equal">
      <formula>$E$16</formula>
    </cfRule>
    <cfRule type="cellIs" dxfId="89" priority="242" operator="greaterThan">
      <formula>$E$16</formula>
    </cfRule>
    <cfRule type="cellIs" dxfId="88" priority="241" operator="equal">
      <formula>$F$16</formula>
    </cfRule>
    <cfRule type="cellIs" dxfId="87" priority="240" operator="greaterThan">
      <formula>$F$16</formula>
    </cfRule>
    <cfRule type="cellIs" dxfId="86" priority="239" operator="equal">
      <formula>$G$16</formula>
    </cfRule>
    <cfRule type="cellIs" dxfId="85" priority="296" operator="lessThan">
      <formula>$D$16</formula>
    </cfRule>
    <cfRule type="cellIs" dxfId="84" priority="245" operator="equal">
      <formula>$D$16</formula>
    </cfRule>
  </conditionalFormatting>
  <conditionalFormatting sqref="C17">
    <cfRule type="cellIs" dxfId="83" priority="236" operator="equal">
      <formula>$E$17</formula>
    </cfRule>
    <cfRule type="cellIs" dxfId="82" priority="235" operator="greaterThan">
      <formula>$E$17</formula>
    </cfRule>
    <cfRule type="cellIs" dxfId="81" priority="234" operator="equal">
      <formula>$F$17</formula>
    </cfRule>
    <cfRule type="cellIs" dxfId="80" priority="233" operator="greaterThan">
      <formula>$F$17</formula>
    </cfRule>
    <cfRule type="cellIs" dxfId="79" priority="232" operator="equal">
      <formula>$G$17</formula>
    </cfRule>
    <cfRule type="cellIs" dxfId="78" priority="284" operator="lessThan">
      <formula>$D$17</formula>
    </cfRule>
    <cfRule type="cellIs" dxfId="77" priority="238" operator="equal">
      <formula>$D$17</formula>
    </cfRule>
    <cfRule type="cellIs" dxfId="76" priority="237" operator="greaterThan">
      <formula>$D$17</formula>
    </cfRule>
  </conditionalFormatting>
  <conditionalFormatting sqref="C18">
    <cfRule type="cellIs" dxfId="75" priority="231" operator="equal">
      <formula>$D$18</formula>
    </cfRule>
    <cfRule type="cellIs" dxfId="74" priority="230" operator="greaterThan">
      <formula>$D$18</formula>
    </cfRule>
    <cfRule type="cellIs" dxfId="73" priority="229" operator="equal">
      <formula>$E$18</formula>
    </cfRule>
    <cfRule type="cellIs" dxfId="72" priority="228" operator="greaterThan">
      <formula>$E$18</formula>
    </cfRule>
    <cfRule type="cellIs" dxfId="71" priority="227" operator="equal">
      <formula>$F$18</formula>
    </cfRule>
    <cfRule type="cellIs" dxfId="70" priority="226" operator="greaterThan">
      <formula>$F$18</formula>
    </cfRule>
    <cfRule type="cellIs" dxfId="69" priority="225" operator="equal">
      <formula>$G$18</formula>
    </cfRule>
    <cfRule type="cellIs" dxfId="68" priority="283" operator="lessThan">
      <formula>$D$18</formula>
    </cfRule>
  </conditionalFormatting>
  <conditionalFormatting sqref="C19">
    <cfRule type="cellIs" dxfId="67" priority="224" operator="greaterThan">
      <formula>$D$19</formula>
    </cfRule>
    <cfRule type="cellIs" dxfId="66" priority="310" operator="lessThan">
      <formula>$D$19</formula>
    </cfRule>
    <cfRule type="cellIs" dxfId="65" priority="222" operator="greaterThan">
      <formula>$E$19</formula>
    </cfRule>
    <cfRule type="cellIs" dxfId="64" priority="221" operator="equal">
      <formula>$F$19</formula>
    </cfRule>
    <cfRule type="cellIs" dxfId="63" priority="220" operator="greaterThan">
      <formula>$F$19</formula>
    </cfRule>
    <cfRule type="cellIs" dxfId="62" priority="219" operator="equal">
      <formula>$G$19</formula>
    </cfRule>
    <cfRule type="cellIs" dxfId="61" priority="223" operator="equal">
      <formula>$E$19</formula>
    </cfRule>
    <cfRule type="cellIs" dxfId="60" priority="282" operator="equal">
      <formula>$D$19</formula>
    </cfRule>
  </conditionalFormatting>
  <conditionalFormatting sqref="C20">
    <cfRule type="cellIs" dxfId="59" priority="217" operator="equal">
      <formula>$D$20</formula>
    </cfRule>
    <cfRule type="cellIs" dxfId="58" priority="216" operator="greaterThan">
      <formula>$D$20</formula>
    </cfRule>
    <cfRule type="cellIs" dxfId="57" priority="215" operator="equal">
      <formula>$E$20</formula>
    </cfRule>
    <cfRule type="cellIs" dxfId="56" priority="214" operator="greaterThan">
      <formula>$E$20</formula>
    </cfRule>
    <cfRule type="cellIs" dxfId="55" priority="212" operator="greaterThan">
      <formula>$F$20</formula>
    </cfRule>
    <cfRule type="cellIs" dxfId="54" priority="211" operator="equal">
      <formula>$G$20</formula>
    </cfRule>
    <cfRule type="cellIs" dxfId="53" priority="281" operator="lessThan">
      <formula>$D$20</formula>
    </cfRule>
    <cfRule type="cellIs" dxfId="52" priority="213" operator="equal">
      <formula>$F$20</formula>
    </cfRule>
  </conditionalFormatting>
  <conditionalFormatting sqref="C21">
    <cfRule type="cellIs" dxfId="51" priority="280" operator="lessThan">
      <formula>$D$21</formula>
    </cfRule>
    <cfRule type="cellIs" dxfId="50" priority="204" operator="equal">
      <formula>$G$21</formula>
    </cfRule>
    <cfRule type="cellIs" dxfId="49" priority="205" operator="greaterThan">
      <formula>$F$21</formula>
    </cfRule>
    <cfRule type="cellIs" dxfId="48" priority="206" operator="equal">
      <formula>$F$21</formula>
    </cfRule>
    <cfRule type="cellIs" dxfId="47" priority="207" operator="greaterThan">
      <formula>$E$21</formula>
    </cfRule>
    <cfRule type="cellIs" dxfId="46" priority="208" operator="equal">
      <formula>$E$21</formula>
    </cfRule>
    <cfRule type="cellIs" dxfId="45" priority="209" operator="greaterThan">
      <formula>$D$21</formula>
    </cfRule>
    <cfRule type="cellIs" dxfId="44" priority="210" operator="equal">
      <formula>$D$21</formula>
    </cfRule>
  </conditionalFormatting>
  <conditionalFormatting sqref="C22">
    <cfRule type="cellIs" dxfId="43" priority="201" operator="equal">
      <formula>$E$22</formula>
    </cfRule>
    <cfRule type="cellIs" dxfId="42" priority="202" operator="greaterThan">
      <formula>$D$22</formula>
    </cfRule>
    <cfRule type="cellIs" dxfId="41" priority="203" operator="equal">
      <formula>$D$22</formula>
    </cfRule>
    <cfRule type="cellIs" dxfId="40" priority="279" operator="lessThan">
      <formula>$D$22</formula>
    </cfRule>
    <cfRule type="cellIs" dxfId="39" priority="199" operator="equal">
      <formula>$F$22</formula>
    </cfRule>
    <cfRule type="cellIs" dxfId="38" priority="197" operator="equal">
      <formula>$G$22</formula>
    </cfRule>
    <cfRule type="cellIs" dxfId="37" priority="198" operator="greaterThan">
      <formula>$F$22</formula>
    </cfRule>
    <cfRule type="cellIs" dxfId="36" priority="200" operator="greaterThan">
      <formula>$E$22</formula>
    </cfRule>
  </conditionalFormatting>
  <conditionalFormatting sqref="C23">
    <cfRule type="cellIs" dxfId="35" priority="196" operator="equal">
      <formula>$D$23</formula>
    </cfRule>
    <cfRule type="cellIs" dxfId="34" priority="195" operator="greaterThan">
      <formula>$D$23</formula>
    </cfRule>
    <cfRule type="cellIs" dxfId="33" priority="194" operator="equal">
      <formula>$E$23</formula>
    </cfRule>
    <cfRule type="cellIs" dxfId="32" priority="193" operator="greaterThan">
      <formula>$E$23</formula>
    </cfRule>
    <cfRule type="cellIs" dxfId="31" priority="192" operator="equal">
      <formula>$F$23</formula>
    </cfRule>
    <cfRule type="cellIs" dxfId="30" priority="190" operator="equal">
      <formula>$G$23</formula>
    </cfRule>
    <cfRule type="cellIs" dxfId="29" priority="191" operator="greaterThan">
      <formula>$F$23</formula>
    </cfRule>
    <cfRule type="cellIs" dxfId="28" priority="278" operator="lessThan">
      <formula>$D$23</formula>
    </cfRule>
  </conditionalFormatting>
  <conditionalFormatting sqref="C24">
    <cfRule type="cellIs" dxfId="27" priority="188" operator="greaterThan">
      <formula>$D$24</formula>
    </cfRule>
    <cfRule type="cellIs" dxfId="26" priority="187" operator="equal">
      <formula>$E$24</formula>
    </cfRule>
    <cfRule type="cellIs" dxfId="25" priority="186" operator="greaterThan">
      <formula>$E$24</formula>
    </cfRule>
    <cfRule type="cellIs" dxfId="24" priority="185" operator="equal">
      <formula>$F$24</formula>
    </cfRule>
    <cfRule type="cellIs" dxfId="23" priority="184" operator="greaterThan">
      <formula>$F$24</formula>
    </cfRule>
    <cfRule type="cellIs" dxfId="22" priority="183" operator="equal">
      <formula>$G$24</formula>
    </cfRule>
    <cfRule type="cellIs" dxfId="21" priority="277" operator="lessThan">
      <formula>$D$24</formula>
    </cfRule>
    <cfRule type="cellIs" dxfId="20" priority="189" operator="equal">
      <formula>$D$24</formula>
    </cfRule>
  </conditionalFormatting>
  <conditionalFormatting sqref="C25">
    <cfRule type="cellIs" dxfId="19" priority="182" operator="equal">
      <formula>$D$25</formula>
    </cfRule>
    <cfRule type="cellIs" dxfId="18" priority="181" operator="greaterThan">
      <formula>$D$25</formula>
    </cfRule>
    <cfRule type="cellIs" dxfId="17" priority="180" operator="equal">
      <formula>$E$25</formula>
    </cfRule>
    <cfRule type="cellIs" dxfId="16" priority="179" operator="greaterThan">
      <formula>$E$25</formula>
    </cfRule>
    <cfRule type="cellIs" dxfId="15" priority="178" operator="equal">
      <formula>$F$25</formula>
    </cfRule>
    <cfRule type="cellIs" dxfId="14" priority="177" operator="greaterThan">
      <formula>$F$25</formula>
    </cfRule>
    <cfRule type="cellIs" dxfId="13" priority="176" operator="equal">
      <formula>$G$25</formula>
    </cfRule>
    <cfRule type="cellIs" dxfId="12" priority="276" operator="lessThan">
      <formula>$D$25</formula>
    </cfRule>
  </conditionalFormatting>
  <conditionalFormatting sqref="C26">
    <cfRule type="cellIs" dxfId="11" priority="268" operator="equal">
      <formula>$D$26</formula>
    </cfRule>
    <cfRule type="cellIs" dxfId="10" priority="172" operator="equal">
      <formula>$F$26</formula>
    </cfRule>
    <cfRule type="cellIs" dxfId="9" priority="170" operator="equal">
      <formula>$G$26</formula>
    </cfRule>
    <cfRule type="cellIs" dxfId="8" priority="171" operator="greaterThan">
      <formula>$F$26</formula>
    </cfRule>
    <cfRule type="cellIs" dxfId="7" priority="173" operator="greaterThan">
      <formula>$E$26</formula>
    </cfRule>
    <cfRule type="cellIs" dxfId="6" priority="174" operator="equal">
      <formula>$E$26</formula>
    </cfRule>
    <cfRule type="cellIs" dxfId="5" priority="175" operator="greaterThan">
      <formula>$D$26</formula>
    </cfRule>
    <cfRule type="cellIs" dxfId="4" priority="305" operator="lessThan">
      <formula>$D$26</formula>
    </cfRule>
  </conditionalFormatting>
  <conditionalFormatting sqref="D12:F26">
    <cfRule type="containsBlanks" dxfId="3" priority="309" stopIfTrue="1">
      <formula>LEN(TRIM(D12))=0</formula>
    </cfRule>
  </conditionalFormatting>
  <conditionalFormatting sqref="D58:F72">
    <cfRule type="containsBlanks" dxfId="2" priority="137" stopIfTrue="1">
      <formula>LEN(TRIM(D58))=0</formula>
    </cfRule>
  </conditionalFormatting>
  <conditionalFormatting sqref="F58:F72">
    <cfRule type="colorScale" priority="1">
      <colorScale>
        <cfvo type="min"/>
        <cfvo type="num" val="0"/>
        <cfvo type="max"/>
        <color rgb="FFFFAEA5"/>
        <color rgb="FFFFF3CC"/>
        <color rgb="FFE2F0DB"/>
      </colorScale>
    </cfRule>
  </conditionalFormatting>
  <conditionalFormatting sqref="G12:G26">
    <cfRule type="containsBlanks" dxfId="1" priority="307">
      <formula>LEN(TRIM(G12))=0</formula>
    </cfRule>
  </conditionalFormatting>
  <conditionalFormatting sqref="G58:G72">
    <cfRule type="containsBlanks" dxfId="0" priority="136">
      <formula>LEN(TRIM(G58))=0</formula>
    </cfRule>
  </conditionalFormatting>
  <dataValidations count="4">
    <dataValidation type="list" allowBlank="1" showInputMessage="1" showErrorMessage="1" sqref="C4" xr:uid="{0C729CFB-2291-3546-A7C3-BAAB22FA3A89}">
      <formula1>Prénoms2</formula1>
    </dataValidation>
    <dataValidation type="list" allowBlank="1" showInputMessage="1" showErrorMessage="1" sqref="B12:B26 B58:C72 J2:J1118" xr:uid="{756EAA17-0709-8845-B30F-5E71ADE324AA}">
      <formula1>Dates2</formula1>
    </dataValidation>
    <dataValidation type="list" allowBlank="1" showInputMessage="1" showErrorMessage="1" sqref="I2:I1118" xr:uid="{FE54C2DA-B230-6E45-AECC-024654FF794A}">
      <formula1>Prénoms</formula1>
    </dataValidation>
    <dataValidation type="list" allowBlank="1" showInputMessage="1" showErrorMessage="1" sqref="A12:A26 E4:E8 A58:A72 E50:E54 K2:K1118" xr:uid="{78E36683-030E-FB4A-A77F-A361A1975171}">
      <formula1>ListeTests</formula1>
    </dataValidation>
  </dataValidations>
  <pageMargins left="0.7" right="0.7" top="0.75" bottom="0.75" header="0.3" footer="0.3"/>
  <pageSetup paperSize="9" orientation="portrait" horizontalDpi="0" verticalDpi="0" r:id="rId1"/>
  <headerFooter>
    <oddHeader xml:space="preserve">&amp;C </oddHeader>
    <oddFooter xml:space="preserve">&amp;C </oddFooter>
  </headerFooter>
  <ignoredErrors>
    <ignoredError sqref="C50 A47 E47" unlockedFormula="1"/>
  </ignoredError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8</vt:i4>
      </vt:variant>
    </vt:vector>
  </HeadingPairs>
  <TitlesOfParts>
    <vt:vector size="9" baseType="lpstr">
      <vt:lpstr>Rapport d'évaluation</vt:lpstr>
      <vt:lpstr>Athlètes</vt:lpstr>
      <vt:lpstr>Dates</vt:lpstr>
      <vt:lpstr>Dates2</vt:lpstr>
      <vt:lpstr>ListeTests</vt:lpstr>
      <vt:lpstr>Prénom</vt:lpstr>
      <vt:lpstr>Prénoms</vt:lpstr>
      <vt:lpstr>Prénoms2</vt:lpstr>
      <vt:lpstr>Sports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Rapport d'évaluation</dc:title>
  <dc:subject/>
  <dc:creator>Jason Prépa&amp;Performance</dc:creator>
  <cp:keywords/>
  <dc:description/>
  <cp:lastModifiedBy>Jérome FOGUENNE</cp:lastModifiedBy>
  <cp:lastPrinted>2023-03-27T12:21:09Z</cp:lastPrinted>
  <dcterms:created xsi:type="dcterms:W3CDTF">2023-03-24T08:43:47Z</dcterms:created>
  <dcterms:modified xsi:type="dcterms:W3CDTF">2026-09-13T09:20:34Z</dcterms:modified>
  <cp:category/>
</cp:coreProperties>
</file>