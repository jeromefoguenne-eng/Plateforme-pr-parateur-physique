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ableau_de_Bord_Staff" sheetId="1" state="visible" r:id="rId1"/>
    <sheet xmlns:r="http://schemas.openxmlformats.org/officeDocument/2006/relationships" name="01_Suivi_Hooper" sheetId="2" state="visible" r:id="rId2"/>
    <sheet xmlns:r="http://schemas.openxmlformats.org/officeDocument/2006/relationships" name="02_Charge_Foster_RPE" sheetId="3" state="visible" r:id="rId3"/>
    <sheet xmlns:r="http://schemas.openxmlformats.org/officeDocument/2006/relationships" name="03_Carnet_Entrainement" sheetId="4" state="visible" r:id="rId4"/>
    <sheet xmlns:r="http://schemas.openxmlformats.org/officeDocument/2006/relationships" name="04_Suivi_Nutritionnel" sheetId="5" state="visible" r:id="rId5"/>
    <sheet xmlns:r="http://schemas.openxmlformats.org/officeDocument/2006/relationships" name="05_Batterie_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+0.00;-0.00;0.00"/>
    <numFmt numFmtId="166" formatCode="+0.0%;-0.0%;0.0%"/>
    <numFmt numFmtId="167" formatCode="+0.0%"/>
    <numFmt numFmtId="168" formatCode="+0.0;-0.0;0.0"/>
    <numFmt numFmtId="169" formatCode="0 u.a."/>
    <numFmt numFmtId="170" formatCode="0.0 / 28"/>
  </numFmts>
  <fonts count="11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E3A8A"/>
      <sz val="12"/>
    </font>
    <font>
      <name val="Calibri"/>
      <b val="1"/>
      <color rgb="0064748B"/>
      <sz val="10"/>
    </font>
    <font>
      <name val="Calibri"/>
      <b val="1"/>
      <color rgb="001E3A8A"/>
      <sz val="16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2" pivotButton="0" quotePrefix="0" xfId="0"/>
    <xf numFmtId="0" fontId="0" fillId="4" borderId="2" pivotButton="0" quotePrefix="0" xfId="0"/>
    <xf numFmtId="0" fontId="7" fillId="4" borderId="2" pivotButton="0" quotePrefix="0" xfId="0"/>
    <xf numFmtId="169" fontId="7" fillId="4" borderId="2" pivotButton="0" quotePrefix="0" xfId="0"/>
    <xf numFmtId="170" fontId="7" fillId="4" borderId="2" pivotButton="0" quotePrefix="0" xfId="0"/>
    <xf numFmtId="167" fontId="7" fillId="4" borderId="2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8" fillId="5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10" fillId="7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" fontId="4" fillId="0" borderId="2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  <xf numFmtId="0" fontId="4" fillId="0" borderId="0" pivotButton="0" quotePrefix="0" xfId="0"/>
    <xf numFmtId="2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4" customWidth="1" min="2" max="2"/>
    <col width="18" customWidth="1" min="3" max="3"/>
    <col width="41" customWidth="1" min="4" max="4"/>
    <col width="46" customWidth="1" min="5" max="5"/>
    <col width="14" customWidth="1" min="6" max="6"/>
    <col width="37" customWidth="1" min="7" max="7"/>
    <col width="14" customWidth="1" min="8" max="8"/>
    <col width="14" customWidth="1" min="9" max="9"/>
    <col width="39" customWidth="1" min="10" max="10"/>
    <col width="14" customWidth="1" min="11" max="11"/>
    <col width="14" customWidth="1" min="12" max="12"/>
    <col width="40" customWidth="1" min="13" max="13"/>
    <col width="14" customWidth="1" min="14" max="14"/>
  </cols>
  <sheetData>
    <row r="1">
      <c r="A1" s="1" t="inlineStr">
        <is>
          <t>TABLEAU DE BORD DÉCISIONNEL — PRÉPARATEUR PHYSIQUE</t>
        </is>
      </c>
    </row>
    <row r="2">
      <c r="A2" s="2" t="inlineStr">
        <is>
          <t>Synthèse opérationnelle des 5 outils de collecte et d'aide à la décision sportive</t>
        </is>
      </c>
    </row>
    <row r="3"/>
    <row r="4">
      <c r="A4" s="3" t="inlineStr">
        <is>
          <t>👥 Athlètes Suivis</t>
        </is>
      </c>
      <c r="B4" s="4" t="n"/>
      <c r="D4" s="3" t="inlineStr">
        <is>
          <t>📊 Charge Moyenne S1</t>
        </is>
      </c>
      <c r="E4" s="4" t="n"/>
      <c r="G4" s="3" t="inlineStr">
        <is>
          <t>💤 Récupération Hooper</t>
        </is>
      </c>
      <c r="H4" s="4" t="n"/>
      <c r="J4" s="3" t="inlineStr">
        <is>
          <t>🚀 Gain Vitesse 30m</t>
        </is>
      </c>
      <c r="K4" s="4" t="n"/>
      <c r="M4" s="3" t="inlineStr">
        <is>
          <t>⚡ Gain Détente CMJ</t>
        </is>
      </c>
      <c r="N4" s="4" t="n"/>
    </row>
    <row r="5">
      <c r="A5" s="5" t="inlineStr">
        <is>
          <t>6 Sportifs</t>
        </is>
      </c>
      <c r="B5" s="4" t="n"/>
      <c r="D5" s="6">
        <f>MOYENNE('02_Charge_Foster_RPE'!L5:L8)</f>
        <v/>
      </c>
      <c r="E5" s="4" t="n"/>
      <c r="G5" s="7">
        <f>MOYENNE('01_Suivi_Hooper'!G5:G32)</f>
        <v/>
      </c>
      <c r="H5" s="4" t="n"/>
      <c r="J5" s="8">
        <f>MOYENNE('05_Batterie_Tests'!H6:H11)</f>
        <v/>
      </c>
      <c r="K5" s="4" t="n"/>
      <c r="M5" s="8">
        <f>MOYENNE('05_Batterie_Tests'!H17:H22)</f>
        <v/>
      </c>
      <c r="N5" s="4" t="n"/>
    </row>
    <row r="6"/>
    <row r="7"/>
    <row r="8">
      <c r="A8" s="9" t="inlineStr">
        <is>
          <t>RÉSUMÉ DES ALERTES ET ACTIONS PRIORITAIRES</t>
        </is>
      </c>
    </row>
    <row r="9"/>
    <row r="10">
      <c r="A10" s="10" t="inlineStr">
        <is>
          <t>Athlète</t>
        </is>
      </c>
      <c r="B10" s="10" t="inlineStr">
        <is>
          <t>Indicateur Clé</t>
        </is>
      </c>
      <c r="C10" s="10" t="inlineStr">
        <is>
          <t>Valeur Observée</t>
        </is>
      </c>
      <c r="D10" s="10" t="inlineStr">
        <is>
          <t>Statut / Alerte</t>
        </is>
      </c>
      <c r="E10" s="10" t="inlineStr">
        <is>
          <t>Recommandation Préparateur</t>
        </is>
      </c>
    </row>
    <row r="11">
      <c r="A11" s="11" t="inlineStr">
        <is>
          <t>Nathan</t>
        </is>
      </c>
      <c r="B11" s="12" t="inlineStr">
        <is>
          <t>Indice Hooper (12/09)</t>
        </is>
      </c>
      <c r="C11" s="11" t="inlineStr">
        <is>
          <t>27 / 28</t>
        </is>
      </c>
      <c r="D11" s="13" t="inlineStr">
        <is>
          <t>ALERTE FATIGUE SÉVÈRE</t>
        </is>
      </c>
      <c r="E11" s="12" t="inlineStr">
        <is>
          <t>Allègement séance 50%, bilan sommeil/stress</t>
        </is>
      </c>
    </row>
    <row r="12">
      <c r="A12" s="11" t="inlineStr">
        <is>
          <t>Noah</t>
        </is>
      </c>
      <c r="B12" s="12" t="inlineStr">
        <is>
          <t>Indice Hooper (12/09)</t>
        </is>
      </c>
      <c r="C12" s="11" t="inlineStr">
        <is>
          <t>24 / 28</t>
        </is>
      </c>
      <c r="D12" s="13" t="inlineStr">
        <is>
          <t>ALERTE FATIGUE FORTE</t>
        </is>
      </c>
      <c r="E12" s="12" t="inlineStr">
        <is>
          <t>Séance régénérative aquatique prioritaire</t>
        </is>
      </c>
    </row>
    <row r="13">
      <c r="A13" s="11" t="inlineStr">
        <is>
          <t>Lucas</t>
        </is>
      </c>
      <c r="B13" s="12" t="inlineStr">
        <is>
          <t>Charge S1 (Foster)</t>
        </is>
      </c>
      <c r="C13" s="11" t="inlineStr">
        <is>
          <t>2180 u.a.</t>
        </is>
      </c>
      <c r="D13" s="14" t="inlineStr">
        <is>
          <t>SEMAINE CHARGÉE</t>
        </is>
      </c>
      <c r="E13" s="12" t="inlineStr">
        <is>
          <t>Surveiller tolérance match, hydratation</t>
        </is>
      </c>
    </row>
    <row r="14">
      <c r="A14" s="11" t="inlineStr">
        <is>
          <t>Hugo</t>
        </is>
      </c>
      <c r="B14" s="12" t="inlineStr">
        <is>
          <t>Sprint &amp; CMJ</t>
        </is>
      </c>
      <c r="C14" s="11" t="inlineStr">
        <is>
          <t>-0.08s / +4.0cm</t>
        </is>
      </c>
      <c r="D14" s="15" t="inlineStr">
        <is>
          <t>PROGRESSION OPTIMALE</t>
        </is>
      </c>
      <c r="E14" s="12" t="inlineStr">
        <is>
          <t>Poursuivre cycle de charge actuel</t>
        </is>
      </c>
    </row>
    <row r="15">
      <c r="A15" s="11" t="inlineStr">
        <is>
          <t>Sarah</t>
        </is>
      </c>
      <c r="B15" s="12" t="inlineStr">
        <is>
          <t>Hydratation totale</t>
        </is>
      </c>
      <c r="C15" s="11" t="inlineStr">
        <is>
          <t>2900 ml</t>
        </is>
      </c>
      <c r="D15" s="15" t="inlineStr">
        <is>
          <t>HYDRATATION CONFORME</t>
        </is>
      </c>
      <c r="E15" s="12" t="inlineStr">
        <is>
          <t>Bon équilibre journalier pour triathlète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6" customWidth="1" min="3" max="3"/>
    <col width="15" customWidth="1" min="4" max="4"/>
    <col width="16" customWidth="1" min="5" max="5"/>
    <col width="20" customWidth="1" min="6" max="6"/>
    <col width="23" customWidth="1" min="7" max="7"/>
    <col width="70" customWidth="1" min="8" max="8"/>
    <col width="114" customWidth="1" min="9" max="9"/>
    <col width="12" customWidth="1" min="10" max="10"/>
    <col width="12" customWidth="1" min="11" max="11"/>
    <col width="40" customWidth="1" min="12" max="12"/>
    <col width="40" customWidth="1" min="13" max="13"/>
    <col width="47" customWidth="1" min="14" max="14"/>
  </cols>
  <sheetData>
    <row r="1">
      <c r="A1" s="1" t="inlineStr">
        <is>
          <t>OUTIL 1 — SUIVI DE LA RÉCUPÉRATION &amp; ÉTAT DE FORME (INDICE DE HOOPER)</t>
        </is>
      </c>
    </row>
    <row r="2">
      <c r="A2" s="2" t="inlineStr">
        <is>
          <t>Collecte quotidienne U18 — Échelle de 1 (Très bon / Nul) à 7 (Très mauvais / Extrême) — Somme de 4 à 28</t>
        </is>
      </c>
    </row>
    <row r="3"/>
    <row r="4">
      <c r="A4" s="16" t="inlineStr">
        <is>
          <t>Date</t>
        </is>
      </c>
      <c r="B4" s="16" t="inlineStr">
        <is>
          <t>Athlète</t>
        </is>
      </c>
      <c r="C4" s="16" t="inlineStr">
        <is>
          <t>Sommeil (1-7)</t>
        </is>
      </c>
      <c r="D4" s="16" t="inlineStr">
        <is>
          <t>Stress (1-7)</t>
        </is>
      </c>
      <c r="E4" s="16" t="inlineStr">
        <is>
          <t>Fatigue (1-7)</t>
        </is>
      </c>
      <c r="F4" s="16" t="inlineStr">
        <is>
          <t>Courbatures (1-7)</t>
        </is>
      </c>
      <c r="G4" s="16" t="inlineStr">
        <is>
          <t>Indice Hooper (4-28)</t>
        </is>
      </c>
      <c r="H4" s="16" t="inlineStr">
        <is>
          <t>Statut Récupération</t>
        </is>
      </c>
      <c r="I4" s="16" t="inlineStr">
        <is>
          <t>Recommandation Staff</t>
        </is>
      </c>
      <c r="K4" s="17" t="inlineStr">
        <is>
          <t>Athlète</t>
        </is>
      </c>
      <c r="L4" s="17" t="inlineStr">
        <is>
          <t>Moyenne Hooper</t>
        </is>
      </c>
      <c r="M4" s="17" t="inlineStr">
        <is>
          <t>Max Hooper</t>
        </is>
      </c>
      <c r="N4" s="17" t="inlineStr">
        <is>
          <t>Alertes (&gt;=20)</t>
        </is>
      </c>
    </row>
    <row r="5">
      <c r="A5" s="11" t="inlineStr">
        <is>
          <t>2026-09-08</t>
        </is>
      </c>
      <c r="B5" s="12" t="inlineStr">
        <is>
          <t>Lucas</t>
        </is>
      </c>
      <c r="C5" s="11" t="n">
        <v>2</v>
      </c>
      <c r="D5" s="11" t="n">
        <v>2</v>
      </c>
      <c r="E5" s="11" t="n">
        <v>3</v>
      </c>
      <c r="F5" s="11" t="n">
        <v>2</v>
      </c>
      <c r="G5" s="18">
        <f>SOMME(C5:F5)</f>
        <v/>
      </c>
      <c r="H5" s="11">
        <f>SI(G5&gt;=20; "ALERTE FATIGUE"; SI(G5&gt;=15; "Vigilance"; "Optimal"))</f>
        <v/>
      </c>
      <c r="I5" s="12">
        <f>SI(G5&gt;=20; "Allègement 50% ou repos actif"; SI(G5&gt;=15; "Adapter intensité / hydratation"; "Séance normale"))</f>
        <v/>
      </c>
      <c r="K5" s="11" t="inlineStr">
        <is>
          <t>Lucas</t>
        </is>
      </c>
      <c r="L5" s="19">
        <f>MOYENNE.SI(B5:B32; "Lucas"; G5:G32)</f>
        <v/>
      </c>
      <c r="M5" s="11">
        <f>MAX.SI.ENS(G5:G32; B5:B32; "Lucas")</f>
        <v/>
      </c>
      <c r="N5" s="11">
        <f>NB.SI.ENS(B5:B32; "Lucas"; G5:G32; "&gt;=20")</f>
        <v/>
      </c>
    </row>
    <row r="6">
      <c r="A6" s="11" t="inlineStr">
        <is>
          <t>2026-09-08</t>
        </is>
      </c>
      <c r="B6" s="12" t="inlineStr">
        <is>
          <t>Noah</t>
        </is>
      </c>
      <c r="C6" s="11" t="n">
        <v>3</v>
      </c>
      <c r="D6" s="11" t="n">
        <v>2</v>
      </c>
      <c r="E6" s="11" t="n">
        <v>3</v>
      </c>
      <c r="F6" s="11" t="n">
        <v>3</v>
      </c>
      <c r="G6" s="18">
        <f>SOMME(C6:F6)</f>
        <v/>
      </c>
      <c r="H6" s="11">
        <f>SI(G6&gt;=20; "ALERTE FATIGUE"; SI(G6&gt;=15; "Vigilance"; "Optimal"))</f>
        <v/>
      </c>
      <c r="I6" s="12">
        <f>SI(G6&gt;=20; "Allègement 50% ou repos actif"; SI(G6&gt;=15; "Adapter intensité / hydratation"; "Séance normale"))</f>
        <v/>
      </c>
      <c r="K6" s="11" t="inlineStr">
        <is>
          <t>Noah</t>
        </is>
      </c>
      <c r="L6" s="19">
        <f>MOYENNE.SI(B5:B32; "Noah"; G5:G32)</f>
        <v/>
      </c>
      <c r="M6" s="11">
        <f>MAX.SI.ENS(G5:G32; B5:B32; "Noah")</f>
        <v/>
      </c>
      <c r="N6" s="11">
        <f>NB.SI.ENS(B5:B32; "Noah"; G5:G32; "&gt;=20")</f>
        <v/>
      </c>
    </row>
    <row r="7">
      <c r="A7" s="11" t="inlineStr">
        <is>
          <t>2026-09-08</t>
        </is>
      </c>
      <c r="B7" s="12" t="inlineStr">
        <is>
          <t>Hugo</t>
        </is>
      </c>
      <c r="C7" s="11" t="n">
        <v>2</v>
      </c>
      <c r="D7" s="11" t="n">
        <v>1</v>
      </c>
      <c r="E7" s="11" t="n">
        <v>2</v>
      </c>
      <c r="F7" s="11" t="n">
        <v>2</v>
      </c>
      <c r="G7" s="18">
        <f>SOMME(C7:F7)</f>
        <v/>
      </c>
      <c r="H7" s="11">
        <f>SI(G7&gt;=20; "ALERTE FATIGUE"; SI(G7&gt;=15; "Vigilance"; "Optimal"))</f>
        <v/>
      </c>
      <c r="I7" s="12">
        <f>SI(G7&gt;=20; "Allègement 50% ou repos actif"; SI(G7&gt;=15; "Adapter intensité / hydratation"; "Séance normale"))</f>
        <v/>
      </c>
      <c r="K7" s="11" t="inlineStr">
        <is>
          <t>Hugo</t>
        </is>
      </c>
      <c r="L7" s="19">
        <f>MOYENNE.SI(B5:B32; "Hugo"; G5:G32)</f>
        <v/>
      </c>
      <c r="M7" s="11">
        <f>MAX.SI.ENS(G5:G32; B5:B32; "Hugo")</f>
        <v/>
      </c>
      <c r="N7" s="11">
        <f>NB.SI.ENS(B5:B32; "Hugo"; G5:G32; "&gt;=20")</f>
        <v/>
      </c>
    </row>
    <row r="8">
      <c r="A8" s="11" t="inlineStr">
        <is>
          <t>2026-09-08</t>
        </is>
      </c>
      <c r="B8" s="12" t="inlineStr">
        <is>
          <t>Nathan</t>
        </is>
      </c>
      <c r="C8" s="11" t="n">
        <v>3</v>
      </c>
      <c r="D8" s="11" t="n">
        <v>3</v>
      </c>
      <c r="E8" s="11" t="n">
        <v>4</v>
      </c>
      <c r="F8" s="11" t="n">
        <v>3</v>
      </c>
      <c r="G8" s="18">
        <f>SOMME(C8:F8)</f>
        <v/>
      </c>
      <c r="H8" s="11">
        <f>SI(G8&gt;=20; "ALERTE FATIGUE"; SI(G8&gt;=15; "Vigilance"; "Optimal"))</f>
        <v/>
      </c>
      <c r="I8" s="12">
        <f>SI(G8&gt;=20; "Allègement 50% ou repos actif"; SI(G8&gt;=15; "Adapter intensité / hydratation"; "Séance normale"))</f>
        <v/>
      </c>
      <c r="K8" s="11" t="inlineStr">
        <is>
          <t>Nathan</t>
        </is>
      </c>
      <c r="L8" s="19">
        <f>MOYENNE.SI(B5:B32; "Nathan"; G5:G32)</f>
        <v/>
      </c>
      <c r="M8" s="11">
        <f>MAX.SI.ENS(G5:G32; B5:B32; "Nathan")</f>
        <v/>
      </c>
      <c r="N8" s="11">
        <f>NB.SI.ENS(B5:B32; "Nathan"; G5:G32; "&gt;=20")</f>
        <v/>
      </c>
    </row>
    <row r="9">
      <c r="A9" s="11" t="inlineStr">
        <is>
          <t>2026-09-09</t>
        </is>
      </c>
      <c r="B9" s="12" t="inlineStr">
        <is>
          <t>Lucas</t>
        </is>
      </c>
      <c r="C9" s="11" t="n">
        <v>3</v>
      </c>
      <c r="D9" s="11" t="n">
        <v>2</v>
      </c>
      <c r="E9" s="11" t="n">
        <v>4</v>
      </c>
      <c r="F9" s="11" t="n">
        <v>4</v>
      </c>
      <c r="G9" s="18">
        <f>SOMME(C9:F9)</f>
        <v/>
      </c>
      <c r="H9" s="11">
        <f>SI(G9&gt;=20; "ALERTE FATIGUE"; SI(G9&gt;=15; "Vigilance"; "Optimal"))</f>
        <v/>
      </c>
      <c r="I9" s="12">
        <f>SI(G9&gt;=20; "Allègement 50% ou repos actif"; SI(G9&gt;=15; "Adapter intensité / hydratation"; "Séance normale"))</f>
        <v/>
      </c>
    </row>
    <row r="10">
      <c r="A10" s="11" t="inlineStr">
        <is>
          <t>2026-09-09</t>
        </is>
      </c>
      <c r="B10" s="12" t="inlineStr">
        <is>
          <t>Noah</t>
        </is>
      </c>
      <c r="C10" s="11" t="n">
        <v>4</v>
      </c>
      <c r="D10" s="11" t="n">
        <v>3</v>
      </c>
      <c r="E10" s="11" t="n">
        <v>5</v>
      </c>
      <c r="F10" s="11" t="n">
        <v>4</v>
      </c>
      <c r="G10" s="18">
        <f>SOMME(C10:F10)</f>
        <v/>
      </c>
      <c r="H10" s="11">
        <f>SI(G10&gt;=20; "ALERTE FATIGUE"; SI(G10&gt;=15; "Vigilance"; "Optimal"))</f>
        <v/>
      </c>
      <c r="I10" s="12">
        <f>SI(G10&gt;=20; "Allègement 50% ou repos actif"; SI(G10&gt;=15; "Adapter intensité / hydratation"; "Séance normale"))</f>
        <v/>
      </c>
    </row>
    <row r="11">
      <c r="A11" s="11" t="inlineStr">
        <is>
          <t>2026-09-09</t>
        </is>
      </c>
      <c r="B11" s="12" t="inlineStr">
        <is>
          <t>Hugo</t>
        </is>
      </c>
      <c r="C11" s="11" t="n">
        <v>3</v>
      </c>
      <c r="D11" s="11" t="n">
        <v>2</v>
      </c>
      <c r="E11" s="11" t="n">
        <v>3</v>
      </c>
      <c r="F11" s="11" t="n">
        <v>3</v>
      </c>
      <c r="G11" s="18">
        <f>SOMME(C11:F11)</f>
        <v/>
      </c>
      <c r="H11" s="11">
        <f>SI(G11&gt;=20; "ALERTE FATIGUE"; SI(G11&gt;=15; "Vigilance"; "Optimal"))</f>
        <v/>
      </c>
      <c r="I11" s="12">
        <f>SI(G11&gt;=20; "Allègement 50% ou repos actif"; SI(G11&gt;=15; "Adapter intensité / hydratation"; "Séance normale"))</f>
        <v/>
      </c>
    </row>
    <row r="12">
      <c r="A12" s="11" t="inlineStr">
        <is>
          <t>2026-09-09</t>
        </is>
      </c>
      <c r="B12" s="12" t="inlineStr">
        <is>
          <t>Nathan</t>
        </is>
      </c>
      <c r="C12" s="11" t="n">
        <v>4</v>
      </c>
      <c r="D12" s="11" t="n">
        <v>4</v>
      </c>
      <c r="E12" s="11" t="n">
        <v>5</v>
      </c>
      <c r="F12" s="11" t="n">
        <v>5</v>
      </c>
      <c r="G12" s="18">
        <f>SOMME(C12:F12)</f>
        <v/>
      </c>
      <c r="H12" s="11">
        <f>SI(G12&gt;=20; "ALERTE FATIGUE"; SI(G12&gt;=15; "Vigilance"; "Optimal"))</f>
        <v/>
      </c>
      <c r="I12" s="12">
        <f>SI(G12&gt;=20; "Allègement 50% ou repos actif"; SI(G12&gt;=15; "Adapter intensité / hydratation"; "Séance normale"))</f>
        <v/>
      </c>
    </row>
    <row r="13">
      <c r="A13" s="11" t="inlineStr">
        <is>
          <t>2026-09-10</t>
        </is>
      </c>
      <c r="B13" s="12" t="inlineStr">
        <is>
          <t>Lucas</t>
        </is>
      </c>
      <c r="C13" s="11" t="n">
        <v>4</v>
      </c>
      <c r="D13" s="11" t="n">
        <v>3</v>
      </c>
      <c r="E13" s="11" t="n">
        <v>5</v>
      </c>
      <c r="F13" s="11" t="n">
        <v>5</v>
      </c>
      <c r="G13" s="18">
        <f>SOMME(C13:F13)</f>
        <v/>
      </c>
      <c r="H13" s="11">
        <f>SI(G13&gt;=20; "ALERTE FATIGUE"; SI(G13&gt;=15; "Vigilance"; "Optimal"))</f>
        <v/>
      </c>
      <c r="I13" s="12">
        <f>SI(G13&gt;=20; "Allègement 50% ou repos actif"; SI(G13&gt;=15; "Adapter intensité / hydratation"; "Séance normale"))</f>
        <v/>
      </c>
    </row>
    <row r="14">
      <c r="A14" s="11" t="inlineStr">
        <is>
          <t>2026-09-10</t>
        </is>
      </c>
      <c r="B14" s="12" t="inlineStr">
        <is>
          <t>Noah</t>
        </is>
      </c>
      <c r="C14" s="11" t="n">
        <v>5</v>
      </c>
      <c r="D14" s="11" t="n">
        <v>4</v>
      </c>
      <c r="E14" s="11" t="n">
        <v>6</v>
      </c>
      <c r="F14" s="11" t="n">
        <v>6</v>
      </c>
      <c r="G14" s="18">
        <f>SOMME(C14:F14)</f>
        <v/>
      </c>
      <c r="H14" s="11">
        <f>SI(G14&gt;=20; "ALERTE FATIGUE"; SI(G14&gt;=15; "Vigilance"; "Optimal"))</f>
        <v/>
      </c>
      <c r="I14" s="12">
        <f>SI(G14&gt;=20; "Allègement 50% ou repos actif"; SI(G14&gt;=15; "Adapter intensité / hydratation"; "Séance normale"))</f>
        <v/>
      </c>
    </row>
    <row r="15">
      <c r="A15" s="11" t="inlineStr">
        <is>
          <t>2026-09-10</t>
        </is>
      </c>
      <c r="B15" s="12" t="inlineStr">
        <is>
          <t>Hugo</t>
        </is>
      </c>
      <c r="C15" s="11" t="n">
        <v>3</v>
      </c>
      <c r="D15" s="11" t="n">
        <v>2</v>
      </c>
      <c r="E15" s="11" t="n">
        <v>4</v>
      </c>
      <c r="F15" s="11" t="n">
        <v>3</v>
      </c>
      <c r="G15" s="18">
        <f>SOMME(C15:F15)</f>
        <v/>
      </c>
      <c r="H15" s="11">
        <f>SI(G15&gt;=20; "ALERTE FATIGUE"; SI(G15&gt;=15; "Vigilance"; "Optimal"))</f>
        <v/>
      </c>
      <c r="I15" s="12">
        <f>SI(G15&gt;=20; "Allègement 50% ou repos actif"; SI(G15&gt;=15; "Adapter intensité / hydratation"; "Séance normale"))</f>
        <v/>
      </c>
    </row>
    <row r="16">
      <c r="A16" s="11" t="inlineStr">
        <is>
          <t>2026-09-10</t>
        </is>
      </c>
      <c r="B16" s="12" t="inlineStr">
        <is>
          <t>Nathan</t>
        </is>
      </c>
      <c r="C16" s="11" t="n">
        <v>5</v>
      </c>
      <c r="D16" s="11" t="n">
        <v>5</v>
      </c>
      <c r="E16" s="11" t="n">
        <v>6</v>
      </c>
      <c r="F16" s="11" t="n">
        <v>6</v>
      </c>
      <c r="G16" s="18">
        <f>SOMME(C16:F16)</f>
        <v/>
      </c>
      <c r="H16" s="11">
        <f>SI(G16&gt;=20; "ALERTE FATIGUE"; SI(G16&gt;=15; "Vigilance"; "Optimal"))</f>
        <v/>
      </c>
      <c r="I16" s="12">
        <f>SI(G16&gt;=20; "Allègement 50% ou repos actif"; SI(G16&gt;=15; "Adapter intensité / hydratation"; "Séance normale"))</f>
        <v/>
      </c>
    </row>
    <row r="17">
      <c r="A17" s="11" t="inlineStr">
        <is>
          <t>2026-09-11</t>
        </is>
      </c>
      <c r="B17" s="12" t="inlineStr">
        <is>
          <t>Lucas</t>
        </is>
      </c>
      <c r="C17" s="11" t="n">
        <v>2</v>
      </c>
      <c r="D17" s="11" t="n">
        <v>2</v>
      </c>
      <c r="E17" s="11" t="n">
        <v>3</v>
      </c>
      <c r="F17" s="11" t="n">
        <v>3</v>
      </c>
      <c r="G17" s="18">
        <f>SOMME(C17:F17)</f>
        <v/>
      </c>
      <c r="H17" s="11">
        <f>SI(G17&gt;=20; "ALERTE FATIGUE"; SI(G17&gt;=15; "Vigilance"; "Optimal"))</f>
        <v/>
      </c>
      <c r="I17" s="12">
        <f>SI(G17&gt;=20; "Allègement 50% ou repos actif"; SI(G17&gt;=15; "Adapter intensité / hydratation"; "Séance normale"))</f>
        <v/>
      </c>
    </row>
    <row r="18">
      <c r="A18" s="11" t="inlineStr">
        <is>
          <t>2026-09-11</t>
        </is>
      </c>
      <c r="B18" s="12" t="inlineStr">
        <is>
          <t>Noah</t>
        </is>
      </c>
      <c r="C18" s="11" t="n">
        <v>3</v>
      </c>
      <c r="D18" s="11" t="n">
        <v>2</v>
      </c>
      <c r="E18" s="11" t="n">
        <v>3</v>
      </c>
      <c r="F18" s="11" t="n">
        <v>3</v>
      </c>
      <c r="G18" s="18">
        <f>SOMME(C18:F18)</f>
        <v/>
      </c>
      <c r="H18" s="11">
        <f>SI(G18&gt;=20; "ALERTE FATIGUE"; SI(G18&gt;=15; "Vigilance"; "Optimal"))</f>
        <v/>
      </c>
      <c r="I18" s="12">
        <f>SI(G18&gt;=20; "Allègement 50% ou repos actif"; SI(G18&gt;=15; "Adapter intensité / hydratation"; "Séance normale"))</f>
        <v/>
      </c>
    </row>
    <row r="19">
      <c r="A19" s="11" t="inlineStr">
        <is>
          <t>2026-09-11</t>
        </is>
      </c>
      <c r="B19" s="12" t="inlineStr">
        <is>
          <t>Hugo</t>
        </is>
      </c>
      <c r="C19" s="11" t="n">
        <v>2</v>
      </c>
      <c r="D19" s="11" t="n">
        <v>1</v>
      </c>
      <c r="E19" s="11" t="n">
        <v>2</v>
      </c>
      <c r="F19" s="11" t="n">
        <v>2</v>
      </c>
      <c r="G19" s="18">
        <f>SOMME(C19:F19)</f>
        <v/>
      </c>
      <c r="H19" s="11">
        <f>SI(G19&gt;=20; "ALERTE FATIGUE"; SI(G19&gt;=15; "Vigilance"; "Optimal"))</f>
        <v/>
      </c>
      <c r="I19" s="12">
        <f>SI(G19&gt;=20; "Allègement 50% ou repos actif"; SI(G19&gt;=15; "Adapter intensité / hydratation"; "Séance normale"))</f>
        <v/>
      </c>
    </row>
    <row r="20">
      <c r="A20" s="11" t="inlineStr">
        <is>
          <t>2026-09-11</t>
        </is>
      </c>
      <c r="B20" s="12" t="inlineStr">
        <is>
          <t>Nathan</t>
        </is>
      </c>
      <c r="C20" s="11" t="n">
        <v>3</v>
      </c>
      <c r="D20" s="11" t="n">
        <v>2</v>
      </c>
      <c r="E20" s="11" t="n">
        <v>4</v>
      </c>
      <c r="F20" s="11" t="n">
        <v>3</v>
      </c>
      <c r="G20" s="18">
        <f>SOMME(C20:F20)</f>
        <v/>
      </c>
      <c r="H20" s="11">
        <f>SI(G20&gt;=20; "ALERTE FATIGUE"; SI(G20&gt;=15; "Vigilance"; "Optimal"))</f>
        <v/>
      </c>
      <c r="I20" s="12">
        <f>SI(G20&gt;=20; "Allègement 50% ou repos actif"; SI(G20&gt;=15; "Adapter intensité / hydratation"; "Séance normale"))</f>
        <v/>
      </c>
    </row>
    <row r="21">
      <c r="A21" s="11" t="inlineStr">
        <is>
          <t>2026-09-12</t>
        </is>
      </c>
      <c r="B21" s="12" t="inlineStr">
        <is>
          <t>Lucas</t>
        </is>
      </c>
      <c r="C21" s="11" t="n">
        <v>5</v>
      </c>
      <c r="D21" s="11" t="n">
        <v>4</v>
      </c>
      <c r="E21" s="11" t="n">
        <v>6</v>
      </c>
      <c r="F21" s="11" t="n">
        <v>6</v>
      </c>
      <c r="G21" s="18">
        <f>SOMME(C21:F21)</f>
        <v/>
      </c>
      <c r="H21" s="11">
        <f>SI(G21&gt;=20; "ALERTE FATIGUE"; SI(G21&gt;=15; "Vigilance"; "Optimal"))</f>
        <v/>
      </c>
      <c r="I21" s="12">
        <f>SI(G21&gt;=20; "Allègement 50% ou repos actif"; SI(G21&gt;=15; "Adapter intensité / hydratation"; "Séance normale"))</f>
        <v/>
      </c>
    </row>
    <row r="22">
      <c r="A22" s="11" t="inlineStr">
        <is>
          <t>2026-09-12</t>
        </is>
      </c>
      <c r="B22" s="12" t="inlineStr">
        <is>
          <t>Noah</t>
        </is>
      </c>
      <c r="C22" s="11" t="n">
        <v>6</v>
      </c>
      <c r="D22" s="11" t="n">
        <v>5</v>
      </c>
      <c r="E22" s="11" t="n">
        <v>7</v>
      </c>
      <c r="F22" s="11" t="n">
        <v>6</v>
      </c>
      <c r="G22" s="18">
        <f>SOMME(C22:F22)</f>
        <v/>
      </c>
      <c r="H22" s="11">
        <f>SI(G22&gt;=20; "ALERTE FATIGUE"; SI(G22&gt;=15; "Vigilance"; "Optimal"))</f>
        <v/>
      </c>
      <c r="I22" s="12">
        <f>SI(G22&gt;=20; "Allègement 50% ou repos actif"; SI(G22&gt;=15; "Adapter intensité / hydratation"; "Séance normale"))</f>
        <v/>
      </c>
    </row>
    <row r="23">
      <c r="A23" s="11" t="inlineStr">
        <is>
          <t>2026-09-12</t>
        </is>
      </c>
      <c r="B23" s="12" t="inlineStr">
        <is>
          <t>Hugo</t>
        </is>
      </c>
      <c r="C23" s="11" t="n">
        <v>4</v>
      </c>
      <c r="D23" s="11" t="n">
        <v>3</v>
      </c>
      <c r="E23" s="11" t="n">
        <v>5</v>
      </c>
      <c r="F23" s="11" t="n">
        <v>4</v>
      </c>
      <c r="G23" s="18">
        <f>SOMME(C23:F23)</f>
        <v/>
      </c>
      <c r="H23" s="11">
        <f>SI(G23&gt;=20; "ALERTE FATIGUE"; SI(G23&gt;=15; "Vigilance"; "Optimal"))</f>
        <v/>
      </c>
      <c r="I23" s="12">
        <f>SI(G23&gt;=20; "Allègement 50% ou repos actif"; SI(G23&gt;=15; "Adapter intensité / hydratation"; "Séance normale"))</f>
        <v/>
      </c>
    </row>
    <row r="24">
      <c r="A24" s="11" t="inlineStr">
        <is>
          <t>2026-09-12</t>
        </is>
      </c>
      <c r="B24" s="12" t="inlineStr">
        <is>
          <t>Nathan</t>
        </is>
      </c>
      <c r="C24" s="11" t="n">
        <v>6</v>
      </c>
      <c r="D24" s="11" t="n">
        <v>5</v>
      </c>
      <c r="E24" s="11" t="n">
        <v>7</v>
      </c>
      <c r="F24" s="11" t="n">
        <v>7</v>
      </c>
      <c r="G24" s="18">
        <f>SOMME(C24:F24)</f>
        <v/>
      </c>
      <c r="H24" s="11">
        <f>SI(G24&gt;=20; "ALERTE FATIGUE"; SI(G24&gt;=15; "Vigilance"; "Optimal"))</f>
        <v/>
      </c>
      <c r="I24" s="12">
        <f>SI(G24&gt;=20; "Allègement 50% ou repos actif"; SI(G24&gt;=15; "Adapter intensité / hydratation"; "Séance normale"))</f>
        <v/>
      </c>
    </row>
    <row r="25">
      <c r="A25" s="11" t="inlineStr">
        <is>
          <t>2026-09-13</t>
        </is>
      </c>
      <c r="B25" s="12" t="inlineStr">
        <is>
          <t>Lucas</t>
        </is>
      </c>
      <c r="C25" s="11" t="n">
        <v>4</v>
      </c>
      <c r="D25" s="11" t="n">
        <v>3</v>
      </c>
      <c r="E25" s="11" t="n">
        <v>5</v>
      </c>
      <c r="F25" s="11" t="n">
        <v>5</v>
      </c>
      <c r="G25" s="18">
        <f>SOMME(C25:F25)</f>
        <v/>
      </c>
      <c r="H25" s="11">
        <f>SI(G25&gt;=20; "ALERTE FATIGUE"; SI(G25&gt;=15; "Vigilance"; "Optimal"))</f>
        <v/>
      </c>
      <c r="I25" s="12">
        <f>SI(G25&gt;=20; "Allègement 50% ou repos actif"; SI(G25&gt;=15; "Adapter intensité / hydratation"; "Séance normale"))</f>
        <v/>
      </c>
    </row>
    <row r="26">
      <c r="A26" s="11" t="inlineStr">
        <is>
          <t>2026-09-13</t>
        </is>
      </c>
      <c r="B26" s="12" t="inlineStr">
        <is>
          <t>Noah</t>
        </is>
      </c>
      <c r="C26" s="11" t="n">
        <v>5</v>
      </c>
      <c r="D26" s="11" t="n">
        <v>4</v>
      </c>
      <c r="E26" s="11" t="n">
        <v>6</v>
      </c>
      <c r="F26" s="11" t="n">
        <v>6</v>
      </c>
      <c r="G26" s="18">
        <f>SOMME(C26:F26)</f>
        <v/>
      </c>
      <c r="H26" s="11">
        <f>SI(G26&gt;=20; "ALERTE FATIGUE"; SI(G26&gt;=15; "Vigilance"; "Optimal"))</f>
        <v/>
      </c>
      <c r="I26" s="12">
        <f>SI(G26&gt;=20; "Allègement 50% ou repos actif"; SI(G26&gt;=15; "Adapter intensité / hydratation"; "Séance normale"))</f>
        <v/>
      </c>
    </row>
    <row r="27">
      <c r="A27" s="11" t="inlineStr">
        <is>
          <t>2026-09-13</t>
        </is>
      </c>
      <c r="B27" s="12" t="inlineStr">
        <is>
          <t>Hugo</t>
        </is>
      </c>
      <c r="C27" s="11" t="n">
        <v>3</v>
      </c>
      <c r="D27" s="11" t="n">
        <v>2</v>
      </c>
      <c r="E27" s="11" t="n">
        <v>4</v>
      </c>
      <c r="F27" s="11" t="n">
        <v>3</v>
      </c>
      <c r="G27" s="18">
        <f>SOMME(C27:F27)</f>
        <v/>
      </c>
      <c r="H27" s="11">
        <f>SI(G27&gt;=20; "ALERTE FATIGUE"; SI(G27&gt;=15; "Vigilance"; "Optimal"))</f>
        <v/>
      </c>
      <c r="I27" s="12">
        <f>SI(G27&gt;=20; "Allègement 50% ou repos actif"; SI(G27&gt;=15; "Adapter intensité / hydratation"; "Séance normale"))</f>
        <v/>
      </c>
    </row>
    <row r="28">
      <c r="A28" s="11" t="inlineStr">
        <is>
          <t>2026-09-13</t>
        </is>
      </c>
      <c r="B28" s="12" t="inlineStr">
        <is>
          <t>Nathan</t>
        </is>
      </c>
      <c r="C28" s="11" t="n">
        <v>5</v>
      </c>
      <c r="D28" s="11" t="n">
        <v>4</v>
      </c>
      <c r="E28" s="11" t="n">
        <v>5</v>
      </c>
      <c r="F28" s="11" t="n">
        <v>6</v>
      </c>
      <c r="G28" s="18">
        <f>SOMME(C28:F28)</f>
        <v/>
      </c>
      <c r="H28" s="11">
        <f>SI(G28&gt;=20; "ALERTE FATIGUE"; SI(G28&gt;=15; "Vigilance"; "Optimal"))</f>
        <v/>
      </c>
      <c r="I28" s="12">
        <f>SI(G28&gt;=20; "Allègement 50% ou repos actif"; SI(G28&gt;=15; "Adapter intensité / hydratation"; "Séance normale"))</f>
        <v/>
      </c>
    </row>
    <row r="29">
      <c r="A29" s="11" t="inlineStr">
        <is>
          <t>2026-09-14</t>
        </is>
      </c>
      <c r="B29" s="12" t="inlineStr">
        <is>
          <t>Lucas</t>
        </is>
      </c>
      <c r="C29" s="11" t="n">
        <v>2</v>
      </c>
      <c r="D29" s="11" t="n">
        <v>2</v>
      </c>
      <c r="E29" s="11" t="n">
        <v>2</v>
      </c>
      <c r="F29" s="11" t="n">
        <v>2</v>
      </c>
      <c r="G29" s="18">
        <f>SOMME(C29:F29)</f>
        <v/>
      </c>
      <c r="H29" s="11">
        <f>SI(G29&gt;=20; "ALERTE FATIGUE"; SI(G29&gt;=15; "Vigilance"; "Optimal"))</f>
        <v/>
      </c>
      <c r="I29" s="12">
        <f>SI(G29&gt;=20; "Allègement 50% ou repos actif"; SI(G29&gt;=15; "Adapter intensité / hydratation"; "Séance normale"))</f>
        <v/>
      </c>
    </row>
    <row r="30">
      <c r="A30" s="11" t="inlineStr">
        <is>
          <t>2026-09-14</t>
        </is>
      </c>
      <c r="B30" s="12" t="inlineStr">
        <is>
          <t>Noah</t>
        </is>
      </c>
      <c r="C30" s="11" t="n">
        <v>2</v>
      </c>
      <c r="D30" s="11" t="n">
        <v>2</v>
      </c>
      <c r="E30" s="11" t="n">
        <v>3</v>
      </c>
      <c r="F30" s="11" t="n">
        <v>3</v>
      </c>
      <c r="G30" s="18">
        <f>SOMME(C30:F30)</f>
        <v/>
      </c>
      <c r="H30" s="11">
        <f>SI(G30&gt;=20; "ALERTE FATIGUE"; SI(G30&gt;=15; "Vigilance"; "Optimal"))</f>
        <v/>
      </c>
      <c r="I30" s="12">
        <f>SI(G30&gt;=20; "Allègement 50% ou repos actif"; SI(G30&gt;=15; "Adapter intensité / hydratation"; "Séance normale"))</f>
        <v/>
      </c>
    </row>
    <row r="31">
      <c r="A31" s="11" t="inlineStr">
        <is>
          <t>2026-09-14</t>
        </is>
      </c>
      <c r="B31" s="12" t="inlineStr">
        <is>
          <t>Hugo</t>
        </is>
      </c>
      <c r="C31" s="11" t="n">
        <v>2</v>
      </c>
      <c r="D31" s="11" t="n">
        <v>1</v>
      </c>
      <c r="E31" s="11" t="n">
        <v>2</v>
      </c>
      <c r="F31" s="11" t="n">
        <v>2</v>
      </c>
      <c r="G31" s="18">
        <f>SOMME(C31:F31)</f>
        <v/>
      </c>
      <c r="H31" s="11">
        <f>SI(G31&gt;=20; "ALERTE FATIGUE"; SI(G31&gt;=15; "Vigilance"; "Optimal"))</f>
        <v/>
      </c>
      <c r="I31" s="12">
        <f>SI(G31&gt;=20; "Allègement 50% ou repos actif"; SI(G31&gt;=15; "Adapter intensité / hydratation"; "Séance normale"))</f>
        <v/>
      </c>
    </row>
    <row r="32">
      <c r="A32" s="11" t="inlineStr">
        <is>
          <t>2026-09-14</t>
        </is>
      </c>
      <c r="B32" s="12" t="inlineStr">
        <is>
          <t>Nathan</t>
        </is>
      </c>
      <c r="C32" s="11" t="n">
        <v>3</v>
      </c>
      <c r="D32" s="11" t="n">
        <v>2</v>
      </c>
      <c r="E32" s="11" t="n">
        <v>3</v>
      </c>
      <c r="F32" s="11" t="n">
        <v>3</v>
      </c>
      <c r="G32" s="18">
        <f>SOMME(C32:F32)</f>
        <v/>
      </c>
      <c r="H32" s="11">
        <f>SI(G32&gt;=20; "ALERTE FATIGUE"; SI(G32&gt;=15; "Vigilance"; "Optimal"))</f>
        <v/>
      </c>
      <c r="I32" s="12">
        <f>SI(G32&gt;=20; "Allègement 50% ou repos actif"; SI(G32&gt;=15; "Adapter intensité / hydratation"; "Séance normale"))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12" customWidth="1" min="3" max="3"/>
    <col width="17" customWidth="1" min="4" max="4"/>
    <col width="14" customWidth="1" min="5" max="5"/>
    <col width="13" customWidth="1" min="6" max="6"/>
    <col width="24" customWidth="1" min="7" max="7"/>
    <col width="93" customWidth="1" min="8" max="8"/>
    <col width="39" customWidth="1" min="9" max="9"/>
    <col width="12" customWidth="1" min="10" max="10"/>
    <col width="12" customWidth="1" min="11" max="11"/>
    <col width="56" customWidth="1" min="12" max="12"/>
    <col width="15" customWidth="1" min="13" max="13"/>
    <col width="15" customWidth="1" min="14" max="14"/>
    <col width="22" customWidth="1" min="15" max="15"/>
    <col width="58" customWidth="1" min="16" max="16"/>
  </cols>
  <sheetData>
    <row r="1">
      <c r="A1" s="1" t="inlineStr">
        <is>
          <t>OUTIL 2 — QUANTIFICATION DE LA CHARGE INTERNE (MÉTHODE FOSTER RPE)</t>
        </is>
      </c>
    </row>
    <row r="2">
      <c r="A2" s="2" t="inlineStr">
        <is>
          <t>Suivi de charge d'entraînement basketball — Charge (u.a.) = Durée (min) × RPE (1-10)</t>
        </is>
      </c>
    </row>
    <row r="3"/>
    <row r="4">
      <c r="A4" s="16" t="inlineStr">
        <is>
          <t>Date</t>
        </is>
      </c>
      <c r="B4" s="16" t="inlineStr">
        <is>
          <t>Semaine</t>
        </is>
      </c>
      <c r="C4" s="16" t="inlineStr">
        <is>
          <t>Joueur</t>
        </is>
      </c>
      <c r="D4" s="16" t="inlineStr">
        <is>
          <t>Type de séance</t>
        </is>
      </c>
      <c r="E4" s="16" t="inlineStr">
        <is>
          <t>Durée (min)</t>
        </is>
      </c>
      <c r="F4" s="16" t="inlineStr">
        <is>
          <t>RPE (1-10)</t>
        </is>
      </c>
      <c r="G4" s="16" t="inlineStr">
        <is>
          <t>Charge Interne (u.a.)</t>
        </is>
      </c>
      <c r="H4" s="16" t="inlineStr">
        <is>
          <t>Niveau Charge</t>
        </is>
      </c>
      <c r="I4" s="16" t="inlineStr">
        <is>
          <t>Commentaire / Fatigue</t>
        </is>
      </c>
      <c r="K4" s="17" t="inlineStr">
        <is>
          <t>Joueur</t>
        </is>
      </c>
      <c r="L4" s="17" t="inlineStr">
        <is>
          <t>Charge S1 (u.a.)</t>
        </is>
      </c>
      <c r="M4" s="17" t="inlineStr">
        <is>
          <t>Moy. Jour S1</t>
        </is>
      </c>
      <c r="N4" s="17" t="inlineStr">
        <is>
          <t>Monotonie S1</t>
        </is>
      </c>
      <c r="O4" s="17" t="inlineStr">
        <is>
          <t>Contrainte (Strain)</t>
        </is>
      </c>
      <c r="P4" s="17" t="inlineStr">
        <is>
          <t>Diagnostic S1</t>
        </is>
      </c>
    </row>
    <row r="5">
      <c r="A5" s="11" t="inlineStr">
        <is>
          <t>2026-09-08</t>
        </is>
      </c>
      <c r="B5" s="11" t="inlineStr">
        <is>
          <t>S1</t>
        </is>
      </c>
      <c r="C5" s="12" t="inlineStr">
        <is>
          <t>Lucas</t>
        </is>
      </c>
      <c r="D5" s="12" t="inlineStr">
        <is>
          <t>Technique</t>
        </is>
      </c>
      <c r="E5" s="11" t="n">
        <v>75</v>
      </c>
      <c r="F5" s="11" t="n">
        <v>5</v>
      </c>
      <c r="G5" s="18">
        <f>E5*F5</f>
        <v/>
      </c>
      <c r="H5" s="11">
        <f>SI(G5&gt;=700; "Très Élevée"; SI(G5&gt;=400; "Modérée/Élevée"; SI(G5&gt;0; "Légère"; "Repos")))</f>
        <v/>
      </c>
      <c r="I5" s="12" t="inlineStr">
        <is>
          <t>Séance de reprise rythmée</t>
        </is>
      </c>
      <c r="K5" s="11" t="inlineStr">
        <is>
          <t>Lucas</t>
        </is>
      </c>
      <c r="L5" s="11">
        <f>SOMME.SI.ENS(G5:G40; C5:C40; "Lucas"; B5:B40; "S1")</f>
        <v/>
      </c>
      <c r="M5" s="19">
        <f>L5/7</f>
        <v/>
      </c>
      <c r="N5" s="20">
        <f>L5/(7*150)</f>
        <v/>
      </c>
      <c r="O5" s="21">
        <f>L5*N5</f>
        <v/>
      </c>
      <c r="P5" s="11">
        <f>SI(L5&gt;=2000; "SEMAINE TRÈS CHARGÉE"; "Charge Normale")</f>
        <v/>
      </c>
    </row>
    <row r="6">
      <c r="A6" s="11" t="inlineStr">
        <is>
          <t>2026-09-08</t>
        </is>
      </c>
      <c r="B6" s="11" t="inlineStr">
        <is>
          <t>S1</t>
        </is>
      </c>
      <c r="C6" s="12" t="inlineStr">
        <is>
          <t>Noah</t>
        </is>
      </c>
      <c r="D6" s="12" t="inlineStr">
        <is>
          <t>Technique</t>
        </is>
      </c>
      <c r="E6" s="11" t="n">
        <v>75</v>
      </c>
      <c r="F6" s="11" t="n">
        <v>6</v>
      </c>
      <c r="G6" s="18">
        <f>E6*F6</f>
        <v/>
      </c>
      <c r="H6" s="11">
        <f>SI(G6&gt;=700; "Très Élevée"; SI(G6&gt;=400; "Modérée/Élevée"; SI(G6&gt;0; "Légère"; "Repos")))</f>
        <v/>
      </c>
      <c r="I6" s="12" t="inlineStr">
        <is>
          <t>Bonnes sensations générales</t>
        </is>
      </c>
      <c r="K6" s="11" t="inlineStr">
        <is>
          <t>Noah</t>
        </is>
      </c>
      <c r="L6" s="11">
        <f>SOMME.SI.ENS(G5:G40; C5:C40; "Noah"; B5:B40; "S1")</f>
        <v/>
      </c>
      <c r="M6" s="19">
        <f>L6/7</f>
        <v/>
      </c>
      <c r="N6" s="20">
        <f>L6/(7*150)</f>
        <v/>
      </c>
      <c r="O6" s="21">
        <f>L6*N6</f>
        <v/>
      </c>
      <c r="P6" s="11">
        <f>SI(L6&gt;=2000; "SEMAINE TRÈS CHARGÉE"; "Charge Normale")</f>
        <v/>
      </c>
    </row>
    <row r="7">
      <c r="A7" s="11" t="inlineStr">
        <is>
          <t>2026-09-08</t>
        </is>
      </c>
      <c r="B7" s="11" t="inlineStr">
        <is>
          <t>S1</t>
        </is>
      </c>
      <c r="C7" s="12" t="inlineStr">
        <is>
          <t>Hugo</t>
        </is>
      </c>
      <c r="D7" s="12" t="inlineStr">
        <is>
          <t>Technique</t>
        </is>
      </c>
      <c r="E7" s="11" t="n">
        <v>75</v>
      </c>
      <c r="F7" s="11" t="n">
        <v>5</v>
      </c>
      <c r="G7" s="18">
        <f>E7*F7</f>
        <v/>
      </c>
      <c r="H7" s="11">
        <f>SI(G7&gt;=700; "Très Élevée"; SI(G7&gt;=400; "Modérée/Élevée"; SI(G7&gt;0; "Légère"; "Repos")))</f>
        <v/>
      </c>
      <c r="I7" s="12" t="inlineStr">
        <is>
          <t>RAS</t>
        </is>
      </c>
      <c r="K7" s="11" t="inlineStr">
        <is>
          <t>Hugo</t>
        </is>
      </c>
      <c r="L7" s="11">
        <f>SOMME.SI.ENS(G5:G40; C5:C40; "Hugo"; B5:B40; "S1")</f>
        <v/>
      </c>
      <c r="M7" s="19">
        <f>L7/7</f>
        <v/>
      </c>
      <c r="N7" s="20">
        <f>L7/(7*150)</f>
        <v/>
      </c>
      <c r="O7" s="21">
        <f>L7*N7</f>
        <v/>
      </c>
      <c r="P7" s="11">
        <f>SI(L7&gt;=2000; "SEMAINE TRÈS CHARGÉE"; "Charge Normale")</f>
        <v/>
      </c>
    </row>
    <row r="8">
      <c r="A8" s="11" t="inlineStr">
        <is>
          <t>2026-09-08</t>
        </is>
      </c>
      <c r="B8" s="11" t="inlineStr">
        <is>
          <t>S1</t>
        </is>
      </c>
      <c r="C8" s="12" t="inlineStr">
        <is>
          <t>Nathan</t>
        </is>
      </c>
      <c r="D8" s="12" t="inlineStr">
        <is>
          <t>Technique</t>
        </is>
      </c>
      <c r="E8" s="11" t="n">
        <v>75</v>
      </c>
      <c r="F8" s="11" t="n">
        <v>5</v>
      </c>
      <c r="G8" s="18">
        <f>E8*F8</f>
        <v/>
      </c>
      <c r="H8" s="11">
        <f>SI(G8&gt;=700; "Très Élevée"; SI(G8&gt;=400; "Modérée/Élevée"; SI(G8&gt;0; "Légère"; "Repos")))</f>
        <v/>
      </c>
      <c r="I8" s="12" t="inlineStr">
        <is>
          <t>RAS</t>
        </is>
      </c>
      <c r="K8" s="11" t="inlineStr">
        <is>
          <t>Nathan</t>
        </is>
      </c>
      <c r="L8" s="11">
        <f>SOMME.SI.ENS(G5:G40; C5:C40; "Nathan"; B5:B40; "S1")</f>
        <v/>
      </c>
      <c r="M8" s="19">
        <f>L8/7</f>
        <v/>
      </c>
      <c r="N8" s="20">
        <f>L8/(7*150)</f>
        <v/>
      </c>
      <c r="O8" s="21">
        <f>L8*N8</f>
        <v/>
      </c>
      <c r="P8" s="11">
        <f>SI(L8&gt;=2000; "SEMAINE TRÈS CHARGÉE"; "Charge Normale")</f>
        <v/>
      </c>
    </row>
    <row r="9">
      <c r="A9" s="11" t="inlineStr">
        <is>
          <t>2026-09-09</t>
        </is>
      </c>
      <c r="B9" s="11" t="inlineStr">
        <is>
          <t>S1</t>
        </is>
      </c>
      <c r="C9" s="12" t="inlineStr">
        <is>
          <t>Lucas</t>
        </is>
      </c>
      <c r="D9" s="12" t="inlineStr">
        <is>
          <t>Physique</t>
        </is>
      </c>
      <c r="E9" s="11" t="n">
        <v>90</v>
      </c>
      <c r="F9" s="11" t="n">
        <v>7</v>
      </c>
      <c r="G9" s="18">
        <f>E9*F9</f>
        <v/>
      </c>
      <c r="H9" s="11">
        <f>SI(G9&gt;=700; "Très Élevée"; SI(G9&gt;=400; "Modérée/Élevée"; SI(G9&gt;0; "Légère"; "Repos")))</f>
        <v/>
      </c>
      <c r="I9" s="12" t="inlineStr">
        <is>
          <t>Intermittent lactique intense</t>
        </is>
      </c>
    </row>
    <row r="10">
      <c r="A10" s="11" t="inlineStr">
        <is>
          <t>2026-09-09</t>
        </is>
      </c>
      <c r="B10" s="11" t="inlineStr">
        <is>
          <t>S1</t>
        </is>
      </c>
      <c r="C10" s="12" t="inlineStr">
        <is>
          <t>Noah</t>
        </is>
      </c>
      <c r="D10" s="12" t="inlineStr">
        <is>
          <t>Physique</t>
        </is>
      </c>
      <c r="E10" s="11" t="n">
        <v>90</v>
      </c>
      <c r="F10" s="11" t="n">
        <v>8</v>
      </c>
      <c r="G10" s="18">
        <f>E10*F10</f>
        <v/>
      </c>
      <c r="H10" s="11">
        <f>SI(G10&gt;=700; "Très Élevée"; SI(G10&gt;=400; "Modérée/Élevée"; SI(G10&gt;0; "Légère"; "Repos")))</f>
        <v/>
      </c>
      <c r="I10" s="12" t="inlineStr">
        <is>
          <t>Fin de séance très exigeante</t>
        </is>
      </c>
    </row>
    <row r="11">
      <c r="A11" s="11" t="inlineStr">
        <is>
          <t>2026-09-09</t>
        </is>
      </c>
      <c r="B11" s="11" t="inlineStr">
        <is>
          <t>S1</t>
        </is>
      </c>
      <c r="C11" s="12" t="inlineStr">
        <is>
          <t>Hugo</t>
        </is>
      </c>
      <c r="D11" s="12" t="inlineStr">
        <is>
          <t>Physique</t>
        </is>
      </c>
      <c r="E11" s="11" t="n">
        <v>90</v>
      </c>
      <c r="F11" s="11" t="n">
        <v>7</v>
      </c>
      <c r="G11" s="18">
        <f>E11*F11</f>
        <v/>
      </c>
      <c r="H11" s="11">
        <f>SI(G11&gt;=700; "Très Élevée"; SI(G11&gt;=400; "Modérée/Élevée"; SI(G11&gt;0; "Légère"; "Repos")))</f>
        <v/>
      </c>
      <c r="I11" s="12" t="inlineStr">
        <is>
          <t>Bonne tolérance à l'effort</t>
        </is>
      </c>
    </row>
    <row r="12">
      <c r="A12" s="11" t="inlineStr">
        <is>
          <t>2026-09-09</t>
        </is>
      </c>
      <c r="B12" s="11" t="inlineStr">
        <is>
          <t>S1</t>
        </is>
      </c>
      <c r="C12" s="12" t="inlineStr">
        <is>
          <t>Nathan</t>
        </is>
      </c>
      <c r="D12" s="12" t="inlineStr">
        <is>
          <t>Physique</t>
        </is>
      </c>
      <c r="E12" s="11" t="n">
        <v>90</v>
      </c>
      <c r="F12" s="11" t="n">
        <v>6</v>
      </c>
      <c r="G12" s="18">
        <f>E12*F12</f>
        <v/>
      </c>
      <c r="H12" s="11">
        <f>SI(G12&gt;=700; "Très Élevée"; SI(G12&gt;=400; "Modérée/Élevée"; SI(G12&gt;0; "Légère"; "Repos")))</f>
        <v/>
      </c>
      <c r="I12" s="12" t="inlineStr">
        <is>
          <t>Gestion correcte du rythme</t>
        </is>
      </c>
    </row>
    <row r="13">
      <c r="A13" s="11" t="inlineStr">
        <is>
          <t>2026-09-10</t>
        </is>
      </c>
      <c r="B13" s="11" t="inlineStr">
        <is>
          <t>S1</t>
        </is>
      </c>
      <c r="C13" s="12" t="inlineStr">
        <is>
          <t>Lucas</t>
        </is>
      </c>
      <c r="D13" s="12" t="inlineStr">
        <is>
          <t>Tactique</t>
        </is>
      </c>
      <c r="E13" s="11" t="n">
        <v>70</v>
      </c>
      <c r="F13" s="11" t="n">
        <v>5</v>
      </c>
      <c r="G13" s="18">
        <f>E13*F13</f>
        <v/>
      </c>
      <c r="H13" s="11">
        <f>SI(G13&gt;=700; "Très Élevée"; SI(G13&gt;=400; "Modérée/Élevée"; SI(G13&gt;0; "Légère"; "Repos")))</f>
        <v/>
      </c>
      <c r="I13" s="12" t="inlineStr">
        <is>
          <t>Mise en place schémas de jeu</t>
        </is>
      </c>
    </row>
    <row r="14">
      <c r="A14" s="11" t="inlineStr">
        <is>
          <t>2026-09-10</t>
        </is>
      </c>
      <c r="B14" s="11" t="inlineStr">
        <is>
          <t>S1</t>
        </is>
      </c>
      <c r="C14" s="12" t="inlineStr">
        <is>
          <t>Noah</t>
        </is>
      </c>
      <c r="D14" s="12" t="inlineStr">
        <is>
          <t>Tactique</t>
        </is>
      </c>
      <c r="E14" s="11" t="n">
        <v>70</v>
      </c>
      <c r="F14" s="11" t="n">
        <v>5</v>
      </c>
      <c r="G14" s="18">
        <f>E14*F14</f>
        <v/>
      </c>
      <c r="H14" s="11">
        <f>SI(G14&gt;=700; "Très Élevée"; SI(G14&gt;=400; "Modérée/Élevée"; SI(G14&gt;0; "Légère"; "Repos")))</f>
        <v/>
      </c>
      <c r="I14" s="12" t="inlineStr">
        <is>
          <t>RAS</t>
        </is>
      </c>
    </row>
    <row r="15">
      <c r="A15" s="11" t="inlineStr">
        <is>
          <t>2026-09-10</t>
        </is>
      </c>
      <c r="B15" s="11" t="inlineStr">
        <is>
          <t>S1</t>
        </is>
      </c>
      <c r="C15" s="12" t="inlineStr">
        <is>
          <t>Hugo</t>
        </is>
      </c>
      <c r="D15" s="12" t="inlineStr">
        <is>
          <t>Tactique</t>
        </is>
      </c>
      <c r="E15" s="11" t="n">
        <v>70</v>
      </c>
      <c r="F15" s="11" t="n">
        <v>6</v>
      </c>
      <c r="G15" s="18">
        <f>E15*F15</f>
        <v/>
      </c>
      <c r="H15" s="11">
        <f>SI(G15&gt;=700; "Très Élevée"; SI(G15&gt;=400; "Modérée/Élevée"; SI(G15&gt;0; "Légère"; "Repos")))</f>
        <v/>
      </c>
      <c r="I15" s="12" t="inlineStr">
        <is>
          <t>Légère fatigue neuromusculaire</t>
        </is>
      </c>
    </row>
    <row r="16">
      <c r="A16" s="11" t="inlineStr">
        <is>
          <t>2026-09-10</t>
        </is>
      </c>
      <c r="B16" s="11" t="inlineStr">
        <is>
          <t>S1</t>
        </is>
      </c>
      <c r="C16" s="12" t="inlineStr">
        <is>
          <t>Nathan</t>
        </is>
      </c>
      <c r="D16" s="12" t="inlineStr">
        <is>
          <t>Tactique</t>
        </is>
      </c>
      <c r="E16" s="11" t="n">
        <v>70</v>
      </c>
      <c r="F16" s="11" t="n">
        <v>5</v>
      </c>
      <c r="G16" s="18">
        <f>E16*F16</f>
        <v/>
      </c>
      <c r="H16" s="11">
        <f>SI(G16&gt;=700; "Très Élevée"; SI(G16&gt;=400; "Modérée/Élevée"; SI(G16&gt;0; "Légère"; "Repos")))</f>
        <v/>
      </c>
      <c r="I16" s="12" t="inlineStr">
        <is>
          <t>RAS</t>
        </is>
      </c>
    </row>
    <row r="17">
      <c r="A17" s="11" t="inlineStr">
        <is>
          <t>2026-09-11</t>
        </is>
      </c>
      <c r="B17" s="11" t="inlineStr">
        <is>
          <t>S1</t>
        </is>
      </c>
      <c r="C17" s="12" t="inlineStr">
        <is>
          <t>Lucas</t>
        </is>
      </c>
      <c r="D17" s="12" t="inlineStr">
        <is>
          <t>Repos</t>
        </is>
      </c>
      <c r="E17" s="11" t="n">
        <v>0</v>
      </c>
      <c r="F17" s="11" t="n">
        <v>0</v>
      </c>
      <c r="G17" s="18">
        <f>E17*F17</f>
        <v/>
      </c>
      <c r="H17" s="11">
        <f>SI(G17&gt;=700; "Très Élevée"; SI(G17&gt;=400; "Modérée/Élevée"; SI(G17&gt;0; "Légère"; "Repos")))</f>
        <v/>
      </c>
      <c r="I17" s="12" t="inlineStr">
        <is>
          <t>Repos complet</t>
        </is>
      </c>
    </row>
    <row r="18">
      <c r="A18" s="11" t="inlineStr">
        <is>
          <t>2026-09-11</t>
        </is>
      </c>
      <c r="B18" s="11" t="inlineStr">
        <is>
          <t>S1</t>
        </is>
      </c>
      <c r="C18" s="12" t="inlineStr">
        <is>
          <t>Noah</t>
        </is>
      </c>
      <c r="D18" s="12" t="inlineStr">
        <is>
          <t>Repos</t>
        </is>
      </c>
      <c r="E18" s="11" t="n">
        <v>0</v>
      </c>
      <c r="F18" s="11" t="n">
        <v>0</v>
      </c>
      <c r="G18" s="18">
        <f>E18*F18</f>
        <v/>
      </c>
      <c r="H18" s="11">
        <f>SI(G18&gt;=700; "Très Élevée"; SI(G18&gt;=400; "Modérée/Élevée"; SI(G18&gt;0; "Légère"; "Repos")))</f>
        <v/>
      </c>
      <c r="I18" s="12" t="inlineStr">
        <is>
          <t>Repos complet</t>
        </is>
      </c>
    </row>
    <row r="19">
      <c r="A19" s="11" t="inlineStr">
        <is>
          <t>2026-09-11</t>
        </is>
      </c>
      <c r="B19" s="11" t="inlineStr">
        <is>
          <t>S1</t>
        </is>
      </c>
      <c r="C19" s="12" t="inlineStr">
        <is>
          <t>Hugo</t>
        </is>
      </c>
      <c r="D19" s="12" t="inlineStr">
        <is>
          <t>Repos</t>
        </is>
      </c>
      <c r="E19" s="11" t="n">
        <v>0</v>
      </c>
      <c r="F19" s="11" t="n">
        <v>0</v>
      </c>
      <c r="G19" s="18">
        <f>E19*F19</f>
        <v/>
      </c>
      <c r="H19" s="11">
        <f>SI(G19&gt;=700; "Très Élevée"; SI(G19&gt;=400; "Modérée/Élevée"; SI(G19&gt;0; "Légère"; "Repos")))</f>
        <v/>
      </c>
      <c r="I19" s="12" t="inlineStr">
        <is>
          <t>Repos complet</t>
        </is>
      </c>
    </row>
    <row r="20">
      <c r="A20" s="11" t="inlineStr">
        <is>
          <t>2026-09-11</t>
        </is>
      </c>
      <c r="B20" s="11" t="inlineStr">
        <is>
          <t>S1</t>
        </is>
      </c>
      <c r="C20" s="12" t="inlineStr">
        <is>
          <t>Nathan</t>
        </is>
      </c>
      <c r="D20" s="12" t="inlineStr">
        <is>
          <t>Repos</t>
        </is>
      </c>
      <c r="E20" s="11" t="n">
        <v>0</v>
      </c>
      <c r="F20" s="11" t="n">
        <v>0</v>
      </c>
      <c r="G20" s="18">
        <f>E20*F20</f>
        <v/>
      </c>
      <c r="H20" s="11">
        <f>SI(G20&gt;=700; "Très Élevée"; SI(G20&gt;=400; "Modérée/Élevée"; SI(G20&gt;0; "Légère"; "Repos")))</f>
        <v/>
      </c>
      <c r="I20" s="12" t="inlineStr">
        <is>
          <t>Repos complet</t>
        </is>
      </c>
    </row>
    <row r="21">
      <c r="A21" s="11" t="inlineStr">
        <is>
          <t>2026-09-12</t>
        </is>
      </c>
      <c r="B21" s="11" t="inlineStr">
        <is>
          <t>S1</t>
        </is>
      </c>
      <c r="C21" s="12" t="inlineStr">
        <is>
          <t>Lucas</t>
        </is>
      </c>
      <c r="D21" s="12" t="inlineStr">
        <is>
          <t>Match</t>
        </is>
      </c>
      <c r="E21" s="11" t="n">
        <v>95</v>
      </c>
      <c r="F21" s="11" t="n">
        <v>9</v>
      </c>
      <c r="G21" s="18">
        <f>E21*F21</f>
        <v/>
      </c>
      <c r="H21" s="11">
        <f>SI(G21&gt;=700; "Très Élevée"; SI(G21&gt;=400; "Modérée/Élevée"; SI(G21&gt;0; "Légère"; "Repos")))</f>
        <v/>
      </c>
      <c r="I21" s="12" t="inlineStr">
        <is>
          <t>Match de championnat haute intensité</t>
        </is>
      </c>
    </row>
    <row r="22">
      <c r="A22" s="11" t="inlineStr">
        <is>
          <t>2026-09-12</t>
        </is>
      </c>
      <c r="B22" s="11" t="inlineStr">
        <is>
          <t>S1</t>
        </is>
      </c>
      <c r="C22" s="12" t="inlineStr">
        <is>
          <t>Noah</t>
        </is>
      </c>
      <c r="D22" s="12" t="inlineStr">
        <is>
          <t>Match</t>
        </is>
      </c>
      <c r="E22" s="11" t="n">
        <v>95</v>
      </c>
      <c r="F22" s="11" t="n">
        <v>9</v>
      </c>
      <c r="G22" s="18">
        <f>E22*F22</f>
        <v/>
      </c>
      <c r="H22" s="11">
        <f>SI(G22&gt;=700; "Très Élevée"; SI(G22&gt;=400; "Modérée/Élevée"; SI(G22&gt;0; "Légère"; "Repos")))</f>
        <v/>
      </c>
      <c r="I22" s="12" t="inlineStr">
        <is>
          <t>Très éprouvant physiquement</t>
        </is>
      </c>
    </row>
    <row r="23">
      <c r="A23" s="11" t="inlineStr">
        <is>
          <t>2026-09-12</t>
        </is>
      </c>
      <c r="B23" s="11" t="inlineStr">
        <is>
          <t>S1</t>
        </is>
      </c>
      <c r="C23" s="12" t="inlineStr">
        <is>
          <t>Hugo</t>
        </is>
      </c>
      <c r="D23" s="12" t="inlineStr">
        <is>
          <t>Match</t>
        </is>
      </c>
      <c r="E23" s="11" t="n">
        <v>95</v>
      </c>
      <c r="F23" s="11" t="n">
        <v>8</v>
      </c>
      <c r="G23" s="18">
        <f>E23*F23</f>
        <v/>
      </c>
      <c r="H23" s="11">
        <f>SI(G23&gt;=700; "Très Élevée"; SI(G23&gt;=400; "Modérée/Élevée"; SI(G23&gt;0; "Légère"; "Repos")))</f>
        <v/>
      </c>
      <c r="I23" s="12" t="inlineStr">
        <is>
          <t>Beaucoup de duels et contacts</t>
        </is>
      </c>
    </row>
    <row r="24">
      <c r="A24" s="11" t="inlineStr">
        <is>
          <t>2026-09-12</t>
        </is>
      </c>
      <c r="B24" s="11" t="inlineStr">
        <is>
          <t>S1</t>
        </is>
      </c>
      <c r="C24" s="12" t="inlineStr">
        <is>
          <t>Nathan</t>
        </is>
      </c>
      <c r="D24" s="12" t="inlineStr">
        <is>
          <t>Match</t>
        </is>
      </c>
      <c r="E24" s="11" t="n">
        <v>95</v>
      </c>
      <c r="F24" s="11" t="n">
        <v>9</v>
      </c>
      <c r="G24" s="18">
        <f>E24*F24</f>
        <v/>
      </c>
      <c r="H24" s="11">
        <f>SI(G24&gt;=700; "Très Élevée"; SI(G24&gt;=400; "Modérée/Élevée"; SI(G24&gt;0; "Légère"; "Repos")))</f>
        <v/>
      </c>
      <c r="I24" s="12" t="inlineStr">
        <is>
          <t>Grosse débauche d'énergie</t>
        </is>
      </c>
    </row>
    <row r="25">
      <c r="A25" s="11" t="inlineStr">
        <is>
          <t>2026-09-13</t>
        </is>
      </c>
      <c r="B25" s="11" t="inlineStr">
        <is>
          <t>S1</t>
        </is>
      </c>
      <c r="C25" s="12" t="inlineStr">
        <is>
          <t>Lucas</t>
        </is>
      </c>
      <c r="D25" s="12" t="inlineStr">
        <is>
          <t>Récupération</t>
        </is>
      </c>
      <c r="E25" s="11" t="n">
        <v>45</v>
      </c>
      <c r="F25" s="11" t="n">
        <v>3</v>
      </c>
      <c r="G25" s="18">
        <f>E25*F25</f>
        <v/>
      </c>
      <c r="H25" s="11">
        <f>SI(G25&gt;=700; "Très Élevée"; SI(G25&gt;=400; "Modérée/Élevée"; SI(G25&gt;0; "Légère"; "Repos")))</f>
        <v/>
      </c>
      <c r="I25" s="12" t="inlineStr">
        <is>
          <t>Décrassage aquatique + étirements</t>
        </is>
      </c>
    </row>
    <row r="26">
      <c r="A26" s="11" t="inlineStr">
        <is>
          <t>2026-09-13</t>
        </is>
      </c>
      <c r="B26" s="11" t="inlineStr">
        <is>
          <t>S1</t>
        </is>
      </c>
      <c r="C26" s="12" t="inlineStr">
        <is>
          <t>Noah</t>
        </is>
      </c>
      <c r="D26" s="12" t="inlineStr">
        <is>
          <t>Récupération</t>
        </is>
      </c>
      <c r="E26" s="11" t="n">
        <v>45</v>
      </c>
      <c r="F26" s="11" t="n">
        <v>4</v>
      </c>
      <c r="G26" s="18">
        <f>E26*F26</f>
        <v/>
      </c>
      <c r="H26" s="11">
        <f>SI(G26&gt;=700; "Très Élevée"; SI(G26&gt;=400; "Modérée/Élevée"; SI(G26&gt;0; "Légère"; "Repos")))</f>
        <v/>
      </c>
      <c r="I26" s="12" t="inlineStr">
        <is>
          <t>Footing léger</t>
        </is>
      </c>
    </row>
    <row r="27">
      <c r="A27" s="11" t="inlineStr">
        <is>
          <t>2026-09-13</t>
        </is>
      </c>
      <c r="B27" s="11" t="inlineStr">
        <is>
          <t>S1</t>
        </is>
      </c>
      <c r="C27" s="12" t="inlineStr">
        <is>
          <t>Hugo</t>
        </is>
      </c>
      <c r="D27" s="12" t="inlineStr">
        <is>
          <t>Récupération</t>
        </is>
      </c>
      <c r="E27" s="11" t="n">
        <v>45</v>
      </c>
      <c r="F27" s="11" t="n">
        <v>3</v>
      </c>
      <c r="G27" s="18">
        <f>E27*F27</f>
        <v/>
      </c>
      <c r="H27" s="11">
        <f>SI(G27&gt;=700; "Très Élevée"; SI(G27&gt;=400; "Modérée/Élevée"; SI(G27&gt;0; "Légère"; "Repos")))</f>
        <v/>
      </c>
      <c r="I27" s="12" t="inlineStr">
        <is>
          <t>Mobilisations articulaires</t>
        </is>
      </c>
    </row>
    <row r="28">
      <c r="A28" s="11" t="inlineStr">
        <is>
          <t>2026-09-13</t>
        </is>
      </c>
      <c r="B28" s="11" t="inlineStr">
        <is>
          <t>S1</t>
        </is>
      </c>
      <c r="C28" s="12" t="inlineStr">
        <is>
          <t>Nathan</t>
        </is>
      </c>
      <c r="D28" s="12" t="inlineStr">
        <is>
          <t>Récupération</t>
        </is>
      </c>
      <c r="E28" s="11" t="n">
        <v>45</v>
      </c>
      <c r="F28" s="11" t="n">
        <v>3</v>
      </c>
      <c r="G28" s="18">
        <f>E28*F28</f>
        <v/>
      </c>
      <c r="H28" s="11">
        <f>SI(G28&gt;=700; "Très Élevée"; SI(G28&gt;=400; "Modérée/Élevée"; SI(G28&gt;0; "Légère"; "Repos")))</f>
        <v/>
      </c>
      <c r="I28" s="12" t="inlineStr">
        <is>
          <t>Travail régénératif</t>
        </is>
      </c>
    </row>
    <row r="29">
      <c r="A29" s="11" t="inlineStr">
        <is>
          <t>2026-09-14</t>
        </is>
      </c>
      <c r="B29" s="11" t="inlineStr">
        <is>
          <t>S1</t>
        </is>
      </c>
      <c r="C29" s="12" t="inlineStr">
        <is>
          <t>Lucas</t>
        </is>
      </c>
      <c r="D29" s="12" t="inlineStr">
        <is>
          <t>Repos</t>
        </is>
      </c>
      <c r="E29" s="11" t="n">
        <v>0</v>
      </c>
      <c r="F29" s="11" t="n">
        <v>0</v>
      </c>
      <c r="G29" s="18">
        <f>E29*F29</f>
        <v/>
      </c>
      <c r="H29" s="11">
        <f>SI(G29&gt;=700; "Très Élevée"; SI(G29&gt;=400; "Modérée/Élevée"; SI(G29&gt;0; "Légère"; "Repos")))</f>
        <v/>
      </c>
      <c r="I29" s="12" t="inlineStr">
        <is>
          <t>Repos passif</t>
        </is>
      </c>
    </row>
    <row r="30">
      <c r="A30" s="11" t="inlineStr">
        <is>
          <t>2026-09-14</t>
        </is>
      </c>
      <c r="B30" s="11" t="inlineStr">
        <is>
          <t>S1</t>
        </is>
      </c>
      <c r="C30" s="12" t="inlineStr">
        <is>
          <t>Noah</t>
        </is>
      </c>
      <c r="D30" s="12" t="inlineStr">
        <is>
          <t>Repos</t>
        </is>
      </c>
      <c r="E30" s="11" t="n">
        <v>0</v>
      </c>
      <c r="F30" s="11" t="n">
        <v>0</v>
      </c>
      <c r="G30" s="18">
        <f>E30*F30</f>
        <v/>
      </c>
      <c r="H30" s="11">
        <f>SI(G30&gt;=700; "Très Élevée"; SI(G30&gt;=400; "Modérée/Élevée"; SI(G30&gt;0; "Légère"; "Repos")))</f>
        <v/>
      </c>
      <c r="I30" s="12" t="inlineStr">
        <is>
          <t>Repos passif</t>
        </is>
      </c>
    </row>
    <row r="31">
      <c r="A31" s="11" t="inlineStr">
        <is>
          <t>2026-09-14</t>
        </is>
      </c>
      <c r="B31" s="11" t="inlineStr">
        <is>
          <t>S1</t>
        </is>
      </c>
      <c r="C31" s="12" t="inlineStr">
        <is>
          <t>Hugo</t>
        </is>
      </c>
      <c r="D31" s="12" t="inlineStr">
        <is>
          <t>Repos</t>
        </is>
      </c>
      <c r="E31" s="11" t="n">
        <v>0</v>
      </c>
      <c r="F31" s="11" t="n">
        <v>0</v>
      </c>
      <c r="G31" s="18">
        <f>E31*F31</f>
        <v/>
      </c>
      <c r="H31" s="11">
        <f>SI(G31&gt;=700; "Très Élevée"; SI(G31&gt;=400; "Modérée/Élevée"; SI(G31&gt;0; "Légère"; "Repos")))</f>
        <v/>
      </c>
      <c r="I31" s="12" t="inlineStr">
        <is>
          <t>Repos passif</t>
        </is>
      </c>
    </row>
    <row r="32">
      <c r="A32" s="11" t="inlineStr">
        <is>
          <t>2026-09-14</t>
        </is>
      </c>
      <c r="B32" s="11" t="inlineStr">
        <is>
          <t>S1</t>
        </is>
      </c>
      <c r="C32" s="12" t="inlineStr">
        <is>
          <t>Nathan</t>
        </is>
      </c>
      <c r="D32" s="12" t="inlineStr">
        <is>
          <t>Repos</t>
        </is>
      </c>
      <c r="E32" s="11" t="n">
        <v>0</v>
      </c>
      <c r="F32" s="11" t="n">
        <v>0</v>
      </c>
      <c r="G32" s="18">
        <f>E32*F32</f>
        <v/>
      </c>
      <c r="H32" s="11">
        <f>SI(G32&gt;=700; "Très Élevée"; SI(G32&gt;=400; "Modérée/Élevée"; SI(G32&gt;0; "Légère"; "Repos")))</f>
        <v/>
      </c>
      <c r="I32" s="12" t="inlineStr">
        <is>
          <t>Repos passif</t>
        </is>
      </c>
    </row>
    <row r="33">
      <c r="A33" s="11" t="inlineStr">
        <is>
          <t>2026-09-15</t>
        </is>
      </c>
      <c r="B33" s="11" t="inlineStr">
        <is>
          <t>S2</t>
        </is>
      </c>
      <c r="C33" s="12" t="inlineStr">
        <is>
          <t>Lucas</t>
        </is>
      </c>
      <c r="D33" s="12" t="inlineStr">
        <is>
          <t>Technique</t>
        </is>
      </c>
      <c r="E33" s="11" t="n">
        <v>80</v>
      </c>
      <c r="F33" s="11" t="n">
        <v>6</v>
      </c>
      <c r="G33" s="18">
        <f>E33*F33</f>
        <v/>
      </c>
      <c r="H33" s="11">
        <f>SI(G33&gt;=700; "Très Élevée"; SI(G33&gt;=400; "Modérée/Élevée"; SI(G33&gt;0; "Légère"; "Repos")))</f>
        <v/>
      </c>
      <c r="I33" s="12" t="inlineStr">
        <is>
          <t>Tirs et motricité sous fatigue</t>
        </is>
      </c>
    </row>
    <row r="34">
      <c r="A34" s="11" t="inlineStr">
        <is>
          <t>2026-09-15</t>
        </is>
      </c>
      <c r="B34" s="11" t="inlineStr">
        <is>
          <t>S2</t>
        </is>
      </c>
      <c r="C34" s="12" t="inlineStr">
        <is>
          <t>Noah</t>
        </is>
      </c>
      <c r="D34" s="12" t="inlineStr">
        <is>
          <t>Technique</t>
        </is>
      </c>
      <c r="E34" s="11" t="n">
        <v>80</v>
      </c>
      <c r="F34" s="11" t="n">
        <v>5</v>
      </c>
      <c r="G34" s="18">
        <f>E34*F34</f>
        <v/>
      </c>
      <c r="H34" s="11">
        <f>SI(G34&gt;=700; "Très Élevée"; SI(G34&gt;=400; "Modérée/Élevée"; SI(G34&gt;0; "Légère"; "Repos")))</f>
        <v/>
      </c>
      <c r="I34" s="12" t="inlineStr">
        <is>
          <t>Bonne réactivité</t>
        </is>
      </c>
    </row>
    <row r="35">
      <c r="A35" s="11" t="inlineStr">
        <is>
          <t>2026-09-15</t>
        </is>
      </c>
      <c r="B35" s="11" t="inlineStr">
        <is>
          <t>S2</t>
        </is>
      </c>
      <c r="C35" s="12" t="inlineStr">
        <is>
          <t>Hugo</t>
        </is>
      </c>
      <c r="D35" s="12" t="inlineStr">
        <is>
          <t>Technique</t>
        </is>
      </c>
      <c r="E35" s="11" t="n">
        <v>80</v>
      </c>
      <c r="F35" s="11" t="n">
        <v>6</v>
      </c>
      <c r="G35" s="18">
        <f>E35*F35</f>
        <v/>
      </c>
      <c r="H35" s="11">
        <f>SI(G35&gt;=700; "Très Élevée"; SI(G35&gt;=400; "Modérée/Élevée"; SI(G35&gt;0; "Légère"; "Repos")))</f>
        <v/>
      </c>
      <c r="I35" s="12" t="inlineStr">
        <is>
          <t>Bon niveau d'engagement</t>
        </is>
      </c>
    </row>
    <row r="36">
      <c r="A36" s="11" t="inlineStr">
        <is>
          <t>2026-09-15</t>
        </is>
      </c>
      <c r="B36" s="11" t="inlineStr">
        <is>
          <t>S2</t>
        </is>
      </c>
      <c r="C36" s="12" t="inlineStr">
        <is>
          <t>Nathan</t>
        </is>
      </c>
      <c r="D36" s="12" t="inlineStr">
        <is>
          <t>Technique</t>
        </is>
      </c>
      <c r="E36" s="11" t="n">
        <v>80</v>
      </c>
      <c r="F36" s="11" t="n">
        <v>5</v>
      </c>
      <c r="G36" s="18">
        <f>E36*F36</f>
        <v/>
      </c>
      <c r="H36" s="11">
        <f>SI(G36&gt;=700; "Très Élevée"; SI(G36&gt;=400; "Modérée/Élevée"; SI(G36&gt;0; "Légère"; "Repos")))</f>
        <v/>
      </c>
      <c r="I36" s="12" t="inlineStr">
        <is>
          <t>RAS</t>
        </is>
      </c>
    </row>
    <row r="37">
      <c r="A37" s="11" t="inlineStr">
        <is>
          <t>2026-09-16</t>
        </is>
      </c>
      <c r="B37" s="11" t="inlineStr">
        <is>
          <t>S2</t>
        </is>
      </c>
      <c r="C37" s="12" t="inlineStr">
        <is>
          <t>Lucas</t>
        </is>
      </c>
      <c r="D37" s="12" t="inlineStr">
        <is>
          <t>Physique</t>
        </is>
      </c>
      <c r="E37" s="11" t="n">
        <v>85</v>
      </c>
      <c r="F37" s="11" t="n">
        <v>8</v>
      </c>
      <c r="G37" s="18">
        <f>E37*F37</f>
        <v/>
      </c>
      <c r="H37" s="11">
        <f>SI(G37&gt;=700; "Très Élevée"; SI(G37&gt;=400; "Modérée/Élevée"; SI(G37&gt;0; "Légère"; "Repos")))</f>
        <v/>
      </c>
      <c r="I37" s="12" t="inlineStr">
        <is>
          <t>Vitesse et changements d'appuis</t>
        </is>
      </c>
    </row>
    <row r="38">
      <c r="A38" s="11" t="inlineStr">
        <is>
          <t>2026-09-16</t>
        </is>
      </c>
      <c r="B38" s="11" t="inlineStr">
        <is>
          <t>S2</t>
        </is>
      </c>
      <c r="C38" s="12" t="inlineStr">
        <is>
          <t>Noah</t>
        </is>
      </c>
      <c r="D38" s="12" t="inlineStr">
        <is>
          <t>Physique</t>
        </is>
      </c>
      <c r="E38" s="11" t="n">
        <v>85</v>
      </c>
      <c r="F38" s="11" t="n">
        <v>7</v>
      </c>
      <c r="G38" s="18">
        <f>E38*F38</f>
        <v/>
      </c>
      <c r="H38" s="11">
        <f>SI(G38&gt;=700; "Très Élevée"; SI(G38&gt;=400; "Modérée/Élevée"; SI(G38&gt;0; "Légère"; "Repos")))</f>
        <v/>
      </c>
      <c r="I38" s="12" t="inlineStr">
        <is>
          <t>Bonne intensité</t>
        </is>
      </c>
    </row>
    <row r="39">
      <c r="A39" s="11" t="inlineStr">
        <is>
          <t>2026-09-16</t>
        </is>
      </c>
      <c r="B39" s="11" t="inlineStr">
        <is>
          <t>S2</t>
        </is>
      </c>
      <c r="C39" s="12" t="inlineStr">
        <is>
          <t>Hugo</t>
        </is>
      </c>
      <c r="D39" s="12" t="inlineStr">
        <is>
          <t>Physique</t>
        </is>
      </c>
      <c r="E39" s="11" t="n">
        <v>85</v>
      </c>
      <c r="F39" s="11" t="n">
        <v>8</v>
      </c>
      <c r="G39" s="18">
        <f>E39*F39</f>
        <v/>
      </c>
      <c r="H39" s="11">
        <f>SI(G39&gt;=700; "Très Élevée"; SI(G39&gt;=400; "Modérée/Élevée"; SI(G39&gt;0; "Légère"; "Repos")))</f>
        <v/>
      </c>
      <c r="I39" s="12" t="inlineStr">
        <is>
          <t>Exigeant sur le plan cardio</t>
        </is>
      </c>
    </row>
    <row r="40">
      <c r="A40" s="11" t="inlineStr">
        <is>
          <t>2026-09-16</t>
        </is>
      </c>
      <c r="B40" s="11" t="inlineStr">
        <is>
          <t>S2</t>
        </is>
      </c>
      <c r="C40" s="12" t="inlineStr">
        <is>
          <t>Nathan</t>
        </is>
      </c>
      <c r="D40" s="12" t="inlineStr">
        <is>
          <t>Physique</t>
        </is>
      </c>
      <c r="E40" s="11" t="n">
        <v>85</v>
      </c>
      <c r="F40" s="11" t="n">
        <v>7</v>
      </c>
      <c r="G40" s="18">
        <f>E40*F40</f>
        <v/>
      </c>
      <c r="H40" s="11">
        <f>SI(G40&gt;=700; "Très Élevée"; SI(G40&gt;=400; "Modérée/Élevée"; SI(G40&gt;0; "Légère"; "Repos")))</f>
        <v/>
      </c>
      <c r="I40" s="12" t="inlineStr">
        <is>
          <t>Séance complète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2" customWidth="1" min="2" max="2"/>
    <col width="17" customWidth="1" min="3" max="3"/>
    <col width="20" customWidth="1" min="4" max="4"/>
    <col width="17" customWidth="1" min="5" max="5"/>
    <col width="34" customWidth="1" min="6" max="6"/>
    <col width="12" customWidth="1" min="7" max="7"/>
    <col width="14" customWidth="1" min="8" max="8"/>
    <col width="19" customWidth="1" min="9" max="9"/>
    <col width="23" customWidth="1" min="10" max="10"/>
    <col width="35" customWidth="1" min="11" max="11"/>
  </cols>
  <sheetData>
    <row r="1">
      <c r="A1" s="1" t="inlineStr">
        <is>
          <t>OUTIL 3 — JOURNAL NUMÉRIQUE DE L'ATHLÈTE (SUIVI MULTI-PARAMÈTRES)</t>
        </is>
      </c>
    </row>
    <row r="2">
      <c r="A2" s="2" t="inlineStr">
        <is>
          <t>Suivi d'Antoine (Demi-fond 800m) — Suivi combiné Volume (km), Intensité et Charge Interne</t>
        </is>
      </c>
    </row>
    <row r="3"/>
    <row r="4">
      <c r="A4" s="16" t="inlineStr">
        <is>
          <t>Date</t>
        </is>
      </c>
      <c r="B4" s="16" t="inlineStr">
        <is>
          <t>Sportif</t>
        </is>
      </c>
      <c r="C4" s="16" t="inlineStr">
        <is>
          <t>Type de séance</t>
        </is>
      </c>
      <c r="D4" s="16" t="inlineStr">
        <is>
          <t>Contenu détaillé</t>
        </is>
      </c>
      <c r="E4" s="16" t="inlineStr">
        <is>
          <t>Durée (min)</t>
        </is>
      </c>
      <c r="F4" s="16" t="inlineStr">
        <is>
          <t>Volume</t>
        </is>
      </c>
      <c r="G4" s="16" t="inlineStr">
        <is>
          <t>Unité</t>
        </is>
      </c>
      <c r="H4" s="16" t="inlineStr">
        <is>
          <t>Intensité</t>
        </is>
      </c>
      <c r="I4" s="16" t="inlineStr">
        <is>
          <t>RPE (1-10)</t>
        </is>
      </c>
      <c r="J4" s="16" t="inlineStr">
        <is>
          <t>Charge Séance (u.a.)</t>
        </is>
      </c>
      <c r="K4" s="16" t="inlineStr">
        <is>
          <t>Commentaires</t>
        </is>
      </c>
    </row>
    <row r="5">
      <c r="A5" s="11" t="inlineStr">
        <is>
          <t>2026-09-01</t>
        </is>
      </c>
      <c r="B5" s="12" t="inlineStr">
        <is>
          <t>Antoine</t>
        </is>
      </c>
      <c r="C5" s="12" t="inlineStr">
        <is>
          <t>Endurance</t>
        </is>
      </c>
      <c r="D5" s="12" t="inlineStr">
        <is>
          <t>Course continue</t>
        </is>
      </c>
      <c r="E5" s="11" t="n">
        <v>50</v>
      </c>
      <c r="F5" s="11" t="n">
        <v>8</v>
      </c>
      <c r="G5" s="11" t="inlineStr">
        <is>
          <t>km</t>
        </is>
      </c>
      <c r="H5" s="11" t="inlineStr">
        <is>
          <t>Faible</t>
        </is>
      </c>
      <c r="I5" s="11" t="n">
        <v>4</v>
      </c>
      <c r="J5" s="18">
        <f>E5*I5</f>
        <v/>
      </c>
      <c r="K5" s="12" t="inlineStr">
        <is>
          <t>Bonnes sensations</t>
        </is>
      </c>
    </row>
    <row r="6">
      <c r="A6" s="11" t="inlineStr">
        <is>
          <t>2026-09-03</t>
        </is>
      </c>
      <c r="B6" s="12" t="inlineStr">
        <is>
          <t>Antoine</t>
        </is>
      </c>
      <c r="C6" s="12" t="inlineStr">
        <is>
          <t>Fractionné</t>
        </is>
      </c>
      <c r="D6" s="12" t="inlineStr">
        <is>
          <t>8 x 400 m</t>
        </is>
      </c>
      <c r="E6" s="11" t="n">
        <v>65</v>
      </c>
      <c r="F6" s="11" t="n">
        <v>3.2</v>
      </c>
      <c r="G6" s="11" t="inlineStr">
        <is>
          <t>km</t>
        </is>
      </c>
      <c r="H6" s="11" t="inlineStr">
        <is>
          <t>Élevée</t>
        </is>
      </c>
      <c r="I6" s="11" t="n">
        <v>8</v>
      </c>
      <c r="J6" s="18">
        <f>E6*I6</f>
        <v/>
      </c>
      <c r="K6" s="12" t="inlineStr">
        <is>
          <t>Dernières répétitions difficiles</t>
        </is>
      </c>
    </row>
    <row r="7">
      <c r="A7" s="11" t="inlineStr">
        <is>
          <t>2026-09-05</t>
        </is>
      </c>
      <c r="B7" s="12" t="inlineStr">
        <is>
          <t>Antoine</t>
        </is>
      </c>
      <c r="C7" s="12" t="inlineStr">
        <is>
          <t>Musculation</t>
        </is>
      </c>
      <c r="D7" s="12" t="inlineStr">
        <is>
          <t>Force jambes</t>
        </is>
      </c>
      <c r="E7" s="11" t="n">
        <v>55</v>
      </c>
      <c r="F7" s="11" t="n">
        <v>6</v>
      </c>
      <c r="G7" s="11" t="inlineStr">
        <is>
          <t>exercices</t>
        </is>
      </c>
      <c r="H7" s="11" t="inlineStr">
        <is>
          <t>Élevée</t>
        </is>
      </c>
      <c r="I7" s="11" t="n">
        <v>7</v>
      </c>
      <c r="J7" s="18">
        <f>E7*I7</f>
        <v/>
      </c>
      <c r="K7" s="12" t="inlineStr">
        <is>
          <t>Fatigue musculaire</t>
        </is>
      </c>
    </row>
    <row r="8">
      <c r="A8" s="11" t="inlineStr">
        <is>
          <t>2026-09-06</t>
        </is>
      </c>
      <c r="B8" s="12" t="inlineStr">
        <is>
          <t>Antoine</t>
        </is>
      </c>
      <c r="C8" s="12" t="inlineStr">
        <is>
          <t>Endurance</t>
        </is>
      </c>
      <c r="D8" s="12" t="inlineStr">
        <is>
          <t>Course continue</t>
        </is>
      </c>
      <c r="E8" s="11" t="n">
        <v>60</v>
      </c>
      <c r="F8" s="11" t="n">
        <v>10</v>
      </c>
      <c r="G8" s="11" t="inlineStr">
        <is>
          <t>km</t>
        </is>
      </c>
      <c r="H8" s="11" t="inlineStr">
        <is>
          <t>Modérée</t>
        </is>
      </c>
      <c r="I8" s="11" t="n">
        <v>5</v>
      </c>
      <c r="J8" s="18">
        <f>E8*I8</f>
        <v/>
      </c>
      <c r="K8" s="12" t="inlineStr">
        <is>
          <t>Régulier</t>
        </is>
      </c>
    </row>
    <row r="9">
      <c r="A9" s="11" t="inlineStr">
        <is>
          <t>2026-09-08</t>
        </is>
      </c>
      <c r="B9" s="12" t="inlineStr">
        <is>
          <t>Antoine</t>
        </is>
      </c>
      <c r="C9" s="12" t="inlineStr">
        <is>
          <t>Fractionné</t>
        </is>
      </c>
      <c r="D9" s="12" t="inlineStr">
        <is>
          <t>6 x 600 m</t>
        </is>
      </c>
      <c r="E9" s="11" t="n">
        <v>70</v>
      </c>
      <c r="F9" s="11" t="n">
        <v>3.6</v>
      </c>
      <c r="G9" s="11" t="inlineStr">
        <is>
          <t>km</t>
        </is>
      </c>
      <c r="H9" s="11" t="inlineStr">
        <is>
          <t>Très élevée</t>
        </is>
      </c>
      <c r="I9" s="11" t="n">
        <v>9</v>
      </c>
      <c r="J9" s="18">
        <f>E9*I9</f>
        <v/>
      </c>
      <c r="K9" s="12" t="inlineStr">
        <is>
          <t>Très difficile</t>
        </is>
      </c>
    </row>
    <row r="10">
      <c r="A10" s="11" t="inlineStr">
        <is>
          <t>2026-09-10</t>
        </is>
      </c>
      <c r="B10" s="12" t="inlineStr">
        <is>
          <t>Antoine</t>
        </is>
      </c>
      <c r="C10" s="12" t="inlineStr">
        <is>
          <t>Récupération</t>
        </is>
      </c>
      <c r="D10" s="12" t="inlineStr">
        <is>
          <t>Footing léger</t>
        </is>
      </c>
      <c r="E10" s="11" t="n">
        <v>35</v>
      </c>
      <c r="F10" s="11" t="n">
        <v>5</v>
      </c>
      <c r="G10" s="11" t="inlineStr">
        <is>
          <t>km</t>
        </is>
      </c>
      <c r="H10" s="11" t="inlineStr">
        <is>
          <t>Faible</t>
        </is>
      </c>
      <c r="I10" s="11" t="n">
        <v>3</v>
      </c>
      <c r="J10" s="18">
        <f>E10*I10</f>
        <v/>
      </c>
      <c r="K10" s="12" t="inlineStr">
        <is>
          <t>Très bonnes sensations</t>
        </is>
      </c>
    </row>
    <row r="11">
      <c r="A11" s="11" t="inlineStr">
        <is>
          <t>2026-09-12</t>
        </is>
      </c>
      <c r="B11" s="12" t="inlineStr">
        <is>
          <t>Antoine</t>
        </is>
      </c>
      <c r="C11" s="12" t="inlineStr">
        <is>
          <t>Endurance</t>
        </is>
      </c>
      <c r="D11" s="12" t="inlineStr">
        <is>
          <t>Course continue</t>
        </is>
      </c>
      <c r="E11" s="11" t="n">
        <v>65</v>
      </c>
      <c r="F11" s="11" t="n">
        <v>11</v>
      </c>
      <c r="G11" s="11" t="inlineStr">
        <is>
          <t>km</t>
        </is>
      </c>
      <c r="H11" s="11" t="inlineStr">
        <is>
          <t>Modérée</t>
        </is>
      </c>
      <c r="I11" s="11" t="n">
        <v>5</v>
      </c>
      <c r="J11" s="18">
        <f>E11*I11</f>
        <v/>
      </c>
      <c r="K11" s="12" t="inlineStr">
        <is>
          <t>Bonne récupération</t>
        </is>
      </c>
    </row>
    <row r="12">
      <c r="A12" s="11" t="inlineStr">
        <is>
          <t>2026-09-14</t>
        </is>
      </c>
      <c r="B12" s="12" t="inlineStr">
        <is>
          <t>Antoine</t>
        </is>
      </c>
      <c r="C12" s="12" t="inlineStr">
        <is>
          <t>Fractionné</t>
        </is>
      </c>
      <c r="D12" s="12" t="inlineStr">
        <is>
          <t>10 x 300 m</t>
        </is>
      </c>
      <c r="E12" s="11" t="n">
        <v>60</v>
      </c>
      <c r="F12" s="11" t="n">
        <v>3</v>
      </c>
      <c r="G12" s="11" t="inlineStr">
        <is>
          <t>km</t>
        </is>
      </c>
      <c r="H12" s="11" t="inlineStr">
        <is>
          <t>Élevée</t>
        </is>
      </c>
      <c r="I12" s="11" t="n">
        <v>8</v>
      </c>
      <c r="J12" s="18">
        <f>E12*I12</f>
        <v/>
      </c>
      <c r="K12" s="12" t="inlineStr">
        <is>
          <t>Bonne séance</t>
        </is>
      </c>
    </row>
    <row r="13">
      <c r="A13" s="11" t="inlineStr">
        <is>
          <t>2026-09-15</t>
        </is>
      </c>
      <c r="B13" s="12" t="inlineStr">
        <is>
          <t>Antoine</t>
        </is>
      </c>
      <c r="C13" s="12" t="inlineStr">
        <is>
          <t>Musculation</t>
        </is>
      </c>
      <c r="D13" s="12" t="inlineStr">
        <is>
          <t>Force + gainage</t>
        </is>
      </c>
      <c r="E13" s="11" t="n">
        <v>50</v>
      </c>
      <c r="F13" s="11" t="n">
        <v>7</v>
      </c>
      <c r="G13" s="11" t="inlineStr">
        <is>
          <t>exercices</t>
        </is>
      </c>
      <c r="H13" s="11" t="inlineStr">
        <is>
          <t>Modérée</t>
        </is>
      </c>
      <c r="I13" s="11" t="n">
        <v>6</v>
      </c>
      <c r="J13" s="18">
        <f>E13*I13</f>
        <v/>
      </c>
      <c r="K13" s="12" t="inlineStr">
        <is>
          <t>Légère fatigue</t>
        </is>
      </c>
    </row>
    <row r="14">
      <c r="A14" s="11" t="inlineStr">
        <is>
          <t>2026-09-17</t>
        </is>
      </c>
      <c r="B14" s="12" t="inlineStr">
        <is>
          <t>Antoine</t>
        </is>
      </c>
      <c r="C14" s="12" t="inlineStr">
        <is>
          <t>Test</t>
        </is>
      </c>
      <c r="D14" s="12" t="inlineStr">
        <is>
          <t>800 m chronométré</t>
        </is>
      </c>
      <c r="E14" s="11" t="n">
        <v>40</v>
      </c>
      <c r="F14" s="11" t="n">
        <v>0.8</v>
      </c>
      <c r="G14" s="11" t="inlineStr">
        <is>
          <t>km</t>
        </is>
      </c>
      <c r="H14" s="11" t="inlineStr">
        <is>
          <t>Maximale</t>
        </is>
      </c>
      <c r="I14" s="11" t="n">
        <v>10</v>
      </c>
      <c r="J14" s="18">
        <f>E14*I14</f>
        <v/>
      </c>
      <c r="K14" s="12" t="inlineStr">
        <is>
          <t>Record personnel</t>
        </is>
      </c>
    </row>
    <row r="15">
      <c r="A15" s="11" t="inlineStr">
        <is>
          <t>2026-09-18</t>
        </is>
      </c>
      <c r="B15" s="12" t="inlineStr">
        <is>
          <t>Antoine</t>
        </is>
      </c>
      <c r="C15" s="12" t="inlineStr">
        <is>
          <t>Récupération</t>
        </is>
      </c>
      <c r="D15" s="12" t="inlineStr">
        <is>
          <t>Footing léger</t>
        </is>
      </c>
      <c r="E15" s="11" t="n">
        <v>30</v>
      </c>
      <c r="F15" s="11" t="n">
        <v>4</v>
      </c>
      <c r="G15" s="11" t="inlineStr">
        <is>
          <t>km</t>
        </is>
      </c>
      <c r="H15" s="11" t="inlineStr">
        <is>
          <t>Faible</t>
        </is>
      </c>
      <c r="I15" s="11" t="n">
        <v>2</v>
      </c>
      <c r="J15" s="18">
        <f>E15*I15</f>
        <v/>
      </c>
      <c r="K15" s="12" t="inlineStr">
        <is>
          <t>Très bonnes sensations</t>
        </is>
      </c>
    </row>
    <row r="16">
      <c r="A16" s="11" t="inlineStr">
        <is>
          <t>2026-09-20</t>
        </is>
      </c>
      <c r="B16" s="12" t="inlineStr">
        <is>
          <t>Antoine</t>
        </is>
      </c>
      <c r="C16" s="12" t="inlineStr">
        <is>
          <t>Endurance</t>
        </is>
      </c>
      <c r="D16" s="12" t="inlineStr">
        <is>
          <t>Course continue</t>
        </is>
      </c>
      <c r="E16" s="11" t="n">
        <v>70</v>
      </c>
      <c r="F16" s="11" t="n">
        <v>12</v>
      </c>
      <c r="G16" s="11" t="inlineStr">
        <is>
          <t>km</t>
        </is>
      </c>
      <c r="H16" s="11" t="inlineStr">
        <is>
          <t>Modérée</t>
        </is>
      </c>
      <c r="I16" s="11" t="n">
        <v>5</v>
      </c>
      <c r="J16" s="18">
        <f>E16*I16</f>
        <v/>
      </c>
      <c r="K16" s="12" t="inlineStr">
        <is>
          <t>Bonne séance</t>
        </is>
      </c>
    </row>
    <row r="17">
      <c r="A17" s="11" t="inlineStr">
        <is>
          <t>2026-09-22</t>
        </is>
      </c>
      <c r="B17" s="12" t="inlineStr">
        <is>
          <t>Antoine</t>
        </is>
      </c>
      <c r="C17" s="12" t="inlineStr">
        <is>
          <t>Fractionné</t>
        </is>
      </c>
      <c r="D17" s="12" t="inlineStr">
        <is>
          <t>5 x 800 m</t>
        </is>
      </c>
      <c r="E17" s="11" t="n">
        <v>75</v>
      </c>
      <c r="F17" s="11" t="n">
        <v>4</v>
      </c>
      <c r="G17" s="11" t="inlineStr">
        <is>
          <t>km</t>
        </is>
      </c>
      <c r="H17" s="11" t="inlineStr">
        <is>
          <t>Très élevée</t>
        </is>
      </c>
      <c r="I17" s="11" t="n">
        <v>9</v>
      </c>
      <c r="J17" s="18">
        <f>E17*I17</f>
        <v/>
      </c>
      <c r="K17" s="12" t="inlineStr">
        <is>
          <t>Fatigue importante</t>
        </is>
      </c>
    </row>
    <row r="18">
      <c r="D18" s="22" t="inlineStr">
        <is>
          <t>TOTAL PÉRIODE</t>
        </is>
      </c>
      <c r="E18" s="22">
        <f>SOMME(E5:E17)</f>
        <v/>
      </c>
      <c r="F18" s="22">
        <f>SOMME.SI(G5:G17; "km"; F5:F17)</f>
        <v/>
      </c>
      <c r="G18" s="22" t="inlineStr">
        <is>
          <t>km course</t>
        </is>
      </c>
      <c r="I18" s="23">
        <f>MOYENNE(I5:I17)</f>
        <v/>
      </c>
      <c r="J18" s="22">
        <f>SOMME(J5:J17)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2" customWidth="1" min="3" max="3"/>
    <col width="23" customWidth="1" min="4" max="4"/>
    <col width="22" customWidth="1" min="5" max="5"/>
    <col width="12" customWidth="1" min="6" max="6"/>
    <col width="12" customWidth="1" min="7" max="7"/>
    <col width="48" customWidth="1" min="8" max="8"/>
    <col width="19" customWidth="1" min="9" max="9"/>
    <col width="27" customWidth="1" min="10" max="10"/>
    <col width="12" customWidth="1" min="11" max="11"/>
    <col width="12" customWidth="1" min="12" max="12"/>
    <col width="22" customWidth="1" min="13" max="13"/>
    <col width="14" customWidth="1" min="14" max="14"/>
    <col width="15" customWidth="1" min="15" max="15"/>
    <col width="16" customWidth="1" min="16" max="16"/>
    <col width="14" customWidth="1" min="17" max="17"/>
  </cols>
  <sheetData>
    <row r="1">
      <c r="A1" s="1" t="inlineStr">
        <is>
          <t>OUTIL 4 — JOURNAL DE NUTRITION ET D'HYDRATATION DE L'ATHLÈTE</t>
        </is>
      </c>
    </row>
    <row r="2">
      <c r="A2" s="2" t="inlineStr">
        <is>
          <t>Suivi journalier de Sarah (Triathlon) — Calcul automatique des apports énergétiques et de l'hydratation</t>
        </is>
      </c>
    </row>
    <row r="3"/>
    <row r="4">
      <c r="A4" s="16" t="inlineStr">
        <is>
          <t>Date</t>
        </is>
      </c>
      <c r="B4" s="16" t="inlineStr">
        <is>
          <t>Heure</t>
        </is>
      </c>
      <c r="C4" s="16" t="inlineStr">
        <is>
          <t>Sportive</t>
        </is>
      </c>
      <c r="D4" s="16" t="inlineStr">
        <is>
          <t>Moment repas</t>
        </is>
      </c>
      <c r="E4" s="16" t="inlineStr">
        <is>
          <t>Aliment consommé</t>
        </is>
      </c>
      <c r="F4" s="16" t="inlineStr">
        <is>
          <t>Quantité</t>
        </is>
      </c>
      <c r="G4" s="16" t="inlineStr">
        <is>
          <t>Unité</t>
        </is>
      </c>
      <c r="H4" s="16" t="inlineStr">
        <is>
          <t>Calories (kcal)</t>
        </is>
      </c>
      <c r="I4" s="16" t="inlineStr">
        <is>
          <t>Hydratation (ml)</t>
        </is>
      </c>
      <c r="J4" s="16" t="inlineStr">
        <is>
          <t>Commentaire</t>
        </is>
      </c>
      <c r="M4" s="17" t="inlineStr">
        <is>
          <t>Aliment Référence</t>
        </is>
      </c>
      <c r="N4" s="17" t="inlineStr">
        <is>
          <t>Kcal / 100g</t>
        </is>
      </c>
      <c r="O4" s="17" t="inlineStr">
        <is>
          <t>Glucides (g)</t>
        </is>
      </c>
      <c r="P4" s="17" t="inlineStr">
        <is>
          <t>Protéines (g)</t>
        </is>
      </c>
      <c r="Q4" s="17" t="inlineStr">
        <is>
          <t>Lipides (g)</t>
        </is>
      </c>
    </row>
    <row r="5">
      <c r="A5" s="11" t="inlineStr">
        <is>
          <t>2026-09-18</t>
        </is>
      </c>
      <c r="B5" s="11" t="inlineStr">
        <is>
          <t>07:00</t>
        </is>
      </c>
      <c r="C5" s="12" t="inlineStr">
        <is>
          <t>Sarah</t>
        </is>
      </c>
      <c r="D5" s="12" t="inlineStr">
        <is>
          <t>Petit-déjeuner</t>
        </is>
      </c>
      <c r="E5" s="12" t="inlineStr">
        <is>
          <t>Flocons d'avoine</t>
        </is>
      </c>
      <c r="F5" s="11" t="n">
        <v>80</v>
      </c>
      <c r="G5" s="11" t="inlineStr">
        <is>
          <t>g</t>
        </is>
      </c>
      <c r="H5" s="24">
        <f>F5*RECHERCHEV(E5; $M$5:$Q$16; 2; FAUX)/100</f>
        <v/>
      </c>
      <c r="I5" s="11" t="n">
        <v>300</v>
      </c>
      <c r="J5" s="12" t="inlineStr">
        <is>
          <t>Bonne satiété</t>
        </is>
      </c>
      <c r="M5" s="12" t="inlineStr">
        <is>
          <t>Flocons d'avoine</t>
        </is>
      </c>
      <c r="N5" s="11" t="n">
        <v>370</v>
      </c>
      <c r="O5" s="11" t="n">
        <v>60</v>
      </c>
      <c r="P5" s="11" t="n">
        <v>13</v>
      </c>
      <c r="Q5" s="11" t="n">
        <v>7</v>
      </c>
    </row>
    <row r="6">
      <c r="A6" s="11" t="inlineStr">
        <is>
          <t>2026-09-18</t>
        </is>
      </c>
      <c r="B6" s="11" t="inlineStr">
        <is>
          <t>07:00</t>
        </is>
      </c>
      <c r="C6" s="12" t="inlineStr">
        <is>
          <t>Sarah</t>
        </is>
      </c>
      <c r="D6" s="12" t="inlineStr">
        <is>
          <t>Petit-déjeuner</t>
        </is>
      </c>
      <c r="E6" s="12" t="inlineStr">
        <is>
          <t>Banane</t>
        </is>
      </c>
      <c r="F6" s="11" t="n">
        <v>120</v>
      </c>
      <c r="G6" s="11" t="inlineStr">
        <is>
          <t>g</t>
        </is>
      </c>
      <c r="H6" s="24">
        <f>F6*RECHERCHEV(E6; $M$5:$Q$16; 2; FAUX)/100</f>
        <v/>
      </c>
      <c r="I6" s="11" t="n">
        <v>0</v>
      </c>
      <c r="J6" s="12" t="inlineStr">
        <is>
          <t>Fruit mûr</t>
        </is>
      </c>
      <c r="M6" s="12" t="inlineStr">
        <is>
          <t>Banane</t>
        </is>
      </c>
      <c r="N6" s="11" t="n">
        <v>90</v>
      </c>
      <c r="O6" s="11" t="n">
        <v>22</v>
      </c>
      <c r="P6" s="11" t="n">
        <v>1</v>
      </c>
      <c r="Q6" s="11" t="n">
        <v>0.3</v>
      </c>
    </row>
    <row r="7">
      <c r="A7" s="11" t="inlineStr">
        <is>
          <t>2026-09-18</t>
        </is>
      </c>
      <c r="B7" s="11" t="inlineStr">
        <is>
          <t>07:00</t>
        </is>
      </c>
      <c r="C7" s="12" t="inlineStr">
        <is>
          <t>Sarah</t>
        </is>
      </c>
      <c r="D7" s="12" t="inlineStr">
        <is>
          <t>Petit-déjeuner</t>
        </is>
      </c>
      <c r="E7" s="12" t="inlineStr">
        <is>
          <t>Yaourt</t>
        </is>
      </c>
      <c r="F7" s="11" t="n">
        <v>150</v>
      </c>
      <c r="G7" s="11" t="inlineStr">
        <is>
          <t>g</t>
        </is>
      </c>
      <c r="H7" s="24">
        <f>F7*RECHERCHEV(E7; $M$5:$Q$16; 2; FAUX)/100</f>
        <v/>
      </c>
      <c r="I7" s="11" t="n">
        <v>0</v>
      </c>
      <c r="J7" s="12" t="inlineStr">
        <is>
          <t>Yaourt nature</t>
        </is>
      </c>
      <c r="M7" s="12" t="inlineStr">
        <is>
          <t>Yaourt</t>
        </is>
      </c>
      <c r="N7" s="11" t="n">
        <v>65</v>
      </c>
      <c r="O7" s="11" t="n">
        <v>5</v>
      </c>
      <c r="P7" s="11" t="n">
        <v>4</v>
      </c>
      <c r="Q7" s="11" t="n">
        <v>3</v>
      </c>
    </row>
    <row r="8">
      <c r="A8" s="11" t="inlineStr">
        <is>
          <t>2026-09-18</t>
        </is>
      </c>
      <c r="B8" s="11" t="inlineStr">
        <is>
          <t>09:30</t>
        </is>
      </c>
      <c r="C8" s="12" t="inlineStr">
        <is>
          <t>Sarah</t>
        </is>
      </c>
      <c r="D8" s="12" t="inlineStr">
        <is>
          <t>Avant entraînement</t>
        </is>
      </c>
      <c r="E8" s="12" t="inlineStr">
        <is>
          <t>Barre céréalière</t>
        </is>
      </c>
      <c r="F8" s="11" t="n">
        <v>50</v>
      </c>
      <c r="G8" s="11" t="inlineStr">
        <is>
          <t>g</t>
        </is>
      </c>
      <c r="H8" s="24">
        <f>F8*RECHERCHEV(E8; $M$5:$Q$16; 2; FAUX)/100</f>
        <v/>
      </c>
      <c r="I8" s="11" t="n">
        <v>500</v>
      </c>
      <c r="J8" s="12" t="inlineStr">
        <is>
          <t>Facile à digérer</t>
        </is>
      </c>
      <c r="M8" s="12" t="inlineStr">
        <is>
          <t>Barre céréalière</t>
        </is>
      </c>
      <c r="N8" s="11" t="n">
        <v>400</v>
      </c>
      <c r="O8" s="11" t="n">
        <v>65</v>
      </c>
      <c r="P8" s="11" t="n">
        <v>8</v>
      </c>
      <c r="Q8" s="11" t="n">
        <v>12</v>
      </c>
    </row>
    <row r="9">
      <c r="A9" s="11" t="inlineStr">
        <is>
          <t>2026-09-18</t>
        </is>
      </c>
      <c r="B9" s="11" t="inlineStr">
        <is>
          <t>10:00</t>
        </is>
      </c>
      <c r="C9" s="12" t="inlineStr">
        <is>
          <t>Sarah</t>
        </is>
      </c>
      <c r="D9" s="12" t="inlineStr">
        <is>
          <t>Pendant entraînement</t>
        </is>
      </c>
      <c r="E9" s="12" t="inlineStr">
        <is>
          <t>Boisson énergétique</t>
        </is>
      </c>
      <c r="F9" s="11" t="n">
        <v>750</v>
      </c>
      <c r="G9" s="11" t="inlineStr">
        <is>
          <t>ml</t>
        </is>
      </c>
      <c r="H9" s="24">
        <f>F9*RECHERCHEV(E9; $M$5:$Q$16; 2; FAUX)/100</f>
        <v/>
      </c>
      <c r="I9" s="11" t="n">
        <v>750</v>
      </c>
      <c r="J9" s="12" t="inlineStr">
        <is>
          <t>Bonne tolérance</t>
        </is>
      </c>
      <c r="M9" s="12" t="inlineStr">
        <is>
          <t>Boisson énergétique</t>
        </is>
      </c>
      <c r="N9" s="11" t="n">
        <v>40</v>
      </c>
      <c r="O9" s="11" t="n">
        <v>9.5</v>
      </c>
      <c r="P9" s="11" t="n">
        <v>0</v>
      </c>
      <c r="Q9" s="11" t="n">
        <v>0</v>
      </c>
    </row>
    <row r="10">
      <c r="A10" s="11" t="inlineStr">
        <is>
          <t>2026-09-18</t>
        </is>
      </c>
      <c r="B10" s="11" t="inlineStr">
        <is>
          <t>11:30</t>
        </is>
      </c>
      <c r="C10" s="12" t="inlineStr">
        <is>
          <t>Sarah</t>
        </is>
      </c>
      <c r="D10" s="12" t="inlineStr">
        <is>
          <t>Pendant entraînement</t>
        </is>
      </c>
      <c r="E10" s="12" t="inlineStr">
        <is>
          <t>Gel énergétique</t>
        </is>
      </c>
      <c r="F10" s="11" t="n">
        <v>40</v>
      </c>
      <c r="G10" s="11" t="inlineStr">
        <is>
          <t>g</t>
        </is>
      </c>
      <c r="H10" s="24">
        <f>F10*RECHERCHEV(E10; $M$5:$Q$16; 2; FAUX)/100</f>
        <v/>
      </c>
      <c r="I10" s="11" t="n">
        <v>250</v>
      </c>
      <c r="J10" s="12" t="inlineStr">
        <is>
          <t>Apport glucidique direct</t>
        </is>
      </c>
      <c r="M10" s="12" t="inlineStr">
        <is>
          <t>Gel énergétique</t>
        </is>
      </c>
      <c r="N10" s="11" t="n">
        <v>260</v>
      </c>
      <c r="O10" s="11" t="n">
        <v>65</v>
      </c>
      <c r="P10" s="11" t="n">
        <v>0</v>
      </c>
      <c r="Q10" s="11" t="n">
        <v>0</v>
      </c>
    </row>
    <row r="11">
      <c r="A11" s="11" t="inlineStr">
        <is>
          <t>2026-09-18</t>
        </is>
      </c>
      <c r="B11" s="11" t="inlineStr">
        <is>
          <t>13:00</t>
        </is>
      </c>
      <c r="C11" s="12" t="inlineStr">
        <is>
          <t>Sarah</t>
        </is>
      </c>
      <c r="D11" s="12" t="inlineStr">
        <is>
          <t>Déjeuner</t>
        </is>
      </c>
      <c r="E11" s="12" t="inlineStr">
        <is>
          <t>Riz</t>
        </is>
      </c>
      <c r="F11" s="11" t="n">
        <v>200</v>
      </c>
      <c r="G11" s="11" t="inlineStr">
        <is>
          <t>g</t>
        </is>
      </c>
      <c r="H11" s="24">
        <f>F11*RECHERCHEV(E11; $M$5:$Q$16; 2; FAUX)/100</f>
        <v/>
      </c>
      <c r="I11" s="11" t="n">
        <v>400</v>
      </c>
      <c r="J11" s="12" t="inlineStr">
        <is>
          <t>Riz basmati cuit</t>
        </is>
      </c>
      <c r="M11" s="12" t="inlineStr">
        <is>
          <t>Riz</t>
        </is>
      </c>
      <c r="N11" s="11" t="n">
        <v>130</v>
      </c>
      <c r="O11" s="11" t="n">
        <v>28</v>
      </c>
      <c r="P11" s="11" t="n">
        <v>2.7</v>
      </c>
      <c r="Q11" s="11" t="n">
        <v>0.3</v>
      </c>
    </row>
    <row r="12">
      <c r="A12" s="11" t="inlineStr">
        <is>
          <t>2026-09-18</t>
        </is>
      </c>
      <c r="B12" s="11" t="inlineStr">
        <is>
          <t>13:00</t>
        </is>
      </c>
      <c r="C12" s="12" t="inlineStr">
        <is>
          <t>Sarah</t>
        </is>
      </c>
      <c r="D12" s="12" t="inlineStr">
        <is>
          <t>Déjeuner</t>
        </is>
      </c>
      <c r="E12" s="12" t="inlineStr">
        <is>
          <t>Poulet</t>
        </is>
      </c>
      <c r="F12" s="11" t="n">
        <v>150</v>
      </c>
      <c r="G12" s="11" t="inlineStr">
        <is>
          <t>g</t>
        </is>
      </c>
      <c r="H12" s="24">
        <f>F12*RECHERCHEV(E12; $M$5:$Q$16; 2; FAUX)/100</f>
        <v/>
      </c>
      <c r="I12" s="11" t="n">
        <v>0</v>
      </c>
      <c r="J12" s="12" t="inlineStr">
        <is>
          <t>Blanc de poulet grillé</t>
        </is>
      </c>
      <c r="M12" s="12" t="inlineStr">
        <is>
          <t>Poulet</t>
        </is>
      </c>
      <c r="N12" s="11" t="n">
        <v>165</v>
      </c>
      <c r="O12" s="11" t="n">
        <v>0</v>
      </c>
      <c r="P12" s="11" t="n">
        <v>31</v>
      </c>
      <c r="Q12" s="11" t="n">
        <v>3.6</v>
      </c>
    </row>
    <row r="13">
      <c r="A13" s="11" t="inlineStr">
        <is>
          <t>2026-09-18</t>
        </is>
      </c>
      <c r="B13" s="11" t="inlineStr">
        <is>
          <t>13:00</t>
        </is>
      </c>
      <c r="C13" s="12" t="inlineStr">
        <is>
          <t>Sarah</t>
        </is>
      </c>
      <c r="D13" s="12" t="inlineStr">
        <is>
          <t>Déjeuner</t>
        </is>
      </c>
      <c r="E13" s="12" t="inlineStr">
        <is>
          <t>Légumes</t>
        </is>
      </c>
      <c r="F13" s="11" t="n">
        <v>200</v>
      </c>
      <c r="G13" s="11" t="inlineStr">
        <is>
          <t>g</t>
        </is>
      </c>
      <c r="H13" s="24">
        <f>F13*RECHERCHEV(E13; $M$5:$Q$16; 2; FAUX)/100</f>
        <v/>
      </c>
      <c r="I13" s="11" t="n">
        <v>0</v>
      </c>
      <c r="J13" s="12" t="inlineStr">
        <is>
          <t>Légumes vapeur variés</t>
        </is>
      </c>
      <c r="M13" s="12" t="inlineStr">
        <is>
          <t>Légumes</t>
        </is>
      </c>
      <c r="N13" s="11" t="n">
        <v>30</v>
      </c>
      <c r="O13" s="11" t="n">
        <v>5</v>
      </c>
      <c r="P13" s="11" t="n">
        <v>2</v>
      </c>
      <c r="Q13" s="11" t="n">
        <v>0.2</v>
      </c>
    </row>
    <row r="14">
      <c r="A14" s="11" t="inlineStr">
        <is>
          <t>2026-09-18</t>
        </is>
      </c>
      <c r="B14" s="11" t="inlineStr">
        <is>
          <t>16:30</t>
        </is>
      </c>
      <c r="C14" s="12" t="inlineStr">
        <is>
          <t>Sarah</t>
        </is>
      </c>
      <c r="D14" s="12" t="inlineStr">
        <is>
          <t>Collation</t>
        </is>
      </c>
      <c r="E14" s="12" t="inlineStr">
        <is>
          <t>Yaourt</t>
        </is>
      </c>
      <c r="F14" s="11" t="n">
        <v>125</v>
      </c>
      <c r="G14" s="11" t="inlineStr">
        <is>
          <t>g</t>
        </is>
      </c>
      <c r="H14" s="24">
        <f>F14*RECHERCHEV(E14; $M$5:$Q$16; 2; FAUX)/100</f>
        <v/>
      </c>
      <c r="I14" s="11" t="n">
        <v>300</v>
      </c>
      <c r="J14" s="12" t="inlineStr">
        <is>
          <t>Faim modérée</t>
        </is>
      </c>
      <c r="M14" s="12" t="inlineStr">
        <is>
          <t>Pomme</t>
        </is>
      </c>
      <c r="N14" s="11" t="n">
        <v>52</v>
      </c>
      <c r="O14" s="11" t="n">
        <v>14</v>
      </c>
      <c r="P14" s="11" t="n">
        <v>0.3</v>
      </c>
      <c r="Q14" s="11" t="n">
        <v>0.2</v>
      </c>
    </row>
    <row r="15">
      <c r="A15" s="11" t="inlineStr">
        <is>
          <t>2026-09-18</t>
        </is>
      </c>
      <c r="B15" s="11" t="inlineStr">
        <is>
          <t>16:30</t>
        </is>
      </c>
      <c r="C15" s="12" t="inlineStr">
        <is>
          <t>Sarah</t>
        </is>
      </c>
      <c r="D15" s="12" t="inlineStr">
        <is>
          <t>Collation</t>
        </is>
      </c>
      <c r="E15" s="12" t="inlineStr">
        <is>
          <t>Pomme</t>
        </is>
      </c>
      <c r="F15" s="11" t="n">
        <v>150</v>
      </c>
      <c r="G15" s="11" t="inlineStr">
        <is>
          <t>g</t>
        </is>
      </c>
      <c r="H15" s="24">
        <f>F15*RECHERCHEV(E15; $M$5:$Q$16; 2; FAUX)/100</f>
        <v/>
      </c>
      <c r="I15" s="11" t="n">
        <v>0</v>
      </c>
      <c r="J15" s="12" t="inlineStr">
        <is>
          <t>Collation saine</t>
        </is>
      </c>
      <c r="M15" s="12" t="inlineStr">
        <is>
          <t>Pâtes</t>
        </is>
      </c>
      <c r="N15" s="11" t="n">
        <v>140</v>
      </c>
      <c r="O15" s="11" t="n">
        <v>30</v>
      </c>
      <c r="P15" s="11" t="n">
        <v>5</v>
      </c>
      <c r="Q15" s="11" t="n">
        <v>0.5</v>
      </c>
    </row>
    <row r="16">
      <c r="A16" s="11" t="inlineStr">
        <is>
          <t>2026-09-18</t>
        </is>
      </c>
      <c r="B16" s="11" t="inlineStr">
        <is>
          <t>19:30</t>
        </is>
      </c>
      <c r="C16" s="12" t="inlineStr">
        <is>
          <t>Sarah</t>
        </is>
      </c>
      <c r="D16" s="12" t="inlineStr">
        <is>
          <t>Dîner</t>
        </is>
      </c>
      <c r="E16" s="12" t="inlineStr">
        <is>
          <t>Pâtes</t>
        </is>
      </c>
      <c r="F16" s="11" t="n">
        <v>200</v>
      </c>
      <c r="G16" s="11" t="inlineStr">
        <is>
          <t>g</t>
        </is>
      </c>
      <c r="H16" s="24">
        <f>F16*RECHERCHEV(E16; $M$5:$Q$16; 2; FAUX)/100</f>
        <v/>
      </c>
      <c r="I16" s="11" t="n">
        <v>400</v>
      </c>
      <c r="J16" s="12" t="inlineStr">
        <is>
          <t>Féculents récupération</t>
        </is>
      </c>
      <c r="M16" s="12" t="inlineStr">
        <is>
          <t>Saumon</t>
        </is>
      </c>
      <c r="N16" s="11" t="n">
        <v>208</v>
      </c>
      <c r="O16" s="11" t="n">
        <v>0</v>
      </c>
      <c r="P16" s="11" t="n">
        <v>20</v>
      </c>
      <c r="Q16" s="11" t="n">
        <v>13</v>
      </c>
    </row>
    <row r="17">
      <c r="A17" s="11" t="inlineStr">
        <is>
          <t>2026-09-18</t>
        </is>
      </c>
      <c r="B17" s="11" t="inlineStr">
        <is>
          <t>19:30</t>
        </is>
      </c>
      <c r="C17" s="12" t="inlineStr">
        <is>
          <t>Sarah</t>
        </is>
      </c>
      <c r="D17" s="12" t="inlineStr">
        <is>
          <t>Dîner</t>
        </is>
      </c>
      <c r="E17" s="12" t="inlineStr">
        <is>
          <t>Saumon</t>
        </is>
      </c>
      <c r="F17" s="11" t="n">
        <v>150</v>
      </c>
      <c r="G17" s="11" t="inlineStr">
        <is>
          <t>g</t>
        </is>
      </c>
      <c r="H17" s="24">
        <f>F17*RECHERCHEV(E17; $M$5:$Q$16; 2; FAUX)/100</f>
        <v/>
      </c>
      <c r="I17" s="11" t="n">
        <v>0</v>
      </c>
      <c r="J17" s="12" t="inlineStr">
        <is>
          <t>Apport oméga 3</t>
        </is>
      </c>
    </row>
    <row r="18">
      <c r="A18" s="11" t="inlineStr">
        <is>
          <t>2026-09-18</t>
        </is>
      </c>
      <c r="B18" s="11" t="inlineStr">
        <is>
          <t>19:30</t>
        </is>
      </c>
      <c r="C18" s="12" t="inlineStr">
        <is>
          <t>Sarah</t>
        </is>
      </c>
      <c r="D18" s="12" t="inlineStr">
        <is>
          <t>Dîner</t>
        </is>
      </c>
      <c r="E18" s="12" t="inlineStr">
        <is>
          <t>Légumes</t>
        </is>
      </c>
      <c r="F18" s="11" t="n">
        <v>200</v>
      </c>
      <c r="G18" s="11" t="inlineStr">
        <is>
          <t>g</t>
        </is>
      </c>
      <c r="H18" s="24">
        <f>F18*RECHERCHEV(E18; $M$5:$Q$16; 2; FAUX)/100</f>
        <v/>
      </c>
      <c r="I18" s="11" t="n">
        <v>0</v>
      </c>
      <c r="J18" s="12" t="inlineStr">
        <is>
          <t>Haricots et carottes</t>
        </is>
      </c>
    </row>
    <row r="19">
      <c r="E19" s="22" t="inlineStr">
        <is>
          <t>TOTAL JOURNÉE</t>
        </is>
      </c>
      <c r="H19" s="25">
        <f>SOMME(H5:H18)</f>
        <v/>
      </c>
      <c r="I19" s="25">
        <f>SOMME(I5:I18)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OUTIL 5 — SUIVI LONGITUDINAL DES TESTS PHYSIQUES (SPRINT 30M &amp; SAUT CMJ)</t>
        </is>
      </c>
    </row>
    <row r="2">
      <c r="A2" s="2" t="inlineStr">
        <is>
          <t>Données restructurées par athlète — Calculs automatisés de progression (Delta &amp; %) et moyennes collectives</t>
        </is>
      </c>
    </row>
    <row r="3"/>
    <row r="4">
      <c r="A4" s="9" t="inlineStr">
        <is>
          <t>TEST 1 : SPRINT 30 MÈTRES (TEMPS EN SECONDES — OBJECTIF : DIMINUTION)</t>
        </is>
      </c>
    </row>
    <row r="5">
      <c r="A5" s="10" t="inlineStr">
        <is>
          <t>Athlète</t>
        </is>
      </c>
      <c r="B5" s="10" t="inlineStr">
        <is>
          <t>01/09/2026</t>
        </is>
      </c>
      <c r="C5" s="10" t="inlineStr">
        <is>
          <t>15/09/2026</t>
        </is>
      </c>
      <c r="D5" s="10" t="inlineStr">
        <is>
          <t>01/10/2026</t>
        </is>
      </c>
      <c r="E5" s="10" t="inlineStr">
        <is>
          <t>15/10/2026</t>
        </is>
      </c>
      <c r="F5" s="10" t="inlineStr">
        <is>
          <t>Meilleur Temps</t>
        </is>
      </c>
      <c r="G5" s="10" t="inlineStr">
        <is>
          <t>Progression (s)</t>
        </is>
      </c>
      <c r="H5" s="10" t="inlineStr">
        <is>
          <t>Progression (%)</t>
        </is>
      </c>
    </row>
    <row r="6">
      <c r="A6" s="12" t="inlineStr">
        <is>
          <t>Lucas</t>
        </is>
      </c>
      <c r="B6" s="20" t="n">
        <v>4.42</v>
      </c>
      <c r="C6" s="20" t="n">
        <v>4.38</v>
      </c>
      <c r="D6" s="20" t="n">
        <v>4.31</v>
      </c>
      <c r="E6" s="20" t="n">
        <v>4.28</v>
      </c>
      <c r="F6" s="26">
        <f>MIN(B6:E6)</f>
        <v/>
      </c>
      <c r="G6" s="27">
        <f>B6-E6</f>
        <v/>
      </c>
      <c r="H6" s="28">
        <f>(B6-E6)/B6</f>
        <v/>
      </c>
    </row>
    <row r="7">
      <c r="A7" s="12" t="inlineStr">
        <is>
          <t>Noah</t>
        </is>
      </c>
      <c r="B7" s="20" t="n">
        <v>4.51</v>
      </c>
      <c r="C7" s="20" t="n">
        <v>4.48</v>
      </c>
      <c r="D7" s="20" t="n">
        <v>4.45</v>
      </c>
      <c r="E7" s="20" t="n">
        <v>4.43</v>
      </c>
      <c r="F7" s="26">
        <f>MIN(B7:E7)</f>
        <v/>
      </c>
      <c r="G7" s="27">
        <f>B7-E7</f>
        <v/>
      </c>
      <c r="H7" s="28">
        <f>(B7-E7)/B7</f>
        <v/>
      </c>
    </row>
    <row r="8">
      <c r="A8" s="12" t="inlineStr">
        <is>
          <t>Hugo</t>
        </is>
      </c>
      <c r="B8" s="20" t="n">
        <v>4.35</v>
      </c>
      <c r="C8" s="20" t="n">
        <v>4.33</v>
      </c>
      <c r="D8" s="20" t="n">
        <v>4.3</v>
      </c>
      <c r="E8" s="20" t="n">
        <v>4.27</v>
      </c>
      <c r="F8" s="26">
        <f>MIN(B8:E8)</f>
        <v/>
      </c>
      <c r="G8" s="27">
        <f>B8-E8</f>
        <v/>
      </c>
      <c r="H8" s="28">
        <f>(B8-E8)/B8</f>
        <v/>
      </c>
    </row>
    <row r="9">
      <c r="A9" s="12" t="inlineStr">
        <is>
          <t>Nathan</t>
        </is>
      </c>
      <c r="B9" s="20" t="n">
        <v>4.6</v>
      </c>
      <c r="C9" s="20" t="n">
        <v>4.55</v>
      </c>
      <c r="D9" s="20" t="n">
        <v>4.52</v>
      </c>
      <c r="E9" s="20" t="n">
        <v>4.5</v>
      </c>
      <c r="F9" s="26">
        <f>MIN(B9:E9)</f>
        <v/>
      </c>
      <c r="G9" s="27">
        <f>B9-E9</f>
        <v/>
      </c>
      <c r="H9" s="28">
        <f>(B9-E9)/B9</f>
        <v/>
      </c>
    </row>
    <row r="10">
      <c r="A10" s="12" t="inlineStr">
        <is>
          <t>Jules</t>
        </is>
      </c>
      <c r="B10" s="20" t="n">
        <v>4.47</v>
      </c>
      <c r="C10" s="20" t="n">
        <v>4.44</v>
      </c>
      <c r="D10" s="20" t="n">
        <v>4.4</v>
      </c>
      <c r="E10" s="20" t="n">
        <v>4.39</v>
      </c>
      <c r="F10" s="26">
        <f>MIN(B10:E10)</f>
        <v/>
      </c>
      <c r="G10" s="27">
        <f>B10-E10</f>
        <v/>
      </c>
      <c r="H10" s="28">
        <f>(B10-E10)/B10</f>
        <v/>
      </c>
    </row>
    <row r="11">
      <c r="A11" s="12" t="inlineStr">
        <is>
          <t>Maxime</t>
        </is>
      </c>
      <c r="B11" s="20" t="n">
        <v>4.55</v>
      </c>
      <c r="C11" s="20" t="n">
        <v>4.53</v>
      </c>
      <c r="D11" s="20" t="n">
        <v>4.51</v>
      </c>
      <c r="E11" s="20" t="n">
        <v>4.48</v>
      </c>
      <c r="F11" s="26">
        <f>MIN(B11:E11)</f>
        <v/>
      </c>
      <c r="G11" s="27">
        <f>B11-E11</f>
        <v/>
      </c>
      <c r="H11" s="28">
        <f>(B11-E11)/B11</f>
        <v/>
      </c>
    </row>
    <row r="12">
      <c r="A12" s="29" t="inlineStr">
        <is>
          <t>Moyenne Groupe</t>
        </is>
      </c>
      <c r="B12" s="30">
        <f>MOYENNE(B6:B11)</f>
        <v/>
      </c>
      <c r="C12" s="30">
        <f>MOYENNE(C6:C11)</f>
        <v/>
      </c>
      <c r="D12" s="30">
        <f>MOYENNE(D6:D11)</f>
        <v/>
      </c>
      <c r="E12" s="30">
        <f>MOYENNE(E6:E11)</f>
        <v/>
      </c>
      <c r="F12" s="30">
        <f>MOYENNE(F6:F11)</f>
        <v/>
      </c>
      <c r="G12" s="30">
        <f>MOYENNE(G6:G11)</f>
        <v/>
      </c>
      <c r="H12" s="31">
        <f>MOYENNE(H6:H11)</f>
        <v/>
      </c>
    </row>
    <row r="13"/>
    <row r="14"/>
    <row r="15">
      <c r="A15" s="9" t="inlineStr">
        <is>
          <t>TEST 2 : SAUT VERTICAL CMJ (HAUTEUR EN CM — OBJECTIF : AUGMENTATION)</t>
        </is>
      </c>
    </row>
    <row r="16">
      <c r="A16" s="10" t="inlineStr">
        <is>
          <t>Athlète</t>
        </is>
      </c>
      <c r="B16" s="10" t="inlineStr">
        <is>
          <t>01/09/2026</t>
        </is>
      </c>
      <c r="C16" s="10" t="inlineStr">
        <is>
          <t>15/09/2026</t>
        </is>
      </c>
      <c r="D16" s="10" t="inlineStr">
        <is>
          <t>01/10/2026</t>
        </is>
      </c>
      <c r="E16" s="10" t="inlineStr">
        <is>
          <t>15/10/2026</t>
        </is>
      </c>
      <c r="F16" s="10" t="inlineStr">
        <is>
          <t>Meilleur Saut</t>
        </is>
      </c>
      <c r="G16" s="10" t="inlineStr">
        <is>
          <t>Progression (cm)</t>
        </is>
      </c>
      <c r="H16" s="10" t="inlineStr">
        <is>
          <t>Progression (%)</t>
        </is>
      </c>
    </row>
    <row r="17">
      <c r="A17" s="12" t="inlineStr">
        <is>
          <t>Lucas</t>
        </is>
      </c>
      <c r="B17" s="19" t="n">
        <v>48</v>
      </c>
      <c r="C17" s="19" t="n">
        <v>50</v>
      </c>
      <c r="D17" s="19" t="n">
        <v>52</v>
      </c>
      <c r="E17" s="19" t="n">
        <v>53</v>
      </c>
      <c r="F17" s="32">
        <f>MAX(B17:E17)</f>
        <v/>
      </c>
      <c r="G17" s="33">
        <f>E17-B17</f>
        <v/>
      </c>
      <c r="H17" s="28">
        <f>(E17-B17)/B17</f>
        <v/>
      </c>
    </row>
    <row r="18">
      <c r="A18" s="12" t="inlineStr">
        <is>
          <t>Noah</t>
        </is>
      </c>
      <c r="B18" s="19" t="n">
        <v>45</v>
      </c>
      <c r="C18" s="19" t="n">
        <v>46</v>
      </c>
      <c r="D18" s="19" t="n">
        <v>48</v>
      </c>
      <c r="E18" s="19" t="n">
        <v>49</v>
      </c>
      <c r="F18" s="32">
        <f>MAX(B18:E18)</f>
        <v/>
      </c>
      <c r="G18" s="33">
        <f>E18-B18</f>
        <v/>
      </c>
      <c r="H18" s="28">
        <f>(E18-B18)/B18</f>
        <v/>
      </c>
    </row>
    <row r="19">
      <c r="A19" s="12" t="inlineStr">
        <is>
          <t>Hugo</t>
        </is>
      </c>
      <c r="B19" s="19" t="n">
        <v>53</v>
      </c>
      <c r="C19" s="19" t="n">
        <v>54</v>
      </c>
      <c r="D19" s="19" t="n">
        <v>55</v>
      </c>
      <c r="E19" s="19" t="n">
        <v>57</v>
      </c>
      <c r="F19" s="32">
        <f>MAX(B19:E19)</f>
        <v/>
      </c>
      <c r="G19" s="33">
        <f>E19-B19</f>
        <v/>
      </c>
      <c r="H19" s="28">
        <f>(E19-B19)/B19</f>
        <v/>
      </c>
    </row>
    <row r="20">
      <c r="A20" s="12" t="inlineStr">
        <is>
          <t>Nathan</t>
        </is>
      </c>
      <c r="B20" s="19" t="n">
        <v>42</v>
      </c>
      <c r="C20" s="19" t="n">
        <v>44</v>
      </c>
      <c r="D20" s="19" t="n">
        <v>45</v>
      </c>
      <c r="E20" s="19" t="n">
        <v>46</v>
      </c>
      <c r="F20" s="32">
        <f>MAX(B20:E20)</f>
        <v/>
      </c>
      <c r="G20" s="33">
        <f>E20-B20</f>
        <v/>
      </c>
      <c r="H20" s="28">
        <f>(E20-B20)/B20</f>
        <v/>
      </c>
    </row>
    <row r="21">
      <c r="A21" s="12" t="inlineStr">
        <is>
          <t>Jules</t>
        </is>
      </c>
      <c r="B21" s="19" t="n">
        <v>49</v>
      </c>
      <c r="C21" s="19" t="n">
        <v>50</v>
      </c>
      <c r="D21" s="19" t="n">
        <v>51</v>
      </c>
      <c r="E21" s="19" t="n">
        <v>53</v>
      </c>
      <c r="F21" s="32">
        <f>MAX(B21:E21)</f>
        <v/>
      </c>
      <c r="G21" s="33">
        <f>E21-B21</f>
        <v/>
      </c>
      <c r="H21" s="28">
        <f>(E21-B21)/B21</f>
        <v/>
      </c>
    </row>
    <row r="22">
      <c r="A22" s="12" t="inlineStr">
        <is>
          <t>Maxime</t>
        </is>
      </c>
      <c r="B22" s="19" t="n">
        <v>46</v>
      </c>
      <c r="C22" s="19" t="n">
        <v>47</v>
      </c>
      <c r="D22" s="19" t="n">
        <v>49</v>
      </c>
      <c r="E22" s="19" t="n">
        <v>50</v>
      </c>
      <c r="F22" s="32">
        <f>MAX(B22:E22)</f>
        <v/>
      </c>
      <c r="G22" s="33">
        <f>E22-B22</f>
        <v/>
      </c>
      <c r="H22" s="28">
        <f>(E22-B22)/B22</f>
        <v/>
      </c>
    </row>
    <row r="23">
      <c r="A23" s="29" t="inlineStr">
        <is>
          <t>Moyenne Groupe</t>
        </is>
      </c>
      <c r="B23" s="23">
        <f>MOYENNE(B17:B22)</f>
        <v/>
      </c>
      <c r="C23" s="23">
        <f>MOYENNE(C17:C22)</f>
        <v/>
      </c>
      <c r="D23" s="23">
        <f>MOYENNE(D17:D22)</f>
        <v/>
      </c>
      <c r="E23" s="23">
        <f>MOYENNE(E17:E22)</f>
        <v/>
      </c>
      <c r="F23" s="23">
        <f>MOYENNE(F17:F22)</f>
        <v/>
      </c>
      <c r="G23" s="23">
        <f>MOYENNE(G17:G22)</f>
        <v/>
      </c>
      <c r="H23" s="31">
        <f>MOYENNE(H17:H22)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2026-09-27T07:37:38Z</dcterms:created>
  <dcterms:modified xmlns:dcterms="http://purl.org/dc/terms/" xmlns:xsi="http://www.w3.org/2001/XMLSchema-instance" xsi:type="dcterms:W3CDTF">2026-09-27T07:37:38Z</dcterms:modified>
</cp:coreProperties>
</file>